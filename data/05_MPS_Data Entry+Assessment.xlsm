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8.xml" ContentType="application/vnd.openxmlformats-officedocument.drawing+xml"/>
  <Override PartName="/xl/charts/chart12.xml" ContentType="application/vnd.openxmlformats-officedocument.drawingml.chart+xml"/>
  <Override PartName="/xl/charts/style1.xml" ContentType="application/vnd.ms-office.chartstyle+xml"/>
  <Override PartName="/xl/charts/colors1.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91AB8045-AFC0-B76E-F17D-A240E00664AE}"/>
  <workbookPr codeName="ThisWorkbook" autoCompressPictures="0"/>
  <mc:AlternateContent xmlns:mc="http://schemas.openxmlformats.org/markup-compatibility/2006">
    <mc:Choice Requires="x15">
      <x15ac:absPath xmlns:x15ac="http://schemas.microsoft.com/office/spreadsheetml/2010/11/ac" url="/Users/crpp/CRPP Dropbox/CRPP workspace/Technical Team/01-OPERATIONS/06-TERESINA/06-Operations/DATA COLLECTION/02_URBAN_PERFORMANCE/PREFILTER_DE+DA/"/>
    </mc:Choice>
  </mc:AlternateContent>
  <xr:revisionPtr revIDLastSave="0" documentId="13_ncr:1_{F5FCA64C-F56B-3F40-BAD0-14614A6C540C}" xr6:coauthVersionLast="45" xr6:coauthVersionMax="45" xr10:uidLastSave="{00000000-0000-0000-0000-000000000000}"/>
  <bookViews>
    <workbookView xWindow="17400" yWindow="460" windowWidth="28340" windowHeight="17540" tabRatio="682" firstSheet="4" activeTab="5" xr2:uid="{00000000-000D-0000-FFFF-FFFF00000000}"/>
  </bookViews>
  <sheets>
    <sheet name="INTRODUCTION" sheetId="46" r:id="rId1"/>
    <sheet name="5.1 Public Works" sheetId="26" r:id="rId2"/>
    <sheet name="5.2 Permits, Monitoring and Ins" sheetId="40" r:id="rId3"/>
    <sheet name="5.3 Community Welfare" sheetId="41" r:id="rId4"/>
    <sheet name="5.4 Local Public Security and L" sheetId="42" r:id="rId5"/>
    <sheet name="5.5 Emergency &amp; Rescue Services" sheetId="43" r:id="rId6"/>
    <sheet name="Data Collection Status" sheetId="44" r:id="rId7"/>
    <sheet name="Benchmark Status" sheetId="45" r:id="rId8"/>
    <sheet name="Auxiliar Values" sheetId="39" r:id="rId9"/>
    <sheet name="Disaggregation" sheetId="31" r:id="rId10"/>
    <sheet name="INFO Vulnerable Groups" sheetId="32" r:id="rId11"/>
    <sheet name="Drop lists " sheetId="2" state="hidden" r:id="rId12"/>
  </sheets>
  <externalReferences>
    <externalReference r:id="rId13"/>
  </externalReferences>
  <definedNames>
    <definedName name="__Anonymous_Sheet_DB__1" localSheetId="7">#REF!</definedName>
    <definedName name="__Anonymous_Sheet_DB__1" localSheetId="6">#REF!</definedName>
    <definedName name="__Anonymous_Sheet_DB__1" localSheetId="10">#REF!</definedName>
    <definedName name="__Anonymous_Sheet_DB__1">#REF!</definedName>
    <definedName name="_xlnm._FilterDatabase" localSheetId="1" hidden="1">'5.1 Public Works'!$A$1:$AJ$68</definedName>
    <definedName name="_xlnm._FilterDatabase" localSheetId="2" hidden="1">'5.2 Permits, Monitoring and Ins'!$A$1:$AJ$122</definedName>
    <definedName name="_xlnm._FilterDatabase" localSheetId="3" hidden="1">'5.3 Community Welfare'!$A$1:$AJ$79</definedName>
    <definedName name="_xlnm._FilterDatabase" localSheetId="4" hidden="1">'5.4 Local Public Security and L'!$A$1:$AJ$96</definedName>
    <definedName name="_xlnm._FilterDatabase" localSheetId="5" hidden="1">'5.5 Emergency &amp; Rescue Services'!$A$1:$AJ$113</definedName>
    <definedName name="_xlnm._FilterDatabase" localSheetId="0" hidden="1">INTRODUCTION!$B$1:$AO$1</definedName>
    <definedName name="_ftn1" localSheetId="10">'INFO Vulnerable Groups'!$A$6</definedName>
    <definedName name="_ftnref1" localSheetId="10">'INFO Vulnerable Groups'!$A$3</definedName>
    <definedName name="Averagecommutingtraveltime" localSheetId="7">#REF!</definedName>
    <definedName name="Averagecommutingtraveltime" localSheetId="6">#REF!</definedName>
    <definedName name="Averagecommutingtraveltime" localSheetId="0">#REF!</definedName>
    <definedName name="Averagecommutingtraveltime">#REF!</definedName>
    <definedName name="Interregionalmodalshare" localSheetId="7">#REF!</definedName>
    <definedName name="Interregionalmodalshare" localSheetId="6">#REF!</definedName>
    <definedName name="Interregionalmodalshare">#REF!</definedName>
    <definedName name="IRMS" localSheetId="7">#REF!</definedName>
    <definedName name="IRMS" localSheetId="6">#REF!</definedName>
    <definedName name="IRMS">#REF!</definedName>
    <definedName name="Modalshare" localSheetId="7">#REF!</definedName>
    <definedName name="Modalshare" localSheetId="6">#REF!</definedName>
    <definedName name="Modalshare">#REF!</definedName>
    <definedName name="MPS_cementeries">#REF!</definedName>
    <definedName name="Paratransit" localSheetId="7">#REF!</definedName>
    <definedName name="Paratransit" localSheetId="6">#REF!</definedName>
    <definedName name="Paratransit">#REF!</definedName>
    <definedName name="_xlnm.Print_Area" localSheetId="1">'5.1 Public Works'!$B$1:$AG$71</definedName>
    <definedName name="_xlnm.Print_Area" localSheetId="2">'5.2 Permits, Monitoring and Ins'!$B$1:$AG$125</definedName>
    <definedName name="_xlnm.Print_Area" localSheetId="3">'5.3 Community Welfare'!$B$1:$AG$82</definedName>
    <definedName name="_xlnm.Print_Area" localSheetId="4">'5.4 Local Public Security and L'!$B$1:$AG$99</definedName>
    <definedName name="_xlnm.Print_Area" localSheetId="5">'5.5 Emergency &amp; Rescue Services'!$B$1:$AG$116</definedName>
    <definedName name="_xlnm.Print_Area" localSheetId="6">'Data Collection Status'!$A$2:$K$66</definedName>
    <definedName name="_xlnm.Print_Area" localSheetId="0">INTRODUCTION!$C$4:$E$57</definedName>
    <definedName name="_xlnm.Print_Titles" localSheetId="1">'5.1 Public Works'!$3:$3</definedName>
    <definedName name="_xlnm.Print_Titles" localSheetId="2">'5.2 Permits, Monitoring and Ins'!$3:$3</definedName>
    <definedName name="_xlnm.Print_Titles" localSheetId="3">'5.3 Community Welfare'!$3:$3</definedName>
    <definedName name="_xlnm.Print_Titles" localSheetId="4">'5.4 Local Public Security and L'!$3:$3</definedName>
    <definedName name="_xlnm.Print_Titles" localSheetId="5">'5.5 Emergency &amp; Rescue Services'!$3:$3</definedName>
    <definedName name="_xlnm.Print_Titles" localSheetId="0">INTRODUCTION!#REF!</definedName>
    <definedName name="table" localSheetId="7">#REF!</definedName>
    <definedName name="table" localSheetId="6">#REF!</definedName>
    <definedName name="table" localSheetId="0">#REF!</definedName>
    <definedName name="table">#REF!</definedName>
    <definedName name="Table1" localSheetId="1">#REF!</definedName>
    <definedName name="Table1" localSheetId="2">#REF!</definedName>
    <definedName name="Table1" localSheetId="3">#REF!</definedName>
    <definedName name="Table1" localSheetId="4">#REF!</definedName>
    <definedName name="Table1" localSheetId="5">#REF!</definedName>
    <definedName name="Table1" localSheetId="7">#REF!</definedName>
    <definedName name="Table1" localSheetId="6">#REF!</definedName>
    <definedName name="Table1" localSheetId="10">#REF!</definedName>
    <definedName name="Table1">#REF!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95" i="45" l="1"/>
  <c r="D96" i="45"/>
  <c r="D97" i="45"/>
  <c r="D98" i="45"/>
  <c r="D99" i="45"/>
  <c r="D100" i="45"/>
  <c r="D101" i="45"/>
  <c r="C96" i="45"/>
  <c r="C97" i="45"/>
  <c r="C98" i="45"/>
  <c r="C99" i="45"/>
  <c r="C100" i="45"/>
  <c r="C101" i="45"/>
  <c r="C95" i="45"/>
  <c r="D65" i="45"/>
  <c r="D66" i="45"/>
  <c r="D67" i="45"/>
  <c r="D68" i="45"/>
  <c r="D69" i="45"/>
  <c r="D70" i="45"/>
  <c r="D71" i="45"/>
  <c r="C66" i="45"/>
  <c r="C67" i="45"/>
  <c r="C68" i="45"/>
  <c r="C69" i="45"/>
  <c r="C70" i="45"/>
  <c r="C71" i="45"/>
  <c r="C65" i="45"/>
  <c r="D50" i="45"/>
  <c r="D51" i="45"/>
  <c r="D52" i="45"/>
  <c r="D53" i="45"/>
  <c r="D54" i="45"/>
  <c r="D55" i="45"/>
  <c r="D56" i="45"/>
  <c r="C51" i="45"/>
  <c r="C52" i="45"/>
  <c r="C53" i="45"/>
  <c r="C54" i="45"/>
  <c r="C55" i="45"/>
  <c r="C56" i="45"/>
  <c r="C50" i="45"/>
  <c r="D185" i="44"/>
  <c r="D186" i="44"/>
  <c r="D188" i="44"/>
  <c r="D190" i="44"/>
  <c r="C186" i="44"/>
  <c r="C188" i="44"/>
  <c r="C190" i="44"/>
  <c r="C185" i="44"/>
  <c r="D178" i="44"/>
  <c r="D179" i="44"/>
  <c r="D180" i="44"/>
  <c r="D181" i="44"/>
  <c r="D182" i="44"/>
  <c r="D183" i="44"/>
  <c r="C179" i="44"/>
  <c r="C180" i="44"/>
  <c r="C181" i="44"/>
  <c r="C183" i="44"/>
  <c r="C178" i="44"/>
  <c r="D171" i="44"/>
  <c r="D172" i="44"/>
  <c r="D173" i="44"/>
  <c r="D174" i="44"/>
  <c r="D175" i="44"/>
  <c r="D176" i="44"/>
  <c r="C172" i="44"/>
  <c r="C173" i="44"/>
  <c r="C174" i="44"/>
  <c r="C175" i="44"/>
  <c r="C176" i="44"/>
  <c r="C171" i="44"/>
  <c r="D135" i="44"/>
  <c r="D136" i="44"/>
  <c r="D138" i="44"/>
  <c r="D140" i="44"/>
  <c r="C136" i="44"/>
  <c r="C138" i="44"/>
  <c r="C140" i="44"/>
  <c r="C135" i="44"/>
  <c r="D128" i="44"/>
  <c r="D129" i="44"/>
  <c r="D130" i="44"/>
  <c r="D131" i="44"/>
  <c r="D132" i="44"/>
  <c r="D133" i="44"/>
  <c r="C129" i="44"/>
  <c r="C130" i="44"/>
  <c r="C131" i="44"/>
  <c r="C133" i="44"/>
  <c r="C128" i="44"/>
  <c r="D121" i="44"/>
  <c r="D122" i="44"/>
  <c r="D123" i="44"/>
  <c r="D124" i="44"/>
  <c r="D125" i="44"/>
  <c r="D126" i="44"/>
  <c r="C122" i="44"/>
  <c r="C123" i="44"/>
  <c r="C124" i="44"/>
  <c r="C125" i="44"/>
  <c r="C126" i="44"/>
  <c r="C121" i="44"/>
  <c r="D110" i="44"/>
  <c r="D111" i="44"/>
  <c r="D113" i="44"/>
  <c r="D115" i="44"/>
  <c r="C111" i="44"/>
  <c r="C113" i="44"/>
  <c r="C115" i="44"/>
  <c r="C110" i="44"/>
  <c r="D103" i="44"/>
  <c r="D104" i="44"/>
  <c r="D105" i="44"/>
  <c r="D106" i="44"/>
  <c r="D107" i="44"/>
  <c r="D108" i="44"/>
  <c r="C104" i="44"/>
  <c r="C105" i="44"/>
  <c r="C106" i="44"/>
  <c r="C108" i="44"/>
  <c r="C103" i="44"/>
  <c r="D96" i="44"/>
  <c r="D97" i="44"/>
  <c r="D98" i="44"/>
  <c r="D99" i="44"/>
  <c r="D100" i="44"/>
  <c r="D101" i="44"/>
  <c r="C97" i="44"/>
  <c r="C98" i="44"/>
  <c r="C99" i="44"/>
  <c r="C100" i="44"/>
  <c r="C101" i="44"/>
  <c r="C96" i="44"/>
  <c r="C12" i="45"/>
  <c r="C15" i="45"/>
  <c r="C11" i="45"/>
  <c r="C14" i="45"/>
  <c r="C10" i="45"/>
  <c r="D15" i="45"/>
  <c r="D14" i="45"/>
  <c r="D13" i="45"/>
  <c r="C13" i="45"/>
  <c r="D12" i="45"/>
  <c r="D11" i="45"/>
  <c r="D10" i="45"/>
  <c r="D9" i="45"/>
  <c r="C9" i="45"/>
  <c r="D153" i="43"/>
  <c r="C153" i="43"/>
  <c r="D152" i="43"/>
  <c r="C152" i="43"/>
  <c r="D151" i="43"/>
  <c r="C151" i="43"/>
  <c r="D150" i="43"/>
  <c r="C150" i="43"/>
  <c r="D149" i="43"/>
  <c r="C149" i="43"/>
  <c r="D148" i="43"/>
  <c r="C148" i="43"/>
  <c r="D147" i="43"/>
  <c r="C147" i="43"/>
  <c r="D141" i="43"/>
  <c r="C141" i="43"/>
  <c r="C140" i="43"/>
  <c r="D140" i="43" s="1"/>
  <c r="D189" i="44" s="1"/>
  <c r="D139" i="43"/>
  <c r="C139" i="43"/>
  <c r="C138" i="43"/>
  <c r="D138" i="43" s="1"/>
  <c r="D187" i="44" s="1"/>
  <c r="C137" i="43"/>
  <c r="D137" i="43" s="1"/>
  <c r="C136" i="43"/>
  <c r="D136" i="43" s="1"/>
  <c r="D134" i="43"/>
  <c r="C134" i="43"/>
  <c r="D133" i="43"/>
  <c r="C133" i="43"/>
  <c r="C182" i="44" s="1"/>
  <c r="D132" i="43"/>
  <c r="C132" i="43"/>
  <c r="D131" i="43"/>
  <c r="C131" i="43"/>
  <c r="D130" i="43"/>
  <c r="C130" i="43"/>
  <c r="D129" i="43"/>
  <c r="C129" i="43"/>
  <c r="D127" i="43"/>
  <c r="C127" i="43"/>
  <c r="D126" i="43"/>
  <c r="C126" i="43"/>
  <c r="D125" i="43"/>
  <c r="C125" i="43"/>
  <c r="D124" i="43"/>
  <c r="C124" i="43"/>
  <c r="D123" i="43"/>
  <c r="C123" i="43"/>
  <c r="C122" i="43"/>
  <c r="D122" i="43"/>
  <c r="D136" i="42"/>
  <c r="D86" i="45" s="1"/>
  <c r="C136" i="42"/>
  <c r="C86" i="45" s="1"/>
  <c r="D135" i="42"/>
  <c r="D85" i="45" s="1"/>
  <c r="C135" i="42"/>
  <c r="C85" i="45" s="1"/>
  <c r="D134" i="42"/>
  <c r="D84" i="45" s="1"/>
  <c r="C134" i="42"/>
  <c r="C84" i="45" s="1"/>
  <c r="D133" i="42"/>
  <c r="D83" i="45" s="1"/>
  <c r="C133" i="42"/>
  <c r="C83" i="45" s="1"/>
  <c r="D132" i="42"/>
  <c r="D82" i="45" s="1"/>
  <c r="C132" i="42"/>
  <c r="C82" i="45" s="1"/>
  <c r="D131" i="42"/>
  <c r="D81" i="45" s="1"/>
  <c r="C131" i="42"/>
  <c r="C81" i="45" s="1"/>
  <c r="D130" i="42"/>
  <c r="D80" i="45" s="1"/>
  <c r="C130" i="42"/>
  <c r="C80" i="45" s="1"/>
  <c r="C124" i="42"/>
  <c r="D124" i="42" s="1"/>
  <c r="D165" i="44" s="1"/>
  <c r="C123" i="42"/>
  <c r="D123" i="42" s="1"/>
  <c r="D164" i="44" s="1"/>
  <c r="C122" i="42"/>
  <c r="D122" i="42" s="1"/>
  <c r="D163" i="44" s="1"/>
  <c r="C121" i="42"/>
  <c r="D121" i="42" s="1"/>
  <c r="D162" i="44" s="1"/>
  <c r="C120" i="42"/>
  <c r="D120" i="42" s="1"/>
  <c r="D161" i="44" s="1"/>
  <c r="C119" i="42"/>
  <c r="D119" i="42" s="1"/>
  <c r="D160" i="44" s="1"/>
  <c r="D117" i="42"/>
  <c r="D158" i="44" s="1"/>
  <c r="C117" i="42"/>
  <c r="C158" i="44" s="1"/>
  <c r="D116" i="42"/>
  <c r="D157" i="44" s="1"/>
  <c r="C116" i="42"/>
  <c r="C157" i="44" s="1"/>
  <c r="D115" i="42"/>
  <c r="D156" i="44" s="1"/>
  <c r="C115" i="42"/>
  <c r="C156" i="44" s="1"/>
  <c r="D114" i="42"/>
  <c r="D155" i="44" s="1"/>
  <c r="C114" i="42"/>
  <c r="C155" i="44" s="1"/>
  <c r="D113" i="42"/>
  <c r="D154" i="44" s="1"/>
  <c r="C113" i="42"/>
  <c r="C154" i="44" s="1"/>
  <c r="D112" i="42"/>
  <c r="D153" i="44" s="1"/>
  <c r="C112" i="42"/>
  <c r="C153" i="44" s="1"/>
  <c r="D110" i="42"/>
  <c r="D151" i="44" s="1"/>
  <c r="C110" i="42"/>
  <c r="C151" i="44" s="1"/>
  <c r="D109" i="42"/>
  <c r="D150" i="44" s="1"/>
  <c r="C109" i="42"/>
  <c r="C150" i="44" s="1"/>
  <c r="D108" i="42"/>
  <c r="D149" i="44" s="1"/>
  <c r="C108" i="42"/>
  <c r="C149" i="44" s="1"/>
  <c r="D107" i="42"/>
  <c r="D148" i="44" s="1"/>
  <c r="C107" i="42"/>
  <c r="C148" i="44" s="1"/>
  <c r="D106" i="42"/>
  <c r="D147" i="44" s="1"/>
  <c r="C106" i="42"/>
  <c r="C147" i="44" s="1"/>
  <c r="D105" i="42"/>
  <c r="D146" i="44" s="1"/>
  <c r="C105" i="42"/>
  <c r="C146" i="44" s="1"/>
  <c r="D119" i="41"/>
  <c r="C119" i="41"/>
  <c r="D118" i="41"/>
  <c r="C118" i="41"/>
  <c r="D117" i="41"/>
  <c r="C117" i="41"/>
  <c r="D116" i="41"/>
  <c r="C116" i="41"/>
  <c r="D115" i="41"/>
  <c r="C115" i="41"/>
  <c r="D114" i="41"/>
  <c r="C114" i="41"/>
  <c r="D113" i="41"/>
  <c r="C113" i="41"/>
  <c r="D107" i="41"/>
  <c r="C107" i="41"/>
  <c r="D105" i="41"/>
  <c r="C105" i="41"/>
  <c r="C104" i="41"/>
  <c r="D104" i="41" s="1"/>
  <c r="D137" i="44" s="1"/>
  <c r="D103" i="41"/>
  <c r="C103" i="41"/>
  <c r="D102" i="41"/>
  <c r="C102" i="41"/>
  <c r="D100" i="41"/>
  <c r="C100" i="41"/>
  <c r="D99" i="41"/>
  <c r="C99" i="41"/>
  <c r="C132" i="44" s="1"/>
  <c r="D98" i="41"/>
  <c r="C98" i="41"/>
  <c r="D97" i="41"/>
  <c r="C97" i="41"/>
  <c r="D96" i="41"/>
  <c r="C96" i="41"/>
  <c r="D95" i="41"/>
  <c r="C95" i="41"/>
  <c r="D93" i="41"/>
  <c r="C93" i="41"/>
  <c r="D92" i="41"/>
  <c r="C92" i="41"/>
  <c r="D91" i="41"/>
  <c r="C91" i="41"/>
  <c r="D90" i="41"/>
  <c r="C90" i="41"/>
  <c r="D89" i="41"/>
  <c r="C89" i="41"/>
  <c r="D88" i="41"/>
  <c r="C106" i="41" s="1"/>
  <c r="D106" i="41" s="1"/>
  <c r="D139" i="44" s="1"/>
  <c r="C88" i="41"/>
  <c r="S90" i="42"/>
  <c r="C189" i="44" l="1"/>
  <c r="C187" i="44"/>
  <c r="C163" i="44"/>
  <c r="C161" i="44"/>
  <c r="C160" i="44"/>
  <c r="C165" i="44"/>
  <c r="C162" i="44"/>
  <c r="C164" i="44"/>
  <c r="C139" i="44"/>
  <c r="C137" i="44"/>
  <c r="D162" i="40" l="1"/>
  <c r="C162" i="40"/>
  <c r="D161" i="40"/>
  <c r="C161" i="40"/>
  <c r="D160" i="40"/>
  <c r="C160" i="40"/>
  <c r="D159" i="40"/>
  <c r="C159" i="40"/>
  <c r="D158" i="40"/>
  <c r="C158" i="40"/>
  <c r="D157" i="40"/>
  <c r="C157" i="40"/>
  <c r="D156" i="40"/>
  <c r="C156" i="40"/>
  <c r="C150" i="40"/>
  <c r="D150" i="40" s="1"/>
  <c r="C149" i="40"/>
  <c r="C148" i="40"/>
  <c r="D148" i="40" s="1"/>
  <c r="C147" i="40"/>
  <c r="C146" i="40"/>
  <c r="D146" i="40" s="1"/>
  <c r="C145" i="40"/>
  <c r="D145" i="40" s="1"/>
  <c r="D143" i="40"/>
  <c r="C143" i="40"/>
  <c r="D142" i="40"/>
  <c r="C142" i="40"/>
  <c r="C107" i="44" s="1"/>
  <c r="D141" i="40"/>
  <c r="C141" i="40"/>
  <c r="D140" i="40"/>
  <c r="C140" i="40"/>
  <c r="D139" i="40"/>
  <c r="C139" i="40"/>
  <c r="D138" i="40"/>
  <c r="C138" i="40"/>
  <c r="D136" i="40"/>
  <c r="C136" i="40"/>
  <c r="D135" i="40"/>
  <c r="C135" i="40"/>
  <c r="D134" i="40"/>
  <c r="C134" i="40"/>
  <c r="D133" i="40"/>
  <c r="C133" i="40"/>
  <c r="D132" i="40"/>
  <c r="C132" i="40"/>
  <c r="D131" i="40"/>
  <c r="C131" i="40"/>
  <c r="D149" i="40" l="1"/>
  <c r="D114" i="44" s="1"/>
  <c r="C114" i="44"/>
  <c r="D147" i="40"/>
  <c r="D112" i="44" s="1"/>
  <c r="C112" i="44"/>
  <c r="D108" i="26"/>
  <c r="D41" i="45" s="1"/>
  <c r="C108" i="26"/>
  <c r="C41" i="45" s="1"/>
  <c r="D107" i="26"/>
  <c r="D40" i="45" s="1"/>
  <c r="C107" i="26"/>
  <c r="C40" i="45" s="1"/>
  <c r="D106" i="26"/>
  <c r="D39" i="45" s="1"/>
  <c r="C106" i="26"/>
  <c r="C39" i="45" s="1"/>
  <c r="D105" i="26"/>
  <c r="D38" i="45" s="1"/>
  <c r="C105" i="26"/>
  <c r="C38" i="45" s="1"/>
  <c r="D104" i="26"/>
  <c r="D37" i="45" s="1"/>
  <c r="C104" i="26"/>
  <c r="C37" i="45" s="1"/>
  <c r="D103" i="26"/>
  <c r="D36" i="45" s="1"/>
  <c r="C103" i="26"/>
  <c r="C36" i="45" s="1"/>
  <c r="D102" i="26"/>
  <c r="D35" i="45" s="1"/>
  <c r="C102" i="26"/>
  <c r="C35" i="45" s="1"/>
  <c r="C96" i="26"/>
  <c r="C95" i="26"/>
  <c r="C94" i="26"/>
  <c r="C93" i="26"/>
  <c r="C92" i="26"/>
  <c r="C91" i="26"/>
  <c r="D89" i="26"/>
  <c r="D83" i="44" s="1"/>
  <c r="D21" i="44" s="1"/>
  <c r="C89" i="26"/>
  <c r="C83" i="44" s="1"/>
  <c r="C21" i="44" s="1"/>
  <c r="D88" i="26"/>
  <c r="D82" i="44" s="1"/>
  <c r="D20" i="44" s="1"/>
  <c r="C88" i="26"/>
  <c r="C82" i="44" s="1"/>
  <c r="C20" i="44" s="1"/>
  <c r="D87" i="26"/>
  <c r="D81" i="44" s="1"/>
  <c r="D19" i="44" s="1"/>
  <c r="C87" i="26"/>
  <c r="C81" i="44" s="1"/>
  <c r="C19" i="44" s="1"/>
  <c r="D86" i="26"/>
  <c r="D80" i="44" s="1"/>
  <c r="D18" i="44" s="1"/>
  <c r="C86" i="26"/>
  <c r="C80" i="44" s="1"/>
  <c r="C18" i="44" s="1"/>
  <c r="D85" i="26"/>
  <c r="D79" i="44" s="1"/>
  <c r="D17" i="44" s="1"/>
  <c r="W12" i="44" s="1"/>
  <c r="C85" i="26"/>
  <c r="C79" i="44" s="1"/>
  <c r="C17" i="44" s="1"/>
  <c r="D84" i="26"/>
  <c r="D78" i="44" s="1"/>
  <c r="D16" i="44" s="1"/>
  <c r="C84" i="26"/>
  <c r="C78" i="44" s="1"/>
  <c r="C16" i="44" s="1"/>
  <c r="D82" i="26"/>
  <c r="D76" i="44" s="1"/>
  <c r="D14" i="44" s="1"/>
  <c r="C82" i="26"/>
  <c r="C76" i="44" s="1"/>
  <c r="C14" i="44" s="1"/>
  <c r="D81" i="26"/>
  <c r="D75" i="44" s="1"/>
  <c r="D13" i="44" s="1"/>
  <c r="C81" i="26"/>
  <c r="C75" i="44" s="1"/>
  <c r="C13" i="44" s="1"/>
  <c r="D80" i="26"/>
  <c r="D74" i="44" s="1"/>
  <c r="D12" i="44" s="1"/>
  <c r="C80" i="26"/>
  <c r="C74" i="44" s="1"/>
  <c r="C12" i="44" s="1"/>
  <c r="D79" i="26"/>
  <c r="D73" i="44" s="1"/>
  <c r="D11" i="44" s="1"/>
  <c r="C79" i="26"/>
  <c r="C73" i="44" s="1"/>
  <c r="C11" i="44" s="1"/>
  <c r="D78" i="26"/>
  <c r="D72" i="44" s="1"/>
  <c r="D10" i="44" s="1"/>
  <c r="W9" i="44" s="1"/>
  <c r="C78" i="26"/>
  <c r="C72" i="44" s="1"/>
  <c r="C10" i="44" s="1"/>
  <c r="D77" i="26"/>
  <c r="D71" i="44" s="1"/>
  <c r="D9" i="44" s="1"/>
  <c r="C77" i="26"/>
  <c r="C71" i="44" s="1"/>
  <c r="C9" i="44" s="1"/>
  <c r="D91" i="26" l="1"/>
  <c r="D85" i="44" s="1"/>
  <c r="D23" i="44" s="1"/>
  <c r="C85" i="44"/>
  <c r="C23" i="44" s="1"/>
  <c r="W11" i="44"/>
  <c r="D92" i="26"/>
  <c r="D86" i="44" s="1"/>
  <c r="D24" i="44" s="1"/>
  <c r="C86" i="44"/>
  <c r="C24" i="44" s="1"/>
  <c r="D96" i="26"/>
  <c r="D90" i="44" s="1"/>
  <c r="D28" i="44" s="1"/>
  <c r="C90" i="44"/>
  <c r="C28" i="44" s="1"/>
  <c r="D94" i="26"/>
  <c r="D88" i="44" s="1"/>
  <c r="D26" i="44" s="1"/>
  <c r="C88" i="44"/>
  <c r="C26" i="44" s="1"/>
  <c r="W8" i="44"/>
  <c r="D95" i="26"/>
  <c r="D89" i="44" s="1"/>
  <c r="D27" i="44" s="1"/>
  <c r="C89" i="44"/>
  <c r="C27" i="44" s="1"/>
  <c r="D93" i="26"/>
  <c r="D87" i="44" s="1"/>
  <c r="D25" i="44" s="1"/>
  <c r="W15" i="44" s="1"/>
  <c r="C87" i="44"/>
  <c r="C25" i="44" s="1"/>
  <c r="W14" i="44" l="1"/>
</calcChain>
</file>

<file path=xl/sharedStrings.xml><?xml version="1.0" encoding="utf-8"?>
<sst xmlns="http://schemas.openxmlformats.org/spreadsheetml/2006/main" count="2876" uniqueCount="1273">
  <si>
    <t>Status</t>
  </si>
  <si>
    <t>GIS</t>
  </si>
  <si>
    <t>SI</t>
  </si>
  <si>
    <t>RQ</t>
  </si>
  <si>
    <t>Yes</t>
  </si>
  <si>
    <t>Not applicable</t>
  </si>
  <si>
    <t>Pending</t>
  </si>
  <si>
    <t>Alternative</t>
  </si>
  <si>
    <t>No</t>
  </si>
  <si>
    <t>Type</t>
  </si>
  <si>
    <t>Complete</t>
  </si>
  <si>
    <t>Incomplete</t>
  </si>
  <si>
    <t>Not available</t>
  </si>
  <si>
    <t>Data Quality</t>
  </si>
  <si>
    <t>Secondary</t>
  </si>
  <si>
    <t>Essential</t>
  </si>
  <si>
    <t>GIS Data</t>
  </si>
  <si>
    <t>%</t>
  </si>
  <si>
    <t>Supporting Indicators (SI)</t>
  </si>
  <si>
    <t>Related Questions (RQ)</t>
  </si>
  <si>
    <t>Amount</t>
  </si>
  <si>
    <t>(SI + RQ)</t>
  </si>
  <si>
    <t>Supporting Indicators and Related Questions  (SI + RQ)</t>
  </si>
  <si>
    <t>SHQ</t>
  </si>
  <si>
    <t>DPQ</t>
  </si>
  <si>
    <t>Partial</t>
  </si>
  <si>
    <t>High</t>
  </si>
  <si>
    <t>Mid</t>
  </si>
  <si>
    <t>Low</t>
  </si>
  <si>
    <t>#3D3D84</t>
  </si>
  <si>
    <t>#816EAF</t>
  </si>
  <si>
    <t>#ADBCC7</t>
  </si>
  <si>
    <t>#BDB4D3</t>
  </si>
  <si>
    <t>#B8D9DD</t>
  </si>
  <si>
    <t>IND</t>
  </si>
  <si>
    <t xml:space="preserve">Supporting Indicators (SI)		</t>
  </si>
  <si>
    <t xml:space="preserve">Related Questions (RQ)	</t>
  </si>
  <si>
    <t>GIS status</t>
  </si>
  <si>
    <t>#FFE0E9</t>
  </si>
  <si>
    <t>#D1A8BD</t>
  </si>
  <si>
    <t>COMPONENT BENCHMARK STATUS</t>
  </si>
  <si>
    <t>Green</t>
  </si>
  <si>
    <t>Yellow</t>
  </si>
  <si>
    <t>Orange</t>
  </si>
  <si>
    <t>Red</t>
  </si>
  <si>
    <t>Not Available</t>
  </si>
  <si>
    <t>Not Applicable</t>
  </si>
  <si>
    <t>Data Quailty</t>
  </si>
  <si>
    <t>Completion Status</t>
  </si>
  <si>
    <t>#1BAD9A</t>
  </si>
  <si>
    <t>#FFDE52</t>
  </si>
  <si>
    <t>#F79948</t>
  </si>
  <si>
    <t>#E04B44</t>
  </si>
  <si>
    <t>#808080</t>
  </si>
  <si>
    <t>Benchmark</t>
  </si>
  <si>
    <t>94C2BA</t>
  </si>
  <si>
    <t>FFF0A4</t>
  </si>
  <si>
    <t>F5C69E</t>
  </si>
  <si>
    <t>DE9290</t>
  </si>
  <si>
    <t>A6A6A6</t>
  </si>
  <si>
    <t>Secondary Benchmark</t>
  </si>
  <si>
    <t>Incomplete + Pending</t>
  </si>
  <si>
    <t>Total  (SI + RQ)</t>
  </si>
  <si>
    <t>Complete + Not Available + Not Applicable + Alternative</t>
  </si>
  <si>
    <t>Yes, general public</t>
  </si>
  <si>
    <t>Qualitative</t>
  </si>
  <si>
    <r>
      <rPr>
        <sz val="18"/>
        <color theme="0"/>
        <rFont val="Roboto"/>
      </rPr>
      <t>Data Collection Assessment</t>
    </r>
    <r>
      <rPr>
        <b/>
        <sz val="18"/>
        <color theme="0"/>
        <rFont val="Roboto"/>
      </rPr>
      <t xml:space="preserve"> General Overview</t>
    </r>
  </si>
  <si>
    <r>
      <rPr>
        <sz val="18"/>
        <color theme="0"/>
        <rFont val="Roboto"/>
      </rPr>
      <t>Data Collection Assessment</t>
    </r>
    <r>
      <rPr>
        <b/>
        <sz val="18"/>
        <color theme="0"/>
        <rFont val="Roboto"/>
      </rPr>
      <t xml:space="preserve"> Simplified Progress Overview</t>
    </r>
  </si>
  <si>
    <r>
      <rPr>
        <sz val="18"/>
        <color theme="0"/>
        <rFont val="Roboto"/>
      </rPr>
      <t>Benchmark Assessment</t>
    </r>
    <r>
      <rPr>
        <b/>
        <sz val="18"/>
        <color theme="0"/>
        <rFont val="Roboto"/>
      </rPr>
      <t xml:space="preserve"> General Overview</t>
    </r>
  </si>
  <si>
    <t>QUESTIONS</t>
  </si>
  <si>
    <t>DESCRIPTION</t>
  </si>
  <si>
    <t>ANSWER</t>
  </si>
  <si>
    <t>Completion 
Status</t>
  </si>
  <si>
    <t>MEANS OF VERIFICATION</t>
  </si>
  <si>
    <t>Alignment</t>
  </si>
  <si>
    <t>Level</t>
  </si>
  <si>
    <t>Type of Answer</t>
  </si>
  <si>
    <t>Help</t>
  </si>
  <si>
    <t>Units</t>
  </si>
  <si>
    <t>Range</t>
  </si>
  <si>
    <t>Main</t>
  </si>
  <si>
    <t>Source Data</t>
  </si>
  <si>
    <t>Data collection Scale</t>
  </si>
  <si>
    <t>Data collection Year</t>
  </si>
  <si>
    <t>Source Type</t>
  </si>
  <si>
    <t xml:space="preserve">Source Type Other </t>
  </si>
  <si>
    <t>Source Name</t>
  </si>
  <si>
    <t>Source Year (publication)</t>
  </si>
  <si>
    <t>Data Quality Assessment</t>
  </si>
  <si>
    <t>Graphical Information</t>
  </si>
  <si>
    <t>Level of importance</t>
  </si>
  <si>
    <t>[bas]</t>
  </si>
  <si>
    <t>[FF]</t>
  </si>
  <si>
    <t>[adv]</t>
  </si>
  <si>
    <t>[MC]+[FF]</t>
  </si>
  <si>
    <t>Financial capacity</t>
  </si>
  <si>
    <t>Other, please specify</t>
  </si>
  <si>
    <t>[int]</t>
  </si>
  <si>
    <t>Male</t>
  </si>
  <si>
    <t>Female</t>
  </si>
  <si>
    <t>[SC]</t>
  </si>
  <si>
    <t>POLICIES, PLANS &amp; INITIATIVES DATABASE [+]</t>
  </si>
  <si>
    <t>[MC]</t>
  </si>
  <si>
    <t>National</t>
  </si>
  <si>
    <t>Sub-National</t>
  </si>
  <si>
    <t>Regional</t>
  </si>
  <si>
    <t>Sub-regional</t>
  </si>
  <si>
    <t>Supra-local</t>
  </si>
  <si>
    <t>Functional/Metropolitan</t>
  </si>
  <si>
    <t>Local</t>
  </si>
  <si>
    <t>Sub-Local</t>
  </si>
  <si>
    <t>[SC]+[FF]</t>
  </si>
  <si>
    <t>Total</t>
  </si>
  <si>
    <t>Coordinates</t>
  </si>
  <si>
    <t>Regulates</t>
  </si>
  <si>
    <t>Finances</t>
  </si>
  <si>
    <t>Owns</t>
  </si>
  <si>
    <t>Operates</t>
  </si>
  <si>
    <t>Maintains</t>
  </si>
  <si>
    <t>Communicates</t>
  </si>
  <si>
    <t>Supports</t>
  </si>
  <si>
    <t>0-1 years</t>
  </si>
  <si>
    <t>1-3 years</t>
  </si>
  <si>
    <t>3-5 years</t>
  </si>
  <si>
    <t>6-12 years</t>
  </si>
  <si>
    <t>12-15 years</t>
  </si>
  <si>
    <t>15-18 years</t>
  </si>
  <si>
    <t>18-24 years</t>
  </si>
  <si>
    <t>24-50 years</t>
  </si>
  <si>
    <t>50-64 years</t>
  </si>
  <si>
    <t>65+ years</t>
  </si>
  <si>
    <t>Children without parental care</t>
  </si>
  <si>
    <t>Poor people</t>
  </si>
  <si>
    <t xml:space="preserve">Lone and dependent elderly </t>
  </si>
  <si>
    <t xml:space="preserve">Ethnic minorities     </t>
  </si>
  <si>
    <t>People with disabilities</t>
  </si>
  <si>
    <t>People living in marginalised communities</t>
  </si>
  <si>
    <t xml:space="preserve">Other, please specify:    </t>
  </si>
  <si>
    <t>&gt;&gt;&gt;</t>
  </si>
  <si>
    <t>Detailed list of groups in vulnerable situation (sub-categories)</t>
  </si>
  <si>
    <t>1. Children* without parental care</t>
  </si>
  <si>
    <t>1.1.</t>
  </si>
  <si>
    <t>Children relinquished / abandoned in medical wards;</t>
  </si>
  <si>
    <t>1.2.</t>
  </si>
  <si>
    <t>Children and youth living in residential care units;</t>
  </si>
  <si>
    <t>1.3.</t>
  </si>
  <si>
    <t xml:space="preserve">Children and youth living on the street; </t>
  </si>
  <si>
    <t>1.4.</t>
  </si>
  <si>
    <t>Children and youth living at home but without parental care (migrating parents);</t>
  </si>
  <si>
    <t>1.5.</t>
  </si>
  <si>
    <t>Children deprived of liberty (depends on the minimum age of criminal responsibility);</t>
  </si>
  <si>
    <t>1.6.</t>
  </si>
  <si>
    <t xml:space="preserve">Teenage mothers;  </t>
  </si>
  <si>
    <t>* The Convention on the Rights of the Child (CRC 1989): a child means every human being below the age of eighteen years unless under the law applicable to the child, majority is attained earlier</t>
  </si>
  <si>
    <t>2. Poor* people</t>
  </si>
  <si>
    <t>2.1.</t>
  </si>
  <si>
    <t xml:space="preserve">Poor children, especially those living in families with many children or in single-parent families; </t>
  </si>
  <si>
    <t>2.2.</t>
  </si>
  <si>
    <t>In-work poor people, especially under-skilled workers, particularly in rural areas.</t>
  </si>
  <si>
    <t>2.3.</t>
  </si>
  <si>
    <t>Young people unemployed (and in some countries the NEETs**, aged from 15 to 24/29);</t>
  </si>
  <si>
    <t>2.4.</t>
  </si>
  <si>
    <t>People aged 50 to 64 years out of work and excluded from benefits schemes;</t>
  </si>
  <si>
    <t>2.5.</t>
  </si>
  <si>
    <t>Poor elderly, especially those living with dependent household members or alone</t>
  </si>
  <si>
    <t xml:space="preserve">* Absolute poverty should be considered (most commonly used by the states): World Bank PPP at $1.90 a day. Nonetheless, in EU coutries, relative poverty should be used </t>
  </si>
  <si>
    <t>** Not in education, employment or training. Usually covers the age group 15-24 but OECD often extend it up to 29 years old</t>
  </si>
  <si>
    <t xml:space="preserve">3. Lone and dependent elderly </t>
  </si>
  <si>
    <t xml:space="preserve">3.1. </t>
  </si>
  <si>
    <t>Elderly living alone and/or with complex dependency needs (people usually above the age of retirement or 65, depending the countries’ specific systems)</t>
  </si>
  <si>
    <t xml:space="preserve">4. Ethnic minorities </t>
  </si>
  <si>
    <t>4.1.</t>
  </si>
  <si>
    <t>Language, traditions, often religion are intrinsic to ethnicity</t>
  </si>
  <si>
    <t>5. People with disabilities*</t>
  </si>
  <si>
    <t>5.1.</t>
  </si>
  <si>
    <t xml:space="preserve">Childen with disabilities, including invalids, with focus on those with complex dependency needs </t>
  </si>
  <si>
    <t>5.2.</t>
  </si>
  <si>
    <t xml:space="preserve">Adults with disabilities, including invalids, with focus on those with complex dependency needs </t>
  </si>
  <si>
    <t>* According to the Convention on the Rights of Persons with Disabilities (CRPD 2006) the persons with disabilities include those who have long-term physical, mental, intellectual or sensory impairments which in interaction with various barriers may hinder their full and effective participation in society on an equal basis with others.</t>
  </si>
  <si>
    <t>6. People living in marginalized communities (poor, and/or disadvantaged, and/or segregated community)</t>
  </si>
  <si>
    <t>6.1.</t>
  </si>
  <si>
    <t>Confronted with issues related to human capital (education, health, family size)</t>
  </si>
  <si>
    <t>6.2.</t>
  </si>
  <si>
    <t xml:space="preserve">Confronted with issues related to unemployment </t>
  </si>
  <si>
    <t>6.3.</t>
  </si>
  <si>
    <t>Confronted with issues related to inappropriate or bad housing conditions</t>
  </si>
  <si>
    <t>7. Other</t>
  </si>
  <si>
    <t>7.1.</t>
  </si>
  <si>
    <t>People with HIV/AIDS</t>
  </si>
  <si>
    <t>7.2.</t>
  </si>
  <si>
    <t>People suffering from addictions to alcohol, drugs, and other toxic substances</t>
  </si>
  <si>
    <t>7.3.</t>
  </si>
  <si>
    <t>People deprived of liberty or on probation</t>
  </si>
  <si>
    <t>7.4.</t>
  </si>
  <si>
    <t>Homeless people</t>
  </si>
  <si>
    <t>7.5.</t>
  </si>
  <si>
    <t xml:space="preserve">Lesbian, Gay, Bisexual, Transgender and Intersex (LGBTI) people </t>
  </si>
  <si>
    <t>7.6.</t>
  </si>
  <si>
    <t xml:space="preserve">Victims of domestic violence </t>
  </si>
  <si>
    <t>7.7.</t>
  </si>
  <si>
    <t xml:space="preserve">Victims of human trafficking </t>
  </si>
  <si>
    <t>7.8.</t>
  </si>
  <si>
    <t xml:space="preserve">Refugees and immigrants </t>
  </si>
  <si>
    <t>7.9.</t>
  </si>
  <si>
    <t>Other</t>
  </si>
  <si>
    <t>DATA COLLECTION</t>
  </si>
  <si>
    <t>MoV Type</t>
  </si>
  <si>
    <t>MoV Scale</t>
  </si>
  <si>
    <t>Data Relevance</t>
  </si>
  <si>
    <t>Yes/No</t>
  </si>
  <si>
    <t>LGJ</t>
  </si>
  <si>
    <t>Development Plan</t>
  </si>
  <si>
    <t>Level of disruptions</t>
  </si>
  <si>
    <t>Contingency Plan</t>
  </si>
  <si>
    <t>Spatial Scale</t>
  </si>
  <si>
    <t>Shortages</t>
  </si>
  <si>
    <t>Management</t>
  </si>
  <si>
    <t>Strength  and Quality</t>
  </si>
  <si>
    <t>Selection</t>
  </si>
  <si>
    <t>GENERAL</t>
  </si>
  <si>
    <t>Official Document</t>
  </si>
  <si>
    <t>International</t>
  </si>
  <si>
    <t>No data available and/or not informed</t>
  </si>
  <si>
    <t>No data available or non-existent</t>
  </si>
  <si>
    <t>No data available or no monitoring capacity</t>
  </si>
  <si>
    <t xml:space="preserve">National </t>
  </si>
  <si>
    <t>No data available</t>
  </si>
  <si>
    <t>✖</t>
  </si>
  <si>
    <t>Media</t>
  </si>
  <si>
    <t>Important</t>
  </si>
  <si>
    <t>Informed</t>
  </si>
  <si>
    <t>Under development</t>
  </si>
  <si>
    <t>Significant disruptions</t>
  </si>
  <si>
    <t>Significant shortages</t>
  </si>
  <si>
    <t>No programmes</t>
  </si>
  <si>
    <t>Satisfactory in less than 50% of the city area</t>
  </si>
  <si>
    <t>Public Knowledge</t>
  </si>
  <si>
    <t>Monitors</t>
  </si>
  <si>
    <t>Developed but not implemented</t>
  </si>
  <si>
    <t>Seasonal disruptions</t>
  </si>
  <si>
    <t>Seasonal shortages</t>
  </si>
  <si>
    <t>Satisfactory in more than 50% of the city area</t>
  </si>
  <si>
    <t>Exerts influence</t>
  </si>
  <si>
    <t>Under implementation</t>
  </si>
  <si>
    <t>No major disruptions</t>
  </si>
  <si>
    <t>No major shortages</t>
  </si>
  <si>
    <t>Satisfactory in 100% of the city area</t>
  </si>
  <si>
    <t>[PT]</t>
  </si>
  <si>
    <t>Exerts control</t>
  </si>
  <si>
    <t>Under implementation, with regular monitoring and revision</t>
  </si>
  <si>
    <t>Implemented</t>
  </si>
  <si>
    <t>[TT]</t>
  </si>
  <si>
    <t>Fully controls and operates</t>
  </si>
  <si>
    <t>Implemented, periodically monitored and reviewed</t>
  </si>
  <si>
    <t>[PT]+[FF]</t>
  </si>
  <si>
    <t xml:space="preserve">SOCIAL - DATA </t>
  </si>
  <si>
    <t>Yes / No describe</t>
  </si>
  <si>
    <t>Yes/No / Partially</t>
  </si>
  <si>
    <t>Difficulty</t>
  </si>
  <si>
    <t>Hard to estimate</t>
  </si>
  <si>
    <t>No initiatives</t>
  </si>
  <si>
    <t>Subnational</t>
  </si>
  <si>
    <t>Yes. Please describe.</t>
  </si>
  <si>
    <t>Partially</t>
  </si>
  <si>
    <t>Could be estimated</t>
  </si>
  <si>
    <t>Yes, please describe.</t>
  </si>
  <si>
    <t>Unreachable</t>
  </si>
  <si>
    <t>Metropolitan</t>
  </si>
  <si>
    <t>Yes / No specify</t>
  </si>
  <si>
    <t>Yes Specify</t>
  </si>
  <si>
    <t>Yes, please specify groups.</t>
  </si>
  <si>
    <t>Yes, please specify social group.</t>
  </si>
  <si>
    <t>Yes, please specify how often they meet</t>
  </si>
  <si>
    <t>No, everyone participates.</t>
  </si>
  <si>
    <t xml:space="preserve">CITY ID </t>
  </si>
  <si>
    <t>Main supra-local divisions</t>
  </si>
  <si>
    <t xml:space="preserve">Other supra-local divisions </t>
  </si>
  <si>
    <t>Climate type</t>
  </si>
  <si>
    <t>Ecosystem Types</t>
  </si>
  <si>
    <t xml:space="preserve">Industrial or mining activities within the city. </t>
  </si>
  <si>
    <t>Population Groups</t>
  </si>
  <si>
    <t>Water Bodies</t>
  </si>
  <si>
    <t>CSO's Collaboration</t>
  </si>
  <si>
    <t xml:space="preserve">Region </t>
  </si>
  <si>
    <t>District</t>
  </si>
  <si>
    <t>Equatorial - Wet</t>
  </si>
  <si>
    <t>Marine</t>
  </si>
  <si>
    <t xml:space="preserve">Mining
</t>
  </si>
  <si>
    <t>Children</t>
  </si>
  <si>
    <t>Sea</t>
  </si>
  <si>
    <t>State</t>
  </si>
  <si>
    <t>County</t>
  </si>
  <si>
    <t>Equatorial - Monsoonal</t>
  </si>
  <si>
    <t>Island</t>
  </si>
  <si>
    <t>Crude Petroleum and Natural Gas Production</t>
  </si>
  <si>
    <t>Elderly</t>
  </si>
  <si>
    <t>Lake</t>
  </si>
  <si>
    <t>No conflicts</t>
  </si>
  <si>
    <t>Department</t>
  </si>
  <si>
    <t>Province</t>
  </si>
  <si>
    <t>Equatorial - Summer-dry</t>
  </si>
  <si>
    <t>Coastal</t>
  </si>
  <si>
    <t>Manufacturing of Chemicals and Chemical, Petroleum, Coal, Rubber and Plastic products</t>
  </si>
  <si>
    <t>Migrants</t>
  </si>
  <si>
    <t>River</t>
  </si>
  <si>
    <t>Nation</t>
  </si>
  <si>
    <t>Equatorial - Winter-dry</t>
  </si>
  <si>
    <t>Inland surface water and wetlands</t>
  </si>
  <si>
    <t>Other manufacturing industries</t>
  </si>
  <si>
    <t>Physically and/or mentally disabled</t>
  </si>
  <si>
    <t>Canal</t>
  </si>
  <si>
    <t>Arid - Desert, cold arid</t>
  </si>
  <si>
    <t>Forest</t>
  </si>
  <si>
    <t>Unemployed</t>
  </si>
  <si>
    <t>Estuary</t>
  </si>
  <si>
    <t>Arid - Desert, hot arid</t>
  </si>
  <si>
    <t>Mountain</t>
  </si>
  <si>
    <t>Women</t>
  </si>
  <si>
    <t>Arid - Steppe, cold arid</t>
  </si>
  <si>
    <t>Dryland and deserts</t>
  </si>
  <si>
    <t>Arid - Steppe, hot arid</t>
  </si>
  <si>
    <t>Polar</t>
  </si>
  <si>
    <t>Warm temperature - Humid</t>
  </si>
  <si>
    <t>Cultivated</t>
  </si>
  <si>
    <t>Warm temperature - Summer-dry</t>
  </si>
  <si>
    <t>Urban/Built-up</t>
  </si>
  <si>
    <t>Warm temperature - Winter-dry</t>
  </si>
  <si>
    <t>Continental - Humid</t>
  </si>
  <si>
    <t>Continental - Summer-dry</t>
  </si>
  <si>
    <t>Continental - Winter-dry</t>
  </si>
  <si>
    <t>Polar - Tundra</t>
  </si>
  <si>
    <t>Polar - Frost</t>
  </si>
  <si>
    <t>STAKEHOLDERS</t>
  </si>
  <si>
    <t>Stakeholder Type</t>
  </si>
  <si>
    <t>Stakeholder Involvement/Engagement</t>
  </si>
  <si>
    <t>publicly published and accessible?</t>
  </si>
  <si>
    <t>Financial</t>
  </si>
  <si>
    <t>Stakeholders type</t>
  </si>
  <si>
    <t>Relationship</t>
  </si>
  <si>
    <t>Stakeholders responsibility</t>
  </si>
  <si>
    <t>Stakeholders scale</t>
  </si>
  <si>
    <t>Public</t>
  </si>
  <si>
    <t>No data available or does not inform</t>
  </si>
  <si>
    <t>Rules and regulations</t>
  </si>
  <si>
    <t xml:space="preserve">Human </t>
  </si>
  <si>
    <t>Economic</t>
  </si>
  <si>
    <t>Local Government, (please indicate relevant internal groups [+])</t>
  </si>
  <si>
    <t>No legal engagement</t>
  </si>
  <si>
    <t>Yes, aligned with government development plan</t>
  </si>
  <si>
    <t>Private</t>
  </si>
  <si>
    <t>Informs</t>
  </si>
  <si>
    <t>Plans</t>
  </si>
  <si>
    <t>Material</t>
  </si>
  <si>
    <t>Geographical</t>
  </si>
  <si>
    <t>Yes, partially complies</t>
  </si>
  <si>
    <t>Yes, not aligned with government development plan</t>
  </si>
  <si>
    <t>PPP</t>
  </si>
  <si>
    <t>Consults</t>
  </si>
  <si>
    <t>Budget and investments</t>
  </si>
  <si>
    <t>Socio-cultural</t>
  </si>
  <si>
    <t>Legally engages</t>
  </si>
  <si>
    <t>Not known</t>
  </si>
  <si>
    <t>Supra-Local</t>
  </si>
  <si>
    <t>Partners up</t>
  </si>
  <si>
    <t>Open data</t>
  </si>
  <si>
    <t>Legislative</t>
  </si>
  <si>
    <t>Civil</t>
  </si>
  <si>
    <t>Formal partnership</t>
  </si>
  <si>
    <t>No, prosecuted</t>
  </si>
  <si>
    <t>None</t>
  </si>
  <si>
    <t>Other Major Institutions</t>
  </si>
  <si>
    <t>Representativeness</t>
  </si>
  <si>
    <t>Domestic funding</t>
  </si>
  <si>
    <t>Audits</t>
  </si>
  <si>
    <t>What is the staffing level of the local government's land administration and planning department? Please indicate number of staff.</t>
  </si>
  <si>
    <t>Involved</t>
  </si>
  <si>
    <t>External and international sources of funding</t>
  </si>
  <si>
    <t>All positions are filled</t>
  </si>
  <si>
    <t>Not involved</t>
  </si>
  <si>
    <t>Proportion of positions not filled/vacant</t>
  </si>
  <si>
    <t>HAZARD</t>
  </si>
  <si>
    <t>Hazard Type</t>
  </si>
  <si>
    <t>How often is the process of risk assessment conducted?</t>
  </si>
  <si>
    <t>Are the information stored and protected from loss?</t>
  </si>
  <si>
    <t>EWS</t>
  </si>
  <si>
    <t>Natural</t>
  </si>
  <si>
    <t xml:space="preserve">Every six months   </t>
  </si>
  <si>
    <t>Yes stored and protected</t>
  </si>
  <si>
    <t>No data available or not informed</t>
  </si>
  <si>
    <t>Environmental</t>
  </si>
  <si>
    <t xml:space="preserve">Every year/ annually   </t>
  </si>
  <si>
    <t xml:space="preserve">Yes stored </t>
  </si>
  <si>
    <t>Not tested periodically</t>
  </si>
  <si>
    <t>Socio-political</t>
  </si>
  <si>
    <t xml:space="preserve">Every 2- 3 years   </t>
  </si>
  <si>
    <t>Tested periodically</t>
  </si>
  <si>
    <t xml:space="preserve">Every 3-5 years   </t>
  </si>
  <si>
    <t>Are the information accessible?</t>
  </si>
  <si>
    <t>Tested and upgraded periodically</t>
  </si>
  <si>
    <t>Technological</t>
  </si>
  <si>
    <t xml:space="preserve">More than 5 years   </t>
  </si>
  <si>
    <t>Fully</t>
  </si>
  <si>
    <t>Restricted access for relevant stakeholders</t>
  </si>
  <si>
    <t>Government only</t>
  </si>
  <si>
    <t>URBAN SYSTEM</t>
  </si>
  <si>
    <t>Vehicle coverage 11421</t>
  </si>
  <si>
    <t xml:space="preserve">ECONOMY- Reasons </t>
  </si>
  <si>
    <t>ENVIRONMENT - Water Body Type</t>
  </si>
  <si>
    <t>Public services reasons</t>
  </si>
  <si>
    <t>Existence of collaboration between different associations</t>
  </si>
  <si>
    <t>Existence of conflicts between different associations,</t>
  </si>
  <si>
    <t>Capacity building and awareness</t>
  </si>
  <si>
    <t>MOBILITY</t>
  </si>
  <si>
    <t>Motorised vehicles growth rate</t>
  </si>
  <si>
    <t>Mobility 761124</t>
  </si>
  <si>
    <t xml:space="preserve">Yes, implemented with charging spots and/or battery switching stations
</t>
  </si>
  <si>
    <t>Yes, implemented with filling stations</t>
  </si>
  <si>
    <t xml:space="preserve">No data available
</t>
  </si>
  <si>
    <t>No data available or not monitoring capacity</t>
  </si>
  <si>
    <t>Sharp increase/decrease</t>
  </si>
  <si>
    <t>Adequate</t>
  </si>
  <si>
    <t xml:space="preserve">Under implementation
</t>
  </si>
  <si>
    <t>With an adaptor</t>
  </si>
  <si>
    <t>Geographical/environmental</t>
  </si>
  <si>
    <t>No collaboration</t>
  </si>
  <si>
    <t>Stable increase/decrease</t>
  </si>
  <si>
    <t>Inadequate</t>
  </si>
  <si>
    <t>Social/cultural</t>
  </si>
  <si>
    <t>Yes, please describe programmes and target groups.</t>
  </si>
  <si>
    <t>Yes, please describe initiatives and target groups.</t>
  </si>
  <si>
    <t>Yes, please describe trainings and target groups.</t>
  </si>
  <si>
    <t>Yes, please specify mechanisms.</t>
  </si>
  <si>
    <t>Technical/technological</t>
  </si>
  <si>
    <t>Other: please specify</t>
  </si>
  <si>
    <t>Land tenure 2.2.21</t>
  </si>
  <si>
    <t>Land tenure 2.2.3.5</t>
  </si>
  <si>
    <t>Land tenure 2.2.3.6</t>
  </si>
  <si>
    <t>Yes, please specify land rights types.</t>
  </si>
  <si>
    <t>Yes, please specify group(s).</t>
  </si>
  <si>
    <t>ENVIRONMENT -Water body usage(s)</t>
  </si>
  <si>
    <t>Yes, with barrier(s). Please specify barrier(s) and group(s).</t>
  </si>
  <si>
    <t>Yes, please describe type(s).</t>
  </si>
  <si>
    <t>Commercial</t>
  </si>
  <si>
    <t>No, please specify group(s).</t>
  </si>
  <si>
    <t>Domestic</t>
  </si>
  <si>
    <t>Transport</t>
  </si>
  <si>
    <t>Recreation</t>
  </si>
  <si>
    <t>Water storage</t>
  </si>
  <si>
    <t>Protected area</t>
  </si>
  <si>
    <t>0 - 3 years</t>
  </si>
  <si>
    <t>0 - 5 years</t>
  </si>
  <si>
    <t>No monitoring capacity</t>
  </si>
  <si>
    <t>0 - 10 years</t>
  </si>
  <si>
    <t>More than 10 years</t>
  </si>
  <si>
    <t>STAKEHOLDERS DATABASE [+]</t>
  </si>
  <si>
    <t>Stakeholders involved in the Component.</t>
  </si>
  <si>
    <t>Policies, Plans and Initiatives related to the Component.</t>
  </si>
  <si>
    <t>*Complete metadata of Indicators available in the CRPT Implementation Manual</t>
  </si>
  <si>
    <t>Considerations*</t>
  </si>
  <si>
    <t>[CITY]</t>
  </si>
  <si>
    <t>Policies, Plans and Initiatives Database</t>
  </si>
  <si>
    <t>Stakeholders Database</t>
  </si>
  <si>
    <r>
      <t xml:space="preserve">Select hyperlink under the </t>
    </r>
    <r>
      <rPr>
        <b/>
        <sz val="10"/>
        <rFont val="Roboto"/>
      </rPr>
      <t>ANSWER</t>
    </r>
    <r>
      <rPr>
        <sz val="10"/>
        <rFont val="Roboto"/>
      </rPr>
      <t xml:space="preserve"> column and complete information for the Local Government and the most relevant Stakeholders in this component</t>
    </r>
  </si>
  <si>
    <r>
      <t xml:space="preserve">Select hyperlink under the </t>
    </r>
    <r>
      <rPr>
        <b/>
        <sz val="10"/>
        <rFont val="Roboto"/>
      </rPr>
      <t>ANSWER</t>
    </r>
    <r>
      <rPr>
        <sz val="10"/>
        <rFont val="Roboto"/>
      </rPr>
      <t xml:space="preserve"> column and complete information for the most relevant Policies, Plans and Initiatives in this component</t>
    </r>
  </si>
  <si>
    <t>Data Collection
Comments</t>
  </si>
  <si>
    <t>Benchmark
Comments</t>
  </si>
  <si>
    <t>Working Notes</t>
  </si>
  <si>
    <t>COMPONENT DATA COLLECTION STATUS</t>
  </si>
  <si>
    <t>Supporting Indicators and Related Questions</t>
  </si>
  <si>
    <t>If data regarding age is available, please insert the following rows:</t>
  </si>
  <si>
    <t>If data regarding groups in vulnerable situation is available, please insert the following rows:</t>
  </si>
  <si>
    <t>5.1</t>
  </si>
  <si>
    <t>PUBLIC WORKS</t>
  </si>
  <si>
    <t>PUBLIC LIGHTING</t>
  </si>
  <si>
    <t>5.1.1</t>
  </si>
  <si>
    <t>5.1.1.1</t>
  </si>
  <si>
    <t>Percentage of public space covered by public lighting. If possible, disaggregate per type of space</t>
  </si>
  <si>
    <t>Public lighting</t>
  </si>
  <si>
    <t>Coverage (%)</t>
  </si>
  <si>
    <t>General Coverage</t>
  </si>
  <si>
    <t>Lighting of primary roads</t>
  </si>
  <si>
    <t>Lighting of secondary roads</t>
  </si>
  <si>
    <t>Lighting of pedestrian paths and bicycle lanes</t>
  </si>
  <si>
    <t>Lighting of public open spaces</t>
  </si>
  <si>
    <t>Lighting of outdoor sports facilities</t>
  </si>
  <si>
    <t>Lighting of cultural heritage sites</t>
  </si>
  <si>
    <t>Lighting of bridges and tunnels</t>
  </si>
  <si>
    <t>Lighting of transport hubs</t>
  </si>
  <si>
    <t>5.1.1.2</t>
  </si>
  <si>
    <t>What level of disruption does the public lighting service face?</t>
  </si>
  <si>
    <t>planning timeline</t>
  </si>
  <si>
    <t xml:space="preserve">Yes Specify /No </t>
  </si>
  <si>
    <t>Yes/No / Flat</t>
  </si>
  <si>
    <t>Yes, please specify</t>
  </si>
  <si>
    <t>Remained relatively flat</t>
  </si>
  <si>
    <t>Universal healthcare, regardless the parents'/tutors' status (insured/not insured)</t>
  </si>
  <si>
    <t>Healthcare insurance only if the parents/tutors are insured</t>
  </si>
  <si>
    <t>SIP</t>
  </si>
  <si>
    <t>FOOD SHORTAGE</t>
  </si>
  <si>
    <t>CSO VOTE</t>
  </si>
  <si>
    <t>CONTINUITY</t>
  </si>
  <si>
    <t>CONTINUITY FOOD</t>
  </si>
  <si>
    <t>Last year</t>
  </si>
  <si>
    <t>Their vote is consultative</t>
  </si>
  <si>
    <t>Yes, their vote is consultative</t>
  </si>
  <si>
    <t>Yes, 100%</t>
  </si>
  <si>
    <t>Yes, free of charge, regardless the health insurance status</t>
  </si>
  <si>
    <t xml:space="preserve">Unknown </t>
  </si>
  <si>
    <t>Last five years</t>
  </si>
  <si>
    <t>Their vote is decisive</t>
  </si>
  <si>
    <t>Yes, their vote is decisive</t>
  </si>
  <si>
    <t xml:space="preserve">Yes, partial (specify the percentage / can be deducted from 6.2.2.1.1 to 6.2.2.1.6) </t>
  </si>
  <si>
    <t>Yes, free of charge, covered by health insurance</t>
  </si>
  <si>
    <t>Significant</t>
  </si>
  <si>
    <t>Last ten years</t>
  </si>
  <si>
    <t>No basic universal healthcare insurance</t>
  </si>
  <si>
    <t>Yes, market prices</t>
  </si>
  <si>
    <t xml:space="preserve">Seasonal Disruptions </t>
  </si>
  <si>
    <t>No Disruptions</t>
  </si>
  <si>
    <t>No significant shortages</t>
  </si>
  <si>
    <t>BASIC INFRASTRUCTURE</t>
  </si>
  <si>
    <t>Yes, free of charge. Please specify areas.</t>
  </si>
  <si>
    <t>Internal</t>
  </si>
  <si>
    <t>Yes, as a paid service. Please specify areas.</t>
  </si>
  <si>
    <t>External, please describe</t>
  </si>
  <si>
    <t>No.</t>
  </si>
  <si>
    <t>Yes no Not aplicable</t>
  </si>
  <si>
    <t>Yes No Recurrence Interval</t>
  </si>
  <si>
    <t>Yes / No Specify</t>
  </si>
  <si>
    <t>Yes, regular sampling and monitoring</t>
  </si>
  <si>
    <t>Yes, for a 25-year recurrence interval.</t>
  </si>
  <si>
    <t>No data available and no monitoring capacity</t>
  </si>
  <si>
    <t>Occasional sampling and monitoring</t>
  </si>
  <si>
    <t xml:space="preserve">No </t>
  </si>
  <si>
    <t>Yes, for a 10-year recurrence interval.</t>
  </si>
  <si>
    <t>No. Please, specify areas.</t>
  </si>
  <si>
    <t>Significant disruptions (specify period of the year)</t>
  </si>
  <si>
    <t>No sampling</t>
  </si>
  <si>
    <t>Seasonal disruptions (specify season)</t>
  </si>
  <si>
    <t>water O&amp;M</t>
  </si>
  <si>
    <t>STORMWATER MANAGEMENT</t>
  </si>
  <si>
    <t xml:space="preserve">Trend in Consumption </t>
  </si>
  <si>
    <t>CLEAN VEHICLE NETWORK</t>
  </si>
  <si>
    <t>Asset database for water supply system</t>
  </si>
  <si>
    <t>Infrastructure fully in place designed to deal with 25-year flood scenario with minimal economic or humanitarian impact.</t>
  </si>
  <si>
    <t>Sharp increase</t>
  </si>
  <si>
    <t>Yes, implemented with stations</t>
  </si>
  <si>
    <t>Yes.</t>
  </si>
  <si>
    <t>Operation and maintenance plan for water supply management</t>
  </si>
  <si>
    <t>Infrastructure has some deficiencies relative to 25-year flood scenario but designed to deal with 10-year flood scenario.</t>
  </si>
  <si>
    <t>With an adaptor.</t>
  </si>
  <si>
    <t>Regular maintenance of water supply network</t>
  </si>
  <si>
    <t>Infrastructure would mitigate most of 10-year flood scenario but some impacts would be felt; deficiencies relative to  25-year flood are more serious.</t>
  </si>
  <si>
    <t>Sharp decrease</t>
  </si>
  <si>
    <t>Regular monitoring and replacing of ageing infrastructure</t>
  </si>
  <si>
    <t>Infrastructure would allow significant damage/ impact from 10-year flood, and potentially catastrophic damage from  25-year flood.</t>
  </si>
  <si>
    <t>No measures taken</t>
  </si>
  <si>
    <t>Infrastructure would mitigate some impacts but would still allow potentially catastrophic damage from 10-year flood scenario.</t>
  </si>
  <si>
    <t>Others, please specify</t>
  </si>
  <si>
    <t>No protection in place.</t>
  </si>
  <si>
    <t>TELECOM</t>
  </si>
  <si>
    <t>Local Public Broadcasting. Please indicate spatial coverage.</t>
  </si>
  <si>
    <t>National Public Broadcasting. Please indicate spatial coverage.</t>
  </si>
  <si>
    <t>WASTE</t>
  </si>
  <si>
    <t xml:space="preserve">Legal obligation of pre-treatment </t>
  </si>
  <si>
    <t>Trends</t>
  </si>
  <si>
    <t>Selection of service</t>
  </si>
  <si>
    <t>Collection</t>
  </si>
  <si>
    <t>Only specific types of waste</t>
  </si>
  <si>
    <t>Treatment</t>
  </si>
  <si>
    <t>All types of waste</t>
  </si>
  <si>
    <t>ENERGY</t>
  </si>
  <si>
    <t>Both network and individual back-up capacity</t>
  </si>
  <si>
    <t>By the network only</t>
  </si>
  <si>
    <t>By individual back-up capacity only</t>
  </si>
  <si>
    <t>Municpal Public SERVICES</t>
  </si>
  <si>
    <t>alternatives</t>
  </si>
  <si>
    <t>crime-watch organisation</t>
  </si>
  <si>
    <t>capabilities</t>
  </si>
  <si>
    <t>reuse of graves</t>
  </si>
  <si>
    <t>cultural requirements</t>
  </si>
  <si>
    <t>existing regulations</t>
  </si>
  <si>
    <t>contamination risk</t>
  </si>
  <si>
    <t>distribution pattern</t>
  </si>
  <si>
    <t>quality insurance</t>
  </si>
  <si>
    <t>cultural policies/plans</t>
  </si>
  <si>
    <t>food inspections risk-based</t>
  </si>
  <si>
    <t>Data storage</t>
  </si>
  <si>
    <t>databases</t>
  </si>
  <si>
    <t>MECHANISMS: data analysed and reported</t>
  </si>
  <si>
    <t>AWARENESS RAISING MECHANISMS</t>
  </si>
  <si>
    <t>Awareness-raising activities</t>
  </si>
  <si>
    <t>type of surveillance</t>
  </si>
  <si>
    <t>Data storage availability</t>
  </si>
  <si>
    <t>data analysed and reported</t>
  </si>
  <si>
    <t xml:space="preserve"> AWARENESS RAISING MECHANISMS</t>
  </si>
  <si>
    <t>COVERAGE OF PUBLIC LIGHTING</t>
  </si>
  <si>
    <t xml:space="preserve">switch off lighting </t>
  </si>
  <si>
    <t>MAINTENANCE OF PUBLIC LIGHTING INFRASTRUCTURE</t>
  </si>
  <si>
    <t>COVERAGE OF BURIAL AND CREMATION SERVICES</t>
  </si>
  <si>
    <t xml:space="preserve">long-term storage of non-cremated remains </t>
  </si>
  <si>
    <t>Plans for further development of the burial and crematory infrastructure</t>
  </si>
  <si>
    <t>FOOD SAFETY INFORMATION DISSEMINATION AND AWARENESS RAISING MECHANISMS</t>
  </si>
  <si>
    <t>CONTINUITY OF PUBLIC LIGHTING OPERATIONS</t>
  </si>
  <si>
    <t>Capacity</t>
  </si>
  <si>
    <t>Yes, please specify alternatives</t>
  </si>
  <si>
    <t>Yes, please specify how many, location and reason for activity</t>
  </si>
  <si>
    <t>Yes, legal and practiced.</t>
  </si>
  <si>
    <t>Yes, protected by law and practiced.</t>
  </si>
  <si>
    <t>All regulations are monitored and enforced</t>
  </si>
  <si>
    <t>Yes, please identify</t>
  </si>
  <si>
    <t>Neighbourhood</t>
  </si>
  <si>
    <t>Local Level</t>
  </si>
  <si>
    <t>No database available</t>
  </si>
  <si>
    <t>No regular analyses</t>
  </si>
  <si>
    <t>Yes, targeted</t>
  </si>
  <si>
    <t>Yes, targeted groups, please indicate groups</t>
  </si>
  <si>
    <t>Categorical/vertical disease surveillance</t>
  </si>
  <si>
    <t>No regular analyses.</t>
  </si>
  <si>
    <t>Yes, targeted institutions</t>
  </si>
  <si>
    <t>Yes, please specify schedule</t>
  </si>
  <si>
    <t>Yes, for all types of lighting used</t>
  </si>
  <si>
    <t>Yes, protocols exist and are enforced.</t>
  </si>
  <si>
    <t>Yes, it requires extension and the municipality plans to extend it.</t>
  </si>
  <si>
    <t>Yes, targeted groups</t>
  </si>
  <si>
    <t>No, please specify</t>
  </si>
  <si>
    <t>Legal but not practiced.</t>
  </si>
  <si>
    <t>Practiced only.</t>
  </si>
  <si>
    <t>Some to all regulations are monitored, but only few are enforced</t>
  </si>
  <si>
    <t>No data available.</t>
  </si>
  <si>
    <t xml:space="preserve">Regional Level </t>
  </si>
  <si>
    <t>No, but the policies and plans consider the interests of women and groups in vulnerable situations.</t>
  </si>
  <si>
    <t>Yes, food businesses are prioritised according to risk factors</t>
  </si>
  <si>
    <t xml:space="preserve">Each level has its own database and they are not interlinked </t>
  </si>
  <si>
    <t>Complete listing of key food businesses</t>
  </si>
  <si>
    <t>Each level carries-out its own regular analyses (please specify frequency)</t>
  </si>
  <si>
    <t>Integrated disease surveillance</t>
  </si>
  <si>
    <t>Each level carries-out its own regular analyses (please specify frequency).</t>
  </si>
  <si>
    <t>No, please identify night lighting methods used</t>
  </si>
  <si>
    <t>Yes, for some types of lighting used, please specify</t>
  </si>
  <si>
    <t>Stable increase</t>
  </si>
  <si>
    <t>The burial infrastructure does not meet the needs of the population.</t>
  </si>
  <si>
    <t>Protocols exist, but are not or sporadically enforced.</t>
  </si>
  <si>
    <t>Yes, it does not require immediate extension but the municipality plans to extend it.</t>
  </si>
  <si>
    <t>Protected by law only.</t>
  </si>
  <si>
    <t>Some to all regulations are monitored, but none are enforced</t>
  </si>
  <si>
    <t xml:space="preserve">National Level </t>
  </si>
  <si>
    <t>No, but the policies and plans consider the interests of women.</t>
  </si>
  <si>
    <t>Yes, with prioritisation and audit-type inspections requiring HACCP/HACCP-based plans</t>
  </si>
  <si>
    <t xml:space="preserve">Each level has its own database but they are interlinked </t>
  </si>
  <si>
    <t>Complete listing and data on key food businesses (product profiles and compliance histories)</t>
  </si>
  <si>
    <t>Each level carries-out its own regular analyses with regular communication between levels (please specify frequency)</t>
  </si>
  <si>
    <t>Both</t>
  </si>
  <si>
    <t>Each level carries-out its own regular analyses with regular reporting between levels (please specify frequency).</t>
  </si>
  <si>
    <t>No regulations exist</t>
  </si>
  <si>
    <t>Stable decrease</t>
  </si>
  <si>
    <t>The cremation infrastructure does not meet the needs of the population.</t>
  </si>
  <si>
    <t>No, no protocols exist.</t>
  </si>
  <si>
    <t>No, it requires extension, but the municipality does not have the possibility to extend it.</t>
  </si>
  <si>
    <t>No, neither protected by law or practiced.</t>
  </si>
  <si>
    <t>No monitoring, nor enforcement</t>
  </si>
  <si>
    <t>No, but the policies and plans consider the interests of groups in vulnerable situations.</t>
  </si>
  <si>
    <t>A unique data storage mechanism is in place, with different levels of access</t>
  </si>
  <si>
    <t>Complete listing and data on key food businesses (HACCP/HACCP-based system)</t>
  </si>
  <si>
    <t>Regular analyses are carried out in a joint manner, gathering specialists and data from all levels of responsibility (please specify frequency)</t>
  </si>
  <si>
    <t>Regular analyses are carried out in a joint manner, gathering specialists and data from all levels of responsibility (please specify frequency).</t>
  </si>
  <si>
    <t>No, neither the burial or cremation infrastructures meet the needs of the population.</t>
  </si>
  <si>
    <t>No, it does not require extension, therefore the municipality does not have plans to extend it.</t>
  </si>
  <si>
    <t>Vital Event Type</t>
  </si>
  <si>
    <t>Detention Facilities</t>
  </si>
  <si>
    <t>Taxes</t>
  </si>
  <si>
    <t>authority taxes</t>
  </si>
  <si>
    <t>Birth Registration</t>
  </si>
  <si>
    <t>Pre-trial</t>
  </si>
  <si>
    <t>Autonomous institution</t>
  </si>
  <si>
    <t>Unique Authority</t>
  </si>
  <si>
    <t>Marriage</t>
  </si>
  <si>
    <t>Juvenile</t>
  </si>
  <si>
    <t>Subordinated service</t>
  </si>
  <si>
    <t>Multiple branches/ offices</t>
  </si>
  <si>
    <t>Divorce</t>
  </si>
  <si>
    <t>Adult</t>
  </si>
  <si>
    <t>Death Registration</t>
  </si>
  <si>
    <t>Immigration</t>
  </si>
  <si>
    <t>Coverage of lighting for roads and lanes can be determined by percentage of streets with lighting by linear meters. For other open spaces, coverage can be determined by the percentage of number of spaces with lighitng over the total number. Consider other more comprehensive means of determining public lighting coverage if locally available.
Primary roads refer to arterial roads and major secondary distributors such as highways and main roads that connect neighbourhoods on a city-wide scale. Primary roads are designed for the continuous flow of vehicular traffic, and often consist of 4 lanes or more, with limited or no space for walking.
Secondary roads concern minor roads that distribute and collect traffic at a neighbourhood scale such as the neighbourhood’s high street, as well as local streets that provide access to individual plots. Secondary roads often consist of 1 to 4 lanes with space for sidewalks, and are in most cases not only commonly used by vehicles, but also by cyclists and pedestrians.
Pedestrian paths and bicycle lanes are streets that have been (re)designed specifically for non-motorised traffic. Walking and cycling infrastructure may serve the sole purpose of transit, or may provide space for commercial, cultural, recreational and other community activities. Access by motorised vehicles is either prohibited altogether, or restricted to certain time slots (e.g. for the loading and unloading of goods).
Public open spaces encompass open-air, outdoors areas in the city that are accessible by the public for recreational use, e.g. public parks, squares, recreational green areas, public playgrounds and widened pedestrian areas. It does not include streets, unless the city specifically indicates them as recreational space, or areas devoted to public facilities – e.g. schools, stadiums, hospitals – that are not open to the general public. It also does not include open spaces that are in private ownership or vacant lands in private ownership.
Cultural heritage sites include the tangible parts of a city that are of particular historic value, such as archaeological and natural sites, buildings (landmarks, palaces, temples etc.), or monuments (statues, obelisks, sculptures etc.).
Bridges and tunnels are examples of public critical infrastructure that are essential in case of emergencies to guarantee continued provision of basic services, in order to protect public health, safety and security.
Transport hubs are places in the transport network that may provide easy access to the entire network, allow for intermodal changes (e.g. changing from train to bus or metro), and/or have become destinations due to their close proximity to important facilities (e.g. ports, logistics centres). Transport hubs may include bus terminals, long-distance train stations, airports and airfields, ports, amongst others.
Public lighting in large cities and urban centres is generally installed by municipal authorities, while regional or central governments are often in charge of the implementation on highways or main road infrastructure. Local, regional and central governments may however outsource the provision and/or maintenance of lighting infrastructure to private companies.</t>
  </si>
  <si>
    <t xml:space="preserve">5.1.1.1.1	If coverage of public lighting is less than 100%, please identify barriers (answer in 5.1.1.1)							</t>
  </si>
  <si>
    <t>text</t>
  </si>
  <si>
    <t>Barriers
(see 5.1.1.1.1)</t>
  </si>
  <si>
    <r>
      <t xml:space="preserve">Please, fill in the table under column </t>
    </r>
    <r>
      <rPr>
        <b/>
        <sz val="10"/>
        <rFont val="Roboto"/>
      </rPr>
      <t>Main.</t>
    </r>
    <r>
      <rPr>
        <sz val="10"/>
        <rFont val="Roboto"/>
      </rPr>
      <t xml:space="preserve">
 </t>
    </r>
  </si>
  <si>
    <r>
      <rPr>
        <sz val="10"/>
        <rFont val="Roboto"/>
      </rPr>
      <t xml:space="preserve">Barriers to full coverage under column </t>
    </r>
    <r>
      <rPr>
        <b/>
        <sz val="10"/>
        <rFont val="Roboto"/>
      </rPr>
      <t>Secondary</t>
    </r>
    <r>
      <rPr>
        <sz val="10"/>
        <rFont val="Roboto"/>
      </rPr>
      <t xml:space="preserve"> may include Financial capacity; Geospatial setting; Normative and Institutional frameworks; Other, please specify.</t>
    </r>
  </si>
  <si>
    <t>[%]</t>
  </si>
  <si>
    <t>Barriers</t>
  </si>
  <si>
    <t>Geospatial setting</t>
  </si>
  <si>
    <t>Normative and institutional frameworks</t>
  </si>
  <si>
    <r>
      <rPr>
        <sz val="10"/>
        <rFont val="Roboto"/>
      </rPr>
      <t xml:space="preserve">Please, select the relevant field under column </t>
    </r>
    <r>
      <rPr>
        <b/>
        <sz val="10"/>
        <rFont val="Roboto"/>
      </rPr>
      <t xml:space="preserve">Main.
</t>
    </r>
    <r>
      <rPr>
        <sz val="10"/>
        <rFont val="Roboto"/>
      </rPr>
      <t>Please specify, if required</t>
    </r>
    <r>
      <rPr>
        <b/>
        <sz val="10"/>
        <rFont val="Roboto"/>
      </rPr>
      <t xml:space="preserve"> </t>
    </r>
    <r>
      <rPr>
        <sz val="10"/>
        <rFont val="Roboto"/>
      </rPr>
      <t>under column</t>
    </r>
    <r>
      <rPr>
        <b/>
        <sz val="10"/>
        <rFont val="Roboto"/>
      </rPr>
      <t xml:space="preserve"> Secondary.</t>
    </r>
  </si>
  <si>
    <t>Select from list</t>
  </si>
  <si>
    <t>5.1.1.2.1 Does the municipality use a night lighting schedule?</t>
  </si>
  <si>
    <r>
      <t xml:space="preserve">Please, select the relevant field under column </t>
    </r>
    <r>
      <rPr>
        <b/>
        <sz val="10"/>
        <rFont val="Roboto"/>
      </rPr>
      <t>Main.</t>
    </r>
    <r>
      <rPr>
        <sz val="10"/>
        <rFont val="Roboto"/>
      </rPr>
      <t xml:space="preserve">
If Yes is selected, please specify schedule under column </t>
    </r>
    <r>
      <rPr>
        <b/>
        <sz val="10"/>
        <rFont val="Roboto"/>
      </rPr>
      <t>Secondary.</t>
    </r>
  </si>
  <si>
    <r>
      <t xml:space="preserve">Please, select the relevant field under column </t>
    </r>
    <r>
      <rPr>
        <b/>
        <sz val="10"/>
        <rFont val="Roboto"/>
      </rPr>
      <t>Main.</t>
    </r>
    <r>
      <rPr>
        <sz val="10"/>
        <rFont val="Roboto"/>
      </rPr>
      <t xml:space="preserve">
If No, please identify night lighting methods used under column </t>
    </r>
    <r>
      <rPr>
        <b/>
        <sz val="10"/>
        <rFont val="Roboto"/>
      </rPr>
      <t>Secondary.</t>
    </r>
  </si>
  <si>
    <t>5.1.1.2.2 Does the municipality switch off lighting for the entire city during the specified</t>
  </si>
  <si>
    <t>5.1.1.3</t>
  </si>
  <si>
    <t>Proportion of different lighting types installed from the total public lighting infrastructure in the city</t>
  </si>
  <si>
    <t xml:space="preserve">Night lighting consists in reducing the provision of public lighting either for a certain number of hours or during the entire night. Local governments may adopt a night lighting schedule to reduce energy consumption and save costs. 
Different techniques include turning off public lighting throughout the entire city, called full switch-off, or switching off or dimming lighting in parts of the city, respectively labelled partial switch-off and dimming. A city may for instance choose to only turn off the lighting on certain stretches of road, or on a specific type of road, or to dim lamps in parks. Partial switch-off and dimming techniques are often informed by a study of nocturnal pedestrian, cyclist and vehicular traffic patterns. When opting to switching off lighting, a municipality may install movement sensors, to ensure that spaces light up at all times when a person is present. </t>
  </si>
  <si>
    <t>Select from range [✖] and [%]</t>
  </si>
  <si>
    <r>
      <t xml:space="preserve">Please, select relevant fields under column </t>
    </r>
    <r>
      <rPr>
        <b/>
        <sz val="10"/>
        <rFont val="Roboto"/>
      </rPr>
      <t>Main</t>
    </r>
    <r>
      <rPr>
        <sz val="10"/>
        <rFont val="Roboto"/>
      </rPr>
      <t xml:space="preserve">, and specify percentage under column </t>
    </r>
    <r>
      <rPr>
        <b/>
        <sz val="10"/>
        <rFont val="Roboto"/>
      </rPr>
      <t>Secondary.</t>
    </r>
    <r>
      <rPr>
        <sz val="10"/>
        <rFont val="Roboto"/>
      </rPr>
      <t xml:space="preserve">
If Other is selected, please specify type and percenage under column </t>
    </r>
    <r>
      <rPr>
        <b/>
        <sz val="10"/>
        <rFont val="Roboto"/>
      </rPr>
      <t>Secondary.</t>
    </r>
  </si>
  <si>
    <t>Mercury vapour lighting</t>
  </si>
  <si>
    <t>Metal halide lighting</t>
  </si>
  <si>
    <t>Low Pressure Sodium (LPS) lighting</t>
  </si>
  <si>
    <t>High Pressure Sodium (HPS) lighting</t>
  </si>
  <si>
    <t>LED lighting</t>
  </si>
  <si>
    <t>5.1.1.4</t>
  </si>
  <si>
    <t>Trends in Energy Consumption/capita from public lighting</t>
  </si>
  <si>
    <r>
      <rPr>
        <sz val="10"/>
        <rFont val="Roboto"/>
      </rPr>
      <t xml:space="preserve">Please, select the relevant field under column </t>
    </r>
    <r>
      <rPr>
        <b/>
        <sz val="10"/>
        <rFont val="Roboto"/>
      </rPr>
      <t>Main.</t>
    </r>
  </si>
  <si>
    <t>Stable Increase</t>
  </si>
  <si>
    <t>Stable Decrease</t>
  </si>
  <si>
    <t>Sharp Decrease</t>
  </si>
  <si>
    <t>5.1.1.4.1 Percentage of municipal budget spent on public lighting energy consumption last 5 years</t>
  </si>
  <si>
    <t xml:space="preserve"> </t>
  </si>
  <si>
    <t>Year 1</t>
  </si>
  <si>
    <t>Year 2</t>
  </si>
  <si>
    <t>Year 3</t>
  </si>
  <si>
    <t>Year 4</t>
  </si>
  <si>
    <t>Year 5</t>
  </si>
  <si>
    <t>% Budget Spent on Public Lighting</t>
  </si>
  <si>
    <t xml:space="preserve"> Public lighting energy consumption last 5 years</t>
  </si>
  <si>
    <t>[#]</t>
  </si>
  <si>
    <t>Please, fill in the table.</t>
  </si>
  <si>
    <t>Two varieties of mercury-based lighting are often used for public lighting: mercury vapour lighting and metal halide lighting. The former type of lighting consists in high pressure, gas-discharge lamps that send an electric arc through vaporised mercury to produce light. The time to run up to full light output can mount up to 7 minutes. Mercury vapour lamps are still being installed for area and road lighting, but are gradually becoming obsolete as metal halide lighting is favoured for its higher energy efficiency. The metal halide light source displays a similar high pressure gas discharge system to the mercury vapour lamp, but uses both mercury and metal halides. The run-up time of metal halide lamps is around 6 minutes. The lamps are known to shift colour over time due to the complex chemical reactions involved. Both types of mercury-based lighting require careful disposal to avoid exposure to the environment.
Sodium-based lighting refers to gas-discharge lamps that use sodium to produce light. This type of lighting takes around 5 to 10 minutes to warm up and reach full light output. The output of sodium-based lighting does not reduce over time, as compared to LEDs, but the energy consumption does increase slightly with the lamp’s age. Sodium-based lighting requires careful disposal, as sodium can become explosive when exposed to air. Two varieties exist, namely low pressure and high pressure sodium lighting, respectively abbreviated LPS and HPS. LPS lighting produces a monochromatic yellow light, and does not waste energy by generating non-visible light (e.g. infrared light). As such it causes less light pollution compared to other types of lighting such as LED. HPS lamps, instead, create a brighter yellow colour, leaning slightly towards white, that is more commonly used for street and highway lighting. HPS bulbs last longer than LPS lamps, and fit into many types of lighting fixtures due to their smaller size.
LED lighting, or Light-emitting Diodes, is a solid-state light source created by an electric current passing through a semiconductor. It has no warm up requirement, making rapid turn on and turn off at full intensity possible. In the event of a power outage, LED lights will turn on instantly when power is restored, as opposed to mercury- or sodium-based lighting. LEDs are highly energy-efficient, and have a long lifetime, generally from 15 to 20 years, saving maintenance costs to replace fixtures or bulbs. LED lighting does not release any toxic substances if damaged, unlike mercury- or sodium-based lighting. White LED street lighting may however influence sleep patterns due to melatonin suppression, and unshielded blue-rich lighting significantly worsens light pollution in the form of ‘sky glow’.</t>
  </si>
  <si>
    <t>5.1.1.5</t>
  </si>
  <si>
    <t>What operation and maintenance measures are applied?</t>
  </si>
  <si>
    <r>
      <t xml:space="preserve">Please, select relevant fields under column </t>
    </r>
    <r>
      <rPr>
        <b/>
        <sz val="10"/>
        <rFont val="Roboto"/>
      </rPr>
      <t>Main.</t>
    </r>
    <r>
      <rPr>
        <sz val="10"/>
        <rFont val="Roboto"/>
      </rPr>
      <t xml:space="preserve">
If Other is selected, please specify measure under column</t>
    </r>
    <r>
      <rPr>
        <b/>
        <sz val="10"/>
        <rFont val="Roboto"/>
      </rPr>
      <t xml:space="preserve"> Secondary.</t>
    </r>
  </si>
  <si>
    <t>Select from range [✖]</t>
  </si>
  <si>
    <t>Operation and maintenance plan for public lighting infrastructure</t>
  </si>
  <si>
    <t>Regular maintenance of all public lighting infrastructure</t>
  </si>
  <si>
    <t>Regular monitoring and replacing of non-functional infrastructure</t>
  </si>
  <si>
    <t>5.1.1.5.1 Percentage of municipal equiped with telematic network</t>
  </si>
  <si>
    <r>
      <t xml:space="preserve">Please, specify percentage under column </t>
    </r>
    <r>
      <rPr>
        <b/>
        <sz val="10"/>
        <rFont val="Roboto"/>
      </rPr>
      <t>Main.</t>
    </r>
  </si>
  <si>
    <t>5.1.1.5.2 Percentage of municipal budget spent on public lighting maintenance</t>
  </si>
  <si>
    <t>PUBLIC SPACES QUALITY, MAINTENANCE AND CLEANING</t>
  </si>
  <si>
    <t>5.1.2</t>
  </si>
  <si>
    <t>5.1.2.1</t>
  </si>
  <si>
    <t>Please select the choice that best suits primary public space furniture quality assesment</t>
  </si>
  <si>
    <t>Street &amp; Public Spaces Litter Bins</t>
  </si>
  <si>
    <t>Maintenance</t>
  </si>
  <si>
    <t>Coverage</t>
  </si>
  <si>
    <t>Public Space Furniture Quality</t>
  </si>
  <si>
    <t>Poor</t>
  </si>
  <si>
    <t>Medium</t>
  </si>
  <si>
    <t>Good</t>
  </si>
  <si>
    <t>Street &amp; Public Spaces Benches</t>
  </si>
  <si>
    <t>Street Name Signing</t>
  </si>
  <si>
    <t>Bus Stops</t>
  </si>
  <si>
    <t>Public Lavatoires</t>
  </si>
  <si>
    <r>
      <t xml:space="preserve">Please, select relevant fields for each category under columns </t>
    </r>
    <r>
      <rPr>
        <b/>
        <sz val="10"/>
        <rFont val="Roboto"/>
      </rPr>
      <t>Coverage</t>
    </r>
    <r>
      <rPr>
        <sz val="10"/>
        <rFont val="Roboto"/>
      </rPr>
      <t xml:space="preserve"> and </t>
    </r>
    <r>
      <rPr>
        <b/>
        <sz val="10"/>
        <rFont val="Roboto"/>
      </rPr>
      <t>Maintenance.</t>
    </r>
  </si>
  <si>
    <t>5.1.2.2</t>
  </si>
  <si>
    <t>Percentage of public space with regular cleaning schedule</t>
  </si>
  <si>
    <t>5.1.2.2.1 What is the Sweeping cycle for arterial and residential streets?</t>
  </si>
  <si>
    <t>5.1.2.2.2 Percentage of municipal budget spent on street cleaning</t>
  </si>
  <si>
    <t>What level of disruption does the public spaces cleaning service face?</t>
  </si>
  <si>
    <t>5.1.2.3</t>
  </si>
  <si>
    <t>5.1.2.4</t>
  </si>
  <si>
    <t>Percentage of public spaces in need of significant repairment</t>
  </si>
  <si>
    <t>5.1.2.5</t>
  </si>
  <si>
    <t>5.1.2.2.2 Percentage of municipal budget spent in public spaces maintenance</t>
  </si>
  <si>
    <r>
      <t xml:space="preserve">Please, select relevant field under column </t>
    </r>
    <r>
      <rPr>
        <b/>
        <sz val="10"/>
        <rFont val="Roboto"/>
      </rPr>
      <t>Main.</t>
    </r>
  </si>
  <si>
    <t>0-25%</t>
  </si>
  <si>
    <t>26-50%</t>
  </si>
  <si>
    <t>76-100%</t>
  </si>
  <si>
    <t>PUBLIC BUILDINGS MAINTENANCE AND ENGINEERING SERVICES</t>
  </si>
  <si>
    <t>5.1.3</t>
  </si>
  <si>
    <t>5.1.3.1</t>
  </si>
  <si>
    <t>Percentage of buildings demanding maintenance that is currently being addressed (under project, bidding, implementation phase)</t>
  </si>
  <si>
    <t>5.1.3.2</t>
  </si>
  <si>
    <t xml:space="preserve">Assessment of Buildings and Engineering Services Operations </t>
  </si>
  <si>
    <r>
      <t xml:space="preserve">Please, select relevant fields under column </t>
    </r>
    <r>
      <rPr>
        <b/>
        <sz val="10"/>
        <rFont val="Roboto"/>
      </rPr>
      <t>Main.</t>
    </r>
  </si>
  <si>
    <r>
      <t xml:space="preserve">Please, select relevant fields for each category under column </t>
    </r>
    <r>
      <rPr>
        <b/>
        <sz val="10"/>
        <rFont val="Roboto"/>
      </rPr>
      <t>Main.</t>
    </r>
  </si>
  <si>
    <t xml:space="preserve">Projects initiated on schedule </t>
  </si>
  <si>
    <t xml:space="preserve">Projects completed on schedule </t>
  </si>
  <si>
    <t xml:space="preserve">Projects completed within budget </t>
  </si>
  <si>
    <t>No benchmark</t>
  </si>
  <si>
    <t>5.2</t>
  </si>
  <si>
    <t>PERMITS, MONITORING AND INSPECTION</t>
  </si>
  <si>
    <t>5.2.1</t>
  </si>
  <si>
    <t>FOOD SAFETY MONITORING AND INSPECTION</t>
  </si>
  <si>
    <t>5.2.1.1</t>
  </si>
  <si>
    <t>Is there any local food safety agency to drive the coordination work to ensure food safety?</t>
  </si>
  <si>
    <t>A local level authority can be in charge of inspections for licensing, routine, follow-up, and complaint for all food establishments, whereas the regional authority can be in charge of primary production and processing facilities.</t>
  </si>
  <si>
    <r>
      <t xml:space="preserve">Please, select the relevant field under column </t>
    </r>
    <r>
      <rPr>
        <b/>
        <sz val="10"/>
        <rFont val="Roboto"/>
      </rPr>
      <t>Main.</t>
    </r>
  </si>
  <si>
    <t>If answer to 5.2.1.1 is Yes, please select the choice that best suits food inspection and monitoring quality assesment</t>
  </si>
  <si>
    <t>Licensing (new stablishment)</t>
  </si>
  <si>
    <t>Routine Inspection</t>
  </si>
  <si>
    <t>Complaint-based</t>
  </si>
  <si>
    <t>Acute Event</t>
  </si>
  <si>
    <r>
      <t xml:space="preserve">If Other is selected, please specify the reason in under column </t>
    </r>
    <r>
      <rPr>
        <b/>
        <sz val="10"/>
        <color theme="1"/>
        <rFont val="Roboto"/>
      </rPr>
      <t>Secondary.</t>
    </r>
  </si>
  <si>
    <t>Geospatial capacity</t>
  </si>
  <si>
    <t>Consider in coverage the capacity of delivering services to the total set of stablishments and food providing services subject to food licensing inspection. 
Consider in Response Efficiency the capacity of delivering services in adequate time and/or satisfactory frequence.
Adequacy in personnel requirements means trained and sufficient in number for the required inspection and monitoring activities planned.
Consider that information on the availability of staff and equipment are relevant for inspections occuring in the local scale, regardless of the authority level. 
Sampling activities are carried out in laboratories that, oftentimes, are not equipped to conduct the necessary analysis due to lack of staff, training, and/or equipment. Laboratories are considered to be available if they can carry out prompt analysis of the samples.</t>
  </si>
  <si>
    <t>Presence of notification mechanism on food safety incidents and outbreaks, and food recalls</t>
  </si>
  <si>
    <t>5.2.1.3</t>
  </si>
  <si>
    <t>5.2.1.2.1 If coverage/response efficiency is less than "Good:, please identify barriers (for each item)</t>
  </si>
  <si>
    <r>
      <t xml:space="preserve">Please, select relevant fields under column </t>
    </r>
    <r>
      <rPr>
        <b/>
        <sz val="10"/>
        <rFont val="Roboto"/>
      </rPr>
      <t>Main.</t>
    </r>
    <r>
      <rPr>
        <sz val="10"/>
        <rFont val="Roboto"/>
      </rPr>
      <t xml:space="preserve">
If Yes is selected, please describe under column </t>
    </r>
    <r>
      <rPr>
        <b/>
        <sz val="10"/>
        <rFont val="Roboto"/>
      </rPr>
      <t>Secondary.</t>
    </r>
  </si>
  <si>
    <t>Food Recalls</t>
  </si>
  <si>
    <t xml:space="preserve"> Food safety incidents and outbreaks</t>
  </si>
  <si>
    <t>5.2.1.4</t>
  </si>
  <si>
    <t>Early warning and rapid alert systems</t>
  </si>
  <si>
    <t xml:space="preserve">Awareness-raising activities </t>
  </si>
  <si>
    <r>
      <t>Food safety events include contamination of food or food products by micro-organisms, toxins, foreign matter, chemicals; excess moisture content; degradation of the nutritional value or pest infestation.
Early warning is the detection and recognition of a public health or food safety event that comes early enough to allow for adequate preparation to prevent or minimize the negative impacts of the event. A rapid alert system is a tool that allows for the timely exchange of information so that rapid and coordinated responses can be initiated.
Sustained communication and awareness raising are needed for enduring food safety issues. These include proper food handling, storage, preparation and consumption, and on improving mechanisms for these. These are often developed, refined and distributed over time or at specific high-risk period.</t>
    </r>
    <r>
      <rPr>
        <vertAlign val="superscript"/>
        <sz val="10"/>
        <rFont val="Roboto"/>
      </rPr>
      <t xml:space="preserve">1 
</t>
    </r>
    <r>
      <rPr>
        <sz val="10"/>
        <rFont val="Roboto"/>
      </rPr>
      <t>Targeting groups and engaging them in a dialogue increases the opportunity for successful food safety risk communication and enhanced risk management.</t>
    </r>
  </si>
  <si>
    <t>5.2.1.5</t>
  </si>
  <si>
    <t xml:space="preserve">Percentage of reported occurrences in which presence/contamination of hazards are identified (biological, chemical, physical) </t>
  </si>
  <si>
    <r>
      <t>Please, specify percentage under column</t>
    </r>
    <r>
      <rPr>
        <b/>
        <sz val="10"/>
        <rFont val="Roboto"/>
      </rPr>
      <t xml:space="preserve"> Main.</t>
    </r>
  </si>
  <si>
    <t xml:space="preserve">Salmonella spp. in food </t>
  </si>
  <si>
    <t>E. coli in food</t>
  </si>
  <si>
    <t xml:space="preserve">Listeria monocytogenes in food </t>
  </si>
  <si>
    <t>5.2.1.5.1  Number of outbreaks of foodborne illness reported</t>
  </si>
  <si>
    <t>Existence of early warning and rapid alert systems in case of food safety events, and awareness-raising activities from the food authorities regarding food safety</t>
  </si>
  <si>
    <r>
      <t xml:space="preserve">Please, specify number of outbreaks under column </t>
    </r>
    <r>
      <rPr>
        <b/>
        <sz val="10"/>
        <rFont val="Roboto"/>
      </rPr>
      <t>Main.</t>
    </r>
  </si>
  <si>
    <t>Salmonellosis in humans</t>
  </si>
  <si>
    <t>Listeriosis in humans</t>
  </si>
  <si>
    <t>5.2.2</t>
  </si>
  <si>
    <t>ANIMAL CONTROL AND COMMUNICABLE DISEASES</t>
  </si>
  <si>
    <t>Is there any local Animal Control and Communicable Diseases agency to drive the coordination work to ensure public safety?</t>
  </si>
  <si>
    <t>5.2.2.1</t>
  </si>
  <si>
    <t>Animal Control</t>
  </si>
  <si>
    <t>Communicable Diseases</t>
  </si>
  <si>
    <t>5.2.2.2</t>
  </si>
  <si>
    <t>If answer to 5.2.2.1 is Yes, please select the choice that best suits Animal Control and Communicable Diseases inspection and monitoring quality assesment</t>
  </si>
  <si>
    <t>Response Efficiency</t>
  </si>
  <si>
    <t>Risk-Based Inspection</t>
  </si>
  <si>
    <t>Please copy questions 5.2.1.2.1 2 per item, and insert it after 5.2.1.2.1 2.</t>
  </si>
  <si>
    <t>5.2.2.2.1 If coverage/response efficiency is less than "Good:, please identify barriers (for each item)</t>
  </si>
  <si>
    <t>5.2.2.3</t>
  </si>
  <si>
    <t>5.2.2.4</t>
  </si>
  <si>
    <t>Existence of early warning and rapid alert systems in case of diseases outbreak</t>
  </si>
  <si>
    <t>Early warning consist in a timely surveillance system collecting data on epidemic-prone diseases, in order to trigger prompt public health interventions. Depending on the context, such system may apply statistical methods to detect changes in trends - and sentinel events that would require intervention -  or simply rely on in-depth reviews by epidemiologists.</t>
  </si>
  <si>
    <t>5.2.2.5</t>
  </si>
  <si>
    <t>Existence of awareness-raising activities as means of prevention and control of communicable diseases</t>
  </si>
  <si>
    <t>5.2.2.5.1 Please specify the five most relevant emergency events occurred in the last five years</t>
  </si>
  <si>
    <t>Please specify year, type of outbreak and authority in charge.</t>
  </si>
  <si>
    <t>Type of Outbreak</t>
  </si>
  <si>
    <t>Authority/ies in charge</t>
  </si>
  <si>
    <t>Specify year [+]</t>
  </si>
  <si>
    <t>Year of Outbreak</t>
  </si>
  <si>
    <t>5.2.2.6</t>
  </si>
  <si>
    <t>5.2.2.7</t>
  </si>
  <si>
    <t>Frequency of surveillance activities</t>
  </si>
  <si>
    <t xml:space="preserve">Active surveillance is a system employing staff members to regularly contact heath care providers or the population to seek information about health conditions. 
Passive surveillance is a system by which a health jurisdiction receives reports submitted from hospitals, clinics, public health units, or other sources. </t>
  </si>
  <si>
    <t>Type of disease(s)</t>
  </si>
  <si>
    <t>Active surveillance</t>
  </si>
  <si>
    <t>Frequency of data collection</t>
  </si>
  <si>
    <t>Passive surveillance</t>
  </si>
  <si>
    <t>Specify type(s) [+]</t>
  </si>
  <si>
    <t>5.2.3</t>
  </si>
  <si>
    <t>ACTIVITIES, DEVELOPMENT, BUILDINGS AND ENGINEERING WORKS PERMITS AND MONITORING</t>
  </si>
  <si>
    <t>5.2.3.1</t>
  </si>
  <si>
    <t>Is there any local agency responsible for Buildings and Engineering Works Permits and Monitoring?</t>
  </si>
  <si>
    <r>
      <rPr>
        <sz val="10"/>
        <rFont val="Roboto"/>
      </rPr>
      <t>Select from range</t>
    </r>
    <r>
      <rPr>
        <b/>
        <sz val="10"/>
        <rFont val="Roboto"/>
      </rPr>
      <t xml:space="preserve"> [✖]</t>
    </r>
  </si>
  <si>
    <t>Activities, Development, Buildings and Engineering Works Permits</t>
  </si>
  <si>
    <t>Activities,  Development, Buildings and Engineering Works Inspections and Monitoring</t>
  </si>
  <si>
    <r>
      <rPr>
        <sz val="10"/>
        <rFont val="Roboto"/>
      </rPr>
      <t>Please, select relevant fields under column</t>
    </r>
    <r>
      <rPr>
        <b/>
        <sz val="10"/>
        <rFont val="Roboto"/>
      </rPr>
      <t xml:space="preserve"> Main.</t>
    </r>
  </si>
  <si>
    <t>5.2.3.2</t>
  </si>
  <si>
    <t>If answer to 5.2.3.1 is Yes for any, please select the choice that best suits Buildings and Engineering Works Permits and Monitoring quality assesment</t>
  </si>
  <si>
    <t>Licensing (new development)</t>
  </si>
  <si>
    <t>Licensing (new activity)</t>
  </si>
  <si>
    <t>Emergency Event</t>
  </si>
  <si>
    <t>5.2.3.2.1 If coverage/response efficiency is less than "Good:, please identify barriers (for each item)</t>
  </si>
  <si>
    <t>Consider in coverage the capacity of delivering services in all (requested or not) stablishments or develpments that are required to present licensing permit. 
Consider in Response Efficiency the capacity of delivering services in adequate time and/or satisfactory frequence.</t>
  </si>
  <si>
    <t>5.2.3.4</t>
  </si>
  <si>
    <t>Diversity of submission/following-up/notification mechanism for licensing and inspection services</t>
  </si>
  <si>
    <r>
      <t xml:space="preserve">Please, select relevant fields under column </t>
    </r>
    <r>
      <rPr>
        <b/>
        <sz val="10"/>
        <rFont val="Roboto"/>
      </rPr>
      <t>Main.</t>
    </r>
    <r>
      <rPr>
        <sz val="10"/>
        <rFont val="Roboto"/>
      </rPr>
      <t xml:space="preserve">
</t>
    </r>
  </si>
  <si>
    <t>District-based offices for in-person submission</t>
  </si>
  <si>
    <t>Phone Service for irregular construction or activity</t>
  </si>
  <si>
    <t>Digital Service for irregular construction or activity</t>
  </si>
  <si>
    <t>Digital service to submit and follow-up  activity licensing</t>
  </si>
  <si>
    <t>5.2.3.5</t>
  </si>
  <si>
    <t>Type of Service</t>
  </si>
  <si>
    <t xml:space="preserve">Development Permits </t>
  </si>
  <si>
    <t>Building/Construction Inspections</t>
  </si>
  <si>
    <t xml:space="preserve">Zoning and Code Enforcement Inspections </t>
  </si>
  <si>
    <t>Basic Level of Service</t>
  </si>
  <si>
    <t>Issued in less than 30 days</t>
  </si>
  <si>
    <t>Requests delivered in less than 2 working days</t>
  </si>
  <si>
    <t>% Delivered on Basic  Level of service</t>
  </si>
  <si>
    <t>5.2.3.6</t>
  </si>
  <si>
    <t>What operations measures are applied?</t>
  </si>
  <si>
    <t xml:space="preserve">Regularly providing construction statistics to local govenrment </t>
  </si>
  <si>
    <t>Freely available up-to-date zoning map within 30 days of rezoning</t>
  </si>
  <si>
    <t>Regular information material and publications updated within 30 days of relevant code changes</t>
  </si>
  <si>
    <t>100% of the city's areas having approved zoning plans/specification</t>
  </si>
  <si>
    <t>Participatory processes to approve sensitive/relevant developments</t>
  </si>
  <si>
    <t>5.2.4</t>
  </si>
  <si>
    <t>BUILT HERITAGE PROTECTION AND MONITORING</t>
  </si>
  <si>
    <t>Is there any local agency responsible for Built Heritage Protection and Monitoring?</t>
  </si>
  <si>
    <t>5.2.4.1</t>
  </si>
  <si>
    <r>
      <rPr>
        <sz val="10"/>
        <rFont val="Roboto"/>
      </rPr>
      <t>Please, select relevant field  under column</t>
    </r>
    <r>
      <rPr>
        <b/>
        <sz val="10"/>
        <rFont val="Roboto"/>
      </rPr>
      <t xml:space="preserve"> Main.</t>
    </r>
  </si>
  <si>
    <t>5.2.4.2</t>
  </si>
  <si>
    <t>If answer to 5.2.4.1 is Yes for any, please select the choice that best suits Built Heritage Protection and Monitoring quality assesment</t>
  </si>
  <si>
    <t>5.2.4.3</t>
  </si>
  <si>
    <t>Digital service to submit and follow-up development licensing</t>
  </si>
  <si>
    <t>5.2.4.4</t>
  </si>
  <si>
    <t>Does the Municipality provide an open and continuous channel for submitting proposals for the heritage protection inventory?</t>
  </si>
  <si>
    <t>5.2.4.5</t>
  </si>
  <si>
    <t>Technical Assessments/Statements/Expert's Reports</t>
  </si>
  <si>
    <t>Building/Construction/Activity Inspections</t>
  </si>
  <si>
    <t>Requests delivered in 1 working day</t>
  </si>
  <si>
    <t>% Delivered on Basic Level of service</t>
  </si>
  <si>
    <t>5.2.4.6</t>
  </si>
  <si>
    <t>What tools and operations measures are applied?</t>
  </si>
  <si>
    <t>Freely Available Updated Record of Structures and Areas of Public Interest (Inventory)</t>
  </si>
  <si>
    <t>Freely Available Updated Map of Structures and Areas of Public Interest Structures</t>
  </si>
  <si>
    <t>Inventory Structures and Areas of Public Interests are protected by law</t>
  </si>
  <si>
    <t>Inventory Structures and Areas of Public Interests are regularly inspected and assessed</t>
  </si>
  <si>
    <t>Structures and Areas of Public Interests are defined and considered in Development Plans</t>
  </si>
  <si>
    <t>Effective mechanisms to enforce conservation and maintenance of protected structures</t>
  </si>
  <si>
    <t>Regular awareness-raising activities to enhance public knowledge and perception of heritage sites and structures?</t>
  </si>
  <si>
    <t>5.2.4.7</t>
  </si>
  <si>
    <t>Does the Local Authority dispose of municipal funds for emergency intervention on protected built heritage?</t>
  </si>
  <si>
    <t>Please copy questions 5.2.2.2.1 per item, and insert it after 5.2.2.2.1.</t>
  </si>
  <si>
    <t xml:space="preserve">Regular surveillance of communicable diseases	</t>
  </si>
  <si>
    <t>Regular surveillance of immunisation and vaccination programmes</t>
  </si>
  <si>
    <t>Investigation and control of communicable disease</t>
  </si>
  <si>
    <t>Epidemiological research</t>
  </si>
  <si>
    <t>Teaching/training in communicable diseases epidemiology</t>
  </si>
  <si>
    <t>24h Animal Shelter to receive sick or injured animals</t>
  </si>
  <si>
    <t>Immediate response to call in case of aggressive animals endangering human life</t>
  </si>
  <si>
    <r>
      <rPr>
        <sz val="10"/>
        <rFont val="Roboto"/>
      </rPr>
      <t>Please, specify and  select relevant fields under columns</t>
    </r>
    <r>
      <rPr>
        <b/>
        <sz val="10"/>
        <rFont val="Roboto"/>
      </rPr>
      <t xml:space="preserve"> Main</t>
    </r>
    <r>
      <rPr>
        <sz val="10"/>
        <rFont val="Roboto"/>
      </rPr>
      <t xml:space="preserve"> and </t>
    </r>
    <r>
      <rPr>
        <b/>
        <sz val="10"/>
        <rFont val="Roboto"/>
      </rPr>
      <t>Secondary.</t>
    </r>
  </si>
  <si>
    <t>5.3</t>
  </si>
  <si>
    <t>COMMUNITY WELFARE</t>
  </si>
  <si>
    <t>5.3.1</t>
  </si>
  <si>
    <t>CULTURAL AND COMMUNITY FACILITIES AND ACTIVITIES</t>
  </si>
  <si>
    <t>Coverage of Community Facilities. Please informe rate of community facilities per capita</t>
  </si>
  <si>
    <t>5.3.1.1</t>
  </si>
  <si>
    <t>Type of cultural facility</t>
  </si>
  <si>
    <t>Number of facilities per 100,000 inhabitants</t>
  </si>
  <si>
    <t>Are regular scheduled activities being conducted?</t>
  </si>
  <si>
    <t>Barriers
(see 5.4.2.1.1)</t>
  </si>
  <si>
    <t>Public libraries</t>
  </si>
  <si>
    <t>Museums of all disciplines</t>
  </si>
  <si>
    <t>Archives and documentation centres</t>
  </si>
  <si>
    <t>Performing arts centres</t>
  </si>
  <si>
    <t>Community and civic centres</t>
  </si>
  <si>
    <t>Child recreation spaces</t>
  </si>
  <si>
    <t>Sports Complex and Facilties</t>
  </si>
  <si>
    <t>Other, please specify [+]</t>
  </si>
  <si>
    <t>5.3.1.1.1 If number of facilities are considered inadequate, please identify barriers (answer in 5.4.2.1)</t>
  </si>
  <si>
    <t>[#] and text</t>
  </si>
  <si>
    <t>5.3.1.1.2 Does the local authority maintains an updated georrefered  database of community facilities?</t>
  </si>
  <si>
    <t>Yes. Please provide.</t>
  </si>
  <si>
    <t>georrefered  database</t>
  </si>
  <si>
    <r>
      <rPr>
        <sz val="10"/>
        <rFont val="Roboto"/>
      </rPr>
      <t xml:space="preserve">Please, select relevant field under column </t>
    </r>
    <r>
      <rPr>
        <b/>
        <sz val="10"/>
        <rFont val="Roboto"/>
      </rPr>
      <t>Main.</t>
    </r>
  </si>
  <si>
    <t>5.3.1.2</t>
  </si>
  <si>
    <t xml:space="preserve">Access to Community Faciltiies. Please inform, if applicable, the main barriers that inhibit women and people in vulnerable situations from participating in cultural activities. </t>
  </si>
  <si>
    <t xml:space="preserve">Socio-economic capacity </t>
  </si>
  <si>
    <t xml:space="preserve">Geo-spatial settings </t>
  </si>
  <si>
    <t xml:space="preserve">Social and cultural norms </t>
  </si>
  <si>
    <t>Lone and dependent elderly</t>
  </si>
  <si>
    <t>Ethnic minorities</t>
  </si>
  <si>
    <t>People living in marginalized communities</t>
  </si>
  <si>
    <t>5.3.1.3</t>
  </si>
  <si>
    <t>Are there cultural facilities and heritage sites not connected to the public transportation network?</t>
  </si>
  <si>
    <t>5.3.1.4</t>
  </si>
  <si>
    <t>Does the municipality regularly perform participatory processes to decide on community facility offer and regular activities developed?</t>
  </si>
  <si>
    <r>
      <t xml:space="preserve">Please, select the relevant field under column </t>
    </r>
    <r>
      <rPr>
        <b/>
        <sz val="10"/>
        <rFont val="Roboto"/>
      </rPr>
      <t>Main.</t>
    </r>
    <r>
      <rPr>
        <sz val="10"/>
        <rFont val="Roboto"/>
      </rPr>
      <t xml:space="preserve">
If Yes is selected, please  specify under column </t>
    </r>
    <r>
      <rPr>
        <b/>
        <sz val="10"/>
        <rFont val="Roboto"/>
      </rPr>
      <t>Secondary</t>
    </r>
    <r>
      <rPr>
        <sz val="10"/>
        <rFont val="Roboto"/>
      </rPr>
      <t>.</t>
    </r>
  </si>
  <si>
    <t>5.3.2</t>
  </si>
  <si>
    <t xml:space="preserve">HERITAGE AND CULTURAL ACTIVITIES </t>
  </si>
  <si>
    <t>5.3.2.1</t>
  </si>
  <si>
    <t>Is there any local agency responsible for Heritage and Cultural Activities preservation and enhancement?</t>
  </si>
  <si>
    <t>5.3.2.1.1 If answer to 5.3.2.1 is Yes, please select the applicable areas of activity being carried by the authority</t>
  </si>
  <si>
    <r>
      <t xml:space="preserve">Please, select relevant fields under column </t>
    </r>
    <r>
      <rPr>
        <b/>
        <sz val="10"/>
        <rFont val="Roboto"/>
      </rPr>
      <t>Main.</t>
    </r>
    <r>
      <rPr>
        <sz val="10"/>
        <rFont val="Roboto"/>
      </rPr>
      <t xml:space="preserve">
</t>
    </r>
  </si>
  <si>
    <t>Tangible cultural heritage</t>
  </si>
  <si>
    <t>Monuments</t>
  </si>
  <si>
    <t>Buildings</t>
  </si>
  <si>
    <t>Archaeological sites</t>
  </si>
  <si>
    <t>Portions of the urban fabric</t>
  </si>
  <si>
    <t>(Portions of the) cityscape/skyline</t>
  </si>
  <si>
    <t>Artefacts</t>
  </si>
  <si>
    <t>Underwater archaeological sites</t>
  </si>
  <si>
    <t>Languages</t>
  </si>
  <si>
    <t>Performing arts</t>
  </si>
  <si>
    <t>Rituals and festive events</t>
  </si>
  <si>
    <t>Craftsmanship</t>
  </si>
  <si>
    <t>Traditional knowledge regarding natural resources</t>
  </si>
  <si>
    <t>Natural features</t>
  </si>
  <si>
    <t>Natural sites</t>
  </si>
  <si>
    <t>Biodiversity habitats</t>
  </si>
  <si>
    <t>Intangible cultural heritage</t>
  </si>
  <si>
    <t xml:space="preserve">Natural heritage </t>
  </si>
  <si>
    <t>5.3.2.1.2 Regularly recurring large-scale cultural activities</t>
  </si>
  <si>
    <r>
      <t xml:space="preserve">Please, fill in the table under column </t>
    </r>
    <r>
      <rPr>
        <b/>
        <sz val="10"/>
        <rFont val="Roboto"/>
      </rPr>
      <t>Main</t>
    </r>
    <r>
      <rPr>
        <sz val="10"/>
        <rFont val="Roboto"/>
      </rPr>
      <t xml:space="preserve"> and </t>
    </r>
    <r>
      <rPr>
        <b/>
        <sz val="10"/>
        <rFont val="Roboto"/>
      </rPr>
      <t>Secondary.</t>
    </r>
  </si>
  <si>
    <t>Name of Activity</t>
  </si>
  <si>
    <t>Periodicity</t>
  </si>
  <si>
    <t>Time of year</t>
  </si>
  <si>
    <t>Duration</t>
  </si>
  <si>
    <t>Estimated number of participants</t>
  </si>
  <si>
    <t>Please copy question5.3.2.1.2 for each cultural activity and insert it after 5.3.2.1.2.  Insert as many rows above (&gt;&gt;) as needed.</t>
  </si>
  <si>
    <t>5.3.2.2</t>
  </si>
  <si>
    <t xml:space="preserve">Measures the municipality undertaken as part of its expenditure on cultural heritage </t>
  </si>
  <si>
    <t>Operation and maintenance of cultural facilities</t>
  </si>
  <si>
    <t>Operation and maintenance of cultural heritage sites</t>
  </si>
  <si>
    <t>Inventory of local cultural heritage (tangible, intangible and natural)</t>
  </si>
  <si>
    <t xml:space="preserve"> Mechanisms for preservation and conservation of tangible cultural heritage sites</t>
  </si>
  <si>
    <t>Regulations for the safeguarding of natural heritage</t>
  </si>
  <si>
    <t>Emergency inventory and evacuation plan for movable cultural heritage</t>
  </si>
  <si>
    <t>Maintenance of traditional local trades and crafts</t>
  </si>
  <si>
    <t>Support programmes for institutions, organisations or groups to organise cultural activities and/or protect cultural heritage (not-for-profit and for-profit projects)</t>
  </si>
  <si>
    <t xml:space="preserve">Public expenditure per capita spent on all cultural heritage (tangible, intangible and natural) </t>
  </si>
  <si>
    <t>5.3.2.3</t>
  </si>
  <si>
    <t>Have advocacy groups representing women and groups in vulnerable situations, in particular ethnic minorities, been involved in the development of cultural policies/plans?</t>
  </si>
  <si>
    <t>Activity [+]</t>
  </si>
  <si>
    <t>LOCAL PUBLIC SECURITY AND LAW ENFORCEMENT</t>
  </si>
  <si>
    <t>5.4.1</t>
  </si>
  <si>
    <t>VIOLENCE AND SECURITY</t>
  </si>
  <si>
    <t>Crimes against property per 100 000 inhabitants</t>
  </si>
  <si>
    <t>5.4.1.1</t>
  </si>
  <si>
    <r>
      <t xml:space="preserve">Please, specify [#] for each category under column </t>
    </r>
    <r>
      <rPr>
        <b/>
        <sz val="10"/>
        <rFont val="Roboto"/>
      </rPr>
      <t>Main.</t>
    </r>
  </si>
  <si>
    <t>Larcenies per 100 000 inhabitants</t>
  </si>
  <si>
    <t>Burglaries per 100 000 inhabitants</t>
  </si>
  <si>
    <t>Motor vehicle thefts per 100 000 inhabitants</t>
  </si>
  <si>
    <t>Arsons per 100 000 inhabitants</t>
  </si>
  <si>
    <t>Violent crimes per 100 000 inhabitants</t>
  </si>
  <si>
    <t>5.4.1.2</t>
  </si>
  <si>
    <r>
      <t>Violent crime is defined as all offenses involving the use of force or threat of force to a person. Depending on the jurisdiction and prevailing criminal legal framework, violent crime can encompass: homicide, murder, manslaughter, rape, assault, robbery, negligence, endangerment, kidnapping (abduction), extortion, and harassment. Note that while homicide (both intentional and non-intentional) is explicitly evaluated in 5.3.1.2.2, homicide statistics should also be included in aggregate violent crime rates.   
Robbery is defined as the taking or attempting to take anything of value from the care, custody, or control of a person or persons  by overcoming resistance using force or threat of force or violence and/or by putting the victim in fear</t>
    </r>
    <r>
      <rPr>
        <vertAlign val="superscript"/>
        <sz val="10"/>
        <rFont val="Roboto"/>
      </rPr>
      <t>1</t>
    </r>
    <r>
      <rPr>
        <sz val="10"/>
        <rFont val="Roboto"/>
      </rPr>
      <t>.
Rape is defined as the penetration, no matter how slight, of the vagina or anus with any body part or object, or oral penetration by a sex organ of another person, without the consent of the victim. Attempts or assaults to commit rape should also be included in the statistics. Sexual relations without the victim’s consent which involves a familial offender is counted as a rape and not an act of incest</t>
    </r>
    <r>
      <rPr>
        <vertAlign val="superscript"/>
        <sz val="10"/>
        <rFont val="Roboto"/>
      </rPr>
      <t>2</t>
    </r>
    <r>
      <rPr>
        <sz val="10"/>
        <rFont val="Roboto"/>
      </rPr>
      <t>.
Aggravated assault is defined as an unlawful attack by one person upon another for the purpose of inflicting severe or aggravated bodily injury. This type of assault is usually accompanied by the use of a weapon or by other means likely to produce death or great bodily harm. Attempted aggravated assault that involves the display of — or threat to use — a gun, knife, or other weapon should be included in this crime category because serious personal injury would likely result if the assault were completed. When aggravated assault and larceny occur together, the offense may fall under the category of robbery</t>
    </r>
    <r>
      <rPr>
        <vertAlign val="superscript"/>
        <sz val="10"/>
        <rFont val="Roboto"/>
      </rPr>
      <t>3</t>
    </r>
    <r>
      <rPr>
        <sz val="10"/>
        <rFont val="Roboto"/>
      </rPr>
      <t xml:space="preserve">. </t>
    </r>
  </si>
  <si>
    <t>Robberies per 100 000 inhabitants</t>
  </si>
  <si>
    <t>Rapes per 100 000 inhabitants</t>
  </si>
  <si>
    <t>Aggravated assaults per 100 000 inhabitants</t>
  </si>
  <si>
    <t>Total per 100 000 inhabitants</t>
  </si>
  <si>
    <t>5.4.1.3</t>
  </si>
  <si>
    <t>Homicide per 100 000 inhabitants (Please disaggregate by sex, age and groups in vulnerable situation, if possible)</t>
  </si>
  <si>
    <t>Intentional Homicide per 100 000 inhabitants</t>
  </si>
  <si>
    <t>Non-Intentional Homicide per 100 000 inhabitants</t>
  </si>
  <si>
    <t>5.4.1.4</t>
  </si>
  <si>
    <t xml:space="preserve">Self-inflicted deaths (suicides) per 100 000 inhabitants </t>
  </si>
  <si>
    <r>
      <t>The International Development Bank (IDB) defines homicide as "intentional injury inflicted on one person by another that results in death." Intentional homicide, which is often referred to simply as homicide, refers to death deliberately inflicted on a person by another person. Intentional homicide encompasses infanticide, murder, honour killing, serious assault leading to death, death as a result of terrorist activities, dowry-related killings, femicide, infanticide, voluntary manslaughter, extrajudicial killing, and killings caused by excessive force by law enforcement/state officials</t>
    </r>
    <r>
      <rPr>
        <vertAlign val="superscript"/>
        <sz val="10"/>
        <rFont val="Roboto"/>
      </rPr>
      <t>4</t>
    </r>
    <r>
      <rPr>
        <sz val="10"/>
        <rFont val="Roboto"/>
      </rPr>
      <t>.
Non-intentional homicide refers to an unlawful death unintentionally inflicted upon a person by another
person. Examples of non-intentional homicide include involuntary manslaughter, causing death by dangerous driving, bodily injury leading to death where no serious harm was intended, criminally negligent manslaughter; corporate manslaughter, vehicular manslaughter, causing death by driving under the influence of drugs or alcohol, gross negligent manslaughter, and professional negligence
leading to death</t>
    </r>
    <r>
      <rPr>
        <vertAlign val="superscript"/>
        <sz val="10"/>
        <rFont val="Roboto"/>
      </rPr>
      <t>4</t>
    </r>
    <r>
      <rPr>
        <sz val="10"/>
        <rFont val="Roboto"/>
      </rPr>
      <t xml:space="preserve">. </t>
    </r>
  </si>
  <si>
    <t xml:space="preserve">Self-inflicted death or suicide refers to all deaths caused by intentional self-harm. </t>
  </si>
  <si>
    <r>
      <t xml:space="preserve">Please, specify [#] under column </t>
    </r>
    <r>
      <rPr>
        <b/>
        <sz val="10"/>
        <rFont val="Roboto"/>
      </rPr>
      <t>Main.</t>
    </r>
  </si>
  <si>
    <t>5.4.1.5</t>
  </si>
  <si>
    <t>Conflict-related deaths per 100 000 inhabitants</t>
  </si>
  <si>
    <r>
      <t>Conflict-related deaths refer to those deaths caused by warring parties, including, but not limited to, those caused by traditional battlefield fighting and bombardments (battle-related deaths). The term conflict-related death is broader than the term “battle-related death” as it includes killings that amount to war crimes, such as targeting of civilians or of military ´hors combat´, killings associated with a conflict (but not accompanied by a battle between warring parties) such as one-sided killings, pogroms and genocides. Note that death as a result of terrorist activities would be included in intentional homicides</t>
    </r>
    <r>
      <rPr>
        <vertAlign val="superscript"/>
        <sz val="10"/>
        <rFont val="Roboto"/>
      </rPr>
      <t>5</t>
    </r>
    <r>
      <rPr>
        <sz val="10"/>
        <rFont val="Roboto"/>
      </rPr>
      <t>.</t>
    </r>
  </si>
  <si>
    <r>
      <t>The number of crimes and deaths per 100 000 inhabitants shall be calculated as the total number of all crimes and deaths reported (numerator) divided by one 100 000th of the city’s total population.
Crimes against property is defined as all offences involving the illegal taking or destruction of property, but without the use of force, or threat of use, against a person. Crimes against property generally include larceny (or theft without violence), burglary, motor vehicle theft, and arson. 
Larceny is the unlawful taking, carrying, leading, or riding away of property from the possession or constructive possession of another. Examples are: theft of bicycles or motor vehicle parts; shoplifting; pickpocketing; or theft of any property or article that is not taken by force and violence or by fraud. Attempted larcenies are included. Embezzlement, confidence games, forgery, check fraud, etc. are excluded</t>
    </r>
    <r>
      <rPr>
        <vertAlign val="superscript"/>
        <sz val="10"/>
        <rFont val="Roboto"/>
      </rPr>
      <t>1</t>
    </r>
    <r>
      <rPr>
        <sz val="10"/>
        <rFont val="Roboto"/>
      </rPr>
      <t>.
Burglary is the unlawful entry of a structure to commit a felony or theft. To classify an offense as a burglary, the use of force to gain entry need not have occurred. Three subclassifications for burglary may exist: forcible entry, unlawful entry where no force is used, and attempted forcible entry</t>
    </r>
    <r>
      <rPr>
        <vertAlign val="superscript"/>
        <sz val="10"/>
        <rFont val="Roboto"/>
      </rPr>
      <t>2</t>
    </r>
    <r>
      <rPr>
        <sz val="10"/>
        <rFont val="Roboto"/>
      </rPr>
      <t>.
Motor vehicle theft is defined as the theft or attempted theft of a motor vehicle. A motor vehicle is understood as a self-propelled vehicle that runs on land surfaces and not on rails. Examples of motor vehicles include sport utility vehicles, automobiles, trucks, buses, motorcycles, motor scooters, all-terrain vehicles, and snowmobiles. Motor vehicle theft does not include farm equipment, bulldozers, airplanes, construction equipment, or water craft such as motorboats, sailboats, houseboats, or jet skis</t>
    </r>
    <r>
      <rPr>
        <vertAlign val="superscript"/>
        <sz val="10"/>
        <rFont val="Roboto"/>
      </rPr>
      <t>3</t>
    </r>
    <r>
      <rPr>
        <sz val="10"/>
        <rFont val="Roboto"/>
      </rPr>
      <t>. 
Arson is defined as any wilful or malicious burning or attempting to burn, with or without intent to defraud, a dwelling house, public building, motor vehicle or aircraft, personal property of another, etc</t>
    </r>
    <r>
      <rPr>
        <vertAlign val="superscript"/>
        <sz val="10"/>
        <rFont val="Roboto"/>
      </rPr>
      <t>4</t>
    </r>
    <r>
      <rPr>
        <sz val="10"/>
        <rFont val="Roboto"/>
      </rPr>
      <t>.</t>
    </r>
  </si>
  <si>
    <t>Last 5 years</t>
  </si>
  <si>
    <t>Lifetime</t>
  </si>
  <si>
    <t>All types of domestic violence</t>
  </si>
  <si>
    <t>Physical</t>
  </si>
  <si>
    <t>Psychological</t>
  </si>
  <si>
    <t>Sexual</t>
  </si>
  <si>
    <t>Percentage of inhabitants who experienced domestic violence. (Please disaggregate by sex, age and groups in vulnerable situation, if possible)</t>
  </si>
  <si>
    <t>5.4.1.6</t>
  </si>
  <si>
    <r>
      <t xml:space="preserve">Please, specify [%] of all types of domestic violence and disaggregate per type of violenceunder columns Physical, Psychological and Sexual, if available. 
If possible disaggregate values by sex.
If disaggregation by age is available, please insert the specific table from the </t>
    </r>
    <r>
      <rPr>
        <b/>
        <sz val="10"/>
        <rFont val="Roboto"/>
      </rPr>
      <t>[Disaggregation Tab].</t>
    </r>
  </si>
  <si>
    <r>
      <t>Prevalence of domestic violence is assessing the percentage of inhabitants, over the total number of inhabitants in the city, who have experienced physical, psychological or sexual violence by an intimate, relative or other known person, within 3 different reference periods, disaggregated further by sex, and if possible, by age and groups in vulnerable situations.
Regarding disagregation by age, it is recommended to use the age limit of 15, as the division between childhood and youth/adulthood. Childhood would then be considered as "before the age of 15" and adult life as "since the age of 15". This age division is the most common once used as a reference in the assessment of all forms of victimisation worldwide.
Domestic violence includes any abuse perpetrated by an intimate parter, family member and other relative, or other known person. Intimate partner includes current or former partner within the context of marriage, cohabitation or any other formal or informal union.
Physical violence consists of acts aimed at physically hurting the victim and include, but are not limited to, pushing, grabbing, twisting the arm, pulling the hair, slapping, kicking, biting or hitting with the fist or object, trying to strangle or suffocate, burning or scalding on purpose, or threatening or attacking with some sort of weapon, gun or knife</t>
    </r>
    <r>
      <rPr>
        <vertAlign val="superscript"/>
        <sz val="10"/>
        <rFont val="Roboto"/>
      </rPr>
      <t>2</t>
    </r>
    <r>
      <rPr>
        <sz val="10"/>
        <rFont val="Roboto"/>
      </rPr>
      <t>.
Psychological violence includes a range of behaviours that encompass acts of emotional abuse and controlling behaviour. These often coexist with acts of physical and sexual violence by intimate partners and are acts of violence in themselves</t>
    </r>
    <r>
      <rPr>
        <vertAlign val="superscript"/>
        <sz val="10"/>
        <rFont val="Roboto"/>
      </rPr>
      <t>3</t>
    </r>
    <r>
      <rPr>
        <sz val="10"/>
        <rFont val="Roboto"/>
      </rPr>
      <t>.
Sexual violence is defined as any sort of harmful or unwanted sexual behaviour that is imposed on someone. It includes acts of abusive sexual contact, forced engagement in sexual acts, attempted or completed sexual acts without consent, incest, sexual harassment, etc. In intimate partner relationships, Experiencing sexual violence is commonly defined as being forced to have sexual intercourse, having sexual intercourse out of fear for what the partner might do, and/or being forced to do something sexual that the woman considers humiliating or degrading</t>
    </r>
    <r>
      <rPr>
        <vertAlign val="superscript"/>
        <sz val="10"/>
        <rFont val="Roboto"/>
      </rPr>
      <t>4</t>
    </r>
    <r>
      <rPr>
        <sz val="10"/>
        <rFont val="Roboto"/>
      </rPr>
      <t>.
Three different reference periods are considered: the last 12 months, the last 5 years, and lifetime. Prevalence of domestic violence assesses if any type of violence (from a known person) was perpetrated at least once at any time within those reference periods.
Both time frames of last year and lifetime are important to assess in prevalence of domestic violence. The timeframe of the last 12 months is necessary to link survey and administrative data and, as in social research changes are rather slow, they might not be visible in this short period of time. The lifetime prevalence informs about the overall victimisation, which is relevant in the health and care systems because of long-term consequences5. These two time frames are the most common ones used as reference periods in the assessment of all forms of victimisation worldwide. 
The additional time frame of the last 5 years is of significance for monitoring the extent of domestic violence as it represents a time frame in which changes in prevalence rates can become more visible. It further informs about the exposure of new acts of violence experienced and reduces the risk of small number of cases in analysis</t>
    </r>
    <r>
      <rPr>
        <vertAlign val="superscript"/>
        <sz val="10"/>
        <rFont val="Roboto"/>
      </rPr>
      <t>6</t>
    </r>
    <r>
      <rPr>
        <sz val="10"/>
        <rFont val="Roboto"/>
      </rPr>
      <t>.</t>
    </r>
  </si>
  <si>
    <t>5.4.2</t>
  </si>
  <si>
    <t>LOCAL PUBLIC SECURITY BODIES</t>
  </si>
  <si>
    <t>Does the city has any Local Public Security Body?</t>
  </si>
  <si>
    <t>If answer to 5.3.2.1 is Yes, please select the applicable areas of activity being carried by the authority</t>
  </si>
  <si>
    <t>Organisation</t>
  </si>
  <si>
    <t>Operational Capabilities</t>
  </si>
  <si>
    <t>Name of unit</t>
  </si>
  <si>
    <t>Area(s) of responsi-bility</t>
  </si>
  <si>
    <t>Spatial scale(s) of interven-tions</t>
  </si>
  <si>
    <t>Unit of local law enforce-ment entity [+]</t>
  </si>
  <si>
    <t>Does the Local Public Security Body also implement preventive policies?</t>
  </si>
  <si>
    <t>Select from list and text</t>
  </si>
  <si>
    <t>Units of law enforcement refer to officially defined sub-groups within the organisational structure that have designated specific roles or responsibilities. Units may receive special training and/or equipment related to their specific roles and responsibilities. Areas of responsibility of common law enforcement units include, but are not limited to, tactical, counter-terrorism, community outreach, homicide, forensics, traffic enforcement, canine, and drug enforcement.
Units that must be included in this assessment are the ones receiving significant proportions of the total funding assigned to the entity considered, as well as the ones with high staffing capacities. Any other one considered relevant based on local conditions, should also be included in this evaluation.
Municipal police are law enforcement agencies that are under the control of local government. 
Adequacy refers to whether or not the demands and responsibilities of local law enforcement regarding safety and security correspond to the operational capacity and coverage of services provided.
Financial capacity refers to financial constraints facing the duty-bearers in providing appropriate coverage of local (municipal) law enforcement in the city. Geo-spatial settings are concerned with difficulties imposed by the geographic or geospatial characteristics of some areas within the city preventing the appropriate coverage of local (municipal) law enforcement. Normative and institutional frameworks refer to the existence of legislative constraints preventing appropriate coverage in the city.</t>
  </si>
  <si>
    <t>5.4.3</t>
  </si>
  <si>
    <t>TRAFFIC CONTROL AND ENFORCEMENT</t>
  </si>
  <si>
    <t>Does the city has any local authority in charge of traffic control and enforcement?</t>
  </si>
  <si>
    <t>5.4.3.1</t>
  </si>
  <si>
    <t>Level/ Jurisdiction
(select)</t>
  </si>
  <si>
    <t>For specialised entity, 
specify type (e.g. Port, Forest, Customs polices, etc.)</t>
  </si>
  <si>
    <t>Staffing</t>
  </si>
  <si>
    <t>Materials/Equipment</t>
  </si>
  <si>
    <t>Sworn officers 
(#)</t>
  </si>
  <si>
    <t>Capacity
(select)</t>
  </si>
  <si>
    <t>Barrier(s)</t>
  </si>
  <si>
    <t>Trends
(select)</t>
  </si>
  <si>
    <t>5.3.2.2.1.1 If capacity is considered inadequate for any entity, please indicate the barrier(s) in reaching adequacy (answer in 5.4.3.1)</t>
  </si>
  <si>
    <t>5.3.2.2.1.2 For each entity, characterise the trends in terms of capacity in the past 10 years. (answer in 5.4.3.1)</t>
  </si>
  <si>
    <r>
      <t xml:space="preserve">Please, fill in the table under columns </t>
    </r>
    <r>
      <rPr>
        <b/>
        <sz val="10"/>
        <rFont val="Roboto"/>
      </rPr>
      <t>Main</t>
    </r>
    <r>
      <rPr>
        <sz val="10"/>
        <rFont val="Roboto"/>
      </rPr>
      <t xml:space="preserve"> and </t>
    </r>
    <r>
      <rPr>
        <b/>
        <sz val="10"/>
        <rFont val="Roboto"/>
      </rPr>
      <t>Secondary.</t>
    </r>
    <r>
      <rPr>
        <sz val="10"/>
        <rFont val="Roboto"/>
      </rPr>
      <t xml:space="preserve">
Please, select for Level, Capacity and Trends.
Barriers to inadequacy may include Financial capacity; Geospatial setting; Normative and institutional frameworks; Other, please specify.</t>
    </r>
  </si>
  <si>
    <r>
      <t xml:space="preserve">Please, fill in the table  under columns </t>
    </r>
    <r>
      <rPr>
        <b/>
        <sz val="10"/>
        <rFont val="Roboto"/>
      </rPr>
      <t>Main</t>
    </r>
    <r>
      <rPr>
        <sz val="10"/>
        <rFont val="Roboto"/>
      </rPr>
      <t xml:space="preserve"> and </t>
    </r>
    <r>
      <rPr>
        <b/>
        <sz val="10"/>
        <rFont val="Roboto"/>
      </rPr>
      <t>Secondary.</t>
    </r>
    <r>
      <rPr>
        <sz val="10"/>
        <rFont val="Roboto"/>
      </rPr>
      <t xml:space="preserve">
Please, select for Operational Capabilities. If 'inadequate' is selected, please answer Characteri-sation(s) of inadequacy and Barries. 
Reasons for inadequacy may include Lacking a physical space to carry out activities; Insufficient human resources; Other, please specify
</t>
    </r>
  </si>
  <si>
    <t>5.4.4</t>
  </si>
  <si>
    <t>LAW ENFORCEMENT AND JUSTICE</t>
  </si>
  <si>
    <t>5.4.4.1</t>
  </si>
  <si>
    <t>Law enforcement entities operating in the city, with respective capacities</t>
  </si>
  <si>
    <t>[#], select and text</t>
  </si>
  <si>
    <t>5.4.4.1.1 If capacity is considered inadequate for any entity, please indicate the barrier(s) in reaching adequacy (answer in 5.4.4.1)</t>
  </si>
  <si>
    <t>5.4.4.1.2 For each entity, characterise the trends in terms of capacity in the past 10 years. (answer in 5.4.4.1)</t>
  </si>
  <si>
    <t>5.4.4.2</t>
  </si>
  <si>
    <t>Is any informal crime-watch organisation in place?</t>
  </si>
  <si>
    <t>5.4.4.3</t>
  </si>
  <si>
    <t>Free of charge legal aid availability in the city, including types of legal aid.</t>
  </si>
  <si>
    <t>Yes, please indicate type of legal aid</t>
  </si>
  <si>
    <t>Types of legal aid</t>
  </si>
  <si>
    <t>5.4.4.4</t>
  </si>
  <si>
    <t xml:space="preserve">In case the beneficiary of the legal aid does not speak the official language of the city, are there any mechanisms in place to ensure appropriate translation? </t>
  </si>
  <si>
    <t>Detention facilities available in the city and their operators.</t>
  </si>
  <si>
    <t>5.4.4.5</t>
  </si>
  <si>
    <t xml:space="preserve">Pre-trial </t>
  </si>
  <si>
    <t xml:space="preserve">Juvenile </t>
  </si>
  <si>
    <t xml:space="preserve">Adult </t>
  </si>
  <si>
    <t>Number of facilities (#)</t>
  </si>
  <si>
    <t>Jurisdiction(s)
(specify level for each facility)</t>
  </si>
  <si>
    <t>Operator(s)
(specify for each facility)</t>
  </si>
  <si>
    <t>Other, please specify:</t>
  </si>
  <si>
    <r>
      <t xml:space="preserve">Please, fill in the table under columns </t>
    </r>
    <r>
      <rPr>
        <b/>
        <sz val="10"/>
        <color theme="1"/>
        <rFont val="Roboto"/>
      </rPr>
      <t>Main</t>
    </r>
    <r>
      <rPr>
        <sz val="10"/>
        <color theme="1"/>
        <rFont val="Roboto"/>
      </rPr>
      <t xml:space="preserve"> and </t>
    </r>
    <r>
      <rPr>
        <b/>
        <sz val="10"/>
        <color theme="1"/>
        <rFont val="Roboto"/>
      </rPr>
      <t>Secondary.</t>
    </r>
    <r>
      <rPr>
        <sz val="10"/>
        <color theme="1"/>
        <rFont val="Roboto"/>
      </rPr>
      <t xml:space="preserve">.
If Other, please specify under column </t>
    </r>
    <r>
      <rPr>
        <b/>
        <sz val="10"/>
        <color theme="1"/>
        <rFont val="Roboto"/>
      </rPr>
      <t>Main</t>
    </r>
    <r>
      <rPr>
        <sz val="10"/>
        <color theme="1"/>
        <rFont val="Roboto"/>
      </rPr>
      <t xml:space="preserve"> and insert more rows above (&gt;&gt;&gt;) as needed.</t>
    </r>
    <r>
      <rPr>
        <b/>
        <sz val="10"/>
        <color theme="1"/>
        <rFont val="Roboto"/>
      </rPr>
      <t xml:space="preserve"> </t>
    </r>
  </si>
  <si>
    <r>
      <t xml:space="preserve">Please, fill in the table under columns </t>
    </r>
    <r>
      <rPr>
        <b/>
        <sz val="10"/>
        <color theme="1"/>
        <rFont val="Roboto"/>
      </rPr>
      <t>Main</t>
    </r>
    <r>
      <rPr>
        <sz val="10"/>
        <color theme="1"/>
        <rFont val="Roboto"/>
      </rPr>
      <t xml:space="preserve"> and </t>
    </r>
    <r>
      <rPr>
        <b/>
        <sz val="10"/>
        <color theme="1"/>
        <rFont val="Roboto"/>
      </rPr>
      <t>Secondary.</t>
    </r>
    <r>
      <rPr>
        <sz val="10"/>
        <color theme="1"/>
        <rFont val="Roboto"/>
      </rPr>
      <t xml:space="preserve">
If Other, please specify</t>
    </r>
    <r>
      <rPr>
        <b/>
        <sz val="10"/>
        <color theme="1"/>
        <rFont val="Roboto"/>
      </rPr>
      <t xml:space="preserve"> </t>
    </r>
    <r>
      <rPr>
        <sz val="10"/>
        <color theme="1"/>
        <rFont val="Roboto"/>
      </rPr>
      <t>under column</t>
    </r>
    <r>
      <rPr>
        <b/>
        <sz val="10"/>
        <color theme="1"/>
        <rFont val="Roboto"/>
      </rPr>
      <t xml:space="preserve"> Main</t>
    </r>
    <r>
      <rPr>
        <sz val="10"/>
        <color theme="1"/>
        <rFont val="Roboto"/>
      </rPr>
      <t xml:space="preserve"> and insert more rows above </t>
    </r>
    <r>
      <rPr>
        <b/>
        <sz val="10"/>
        <color theme="1"/>
        <rFont val="Roboto"/>
      </rPr>
      <t>(&gt;&gt;&gt;)</t>
    </r>
    <r>
      <rPr>
        <sz val="10"/>
        <color theme="1"/>
        <rFont val="Roboto"/>
      </rPr>
      <t xml:space="preserve"> as needed.
Barriers to inadequacy </t>
    </r>
    <r>
      <rPr>
        <b/>
        <sz val="10"/>
        <color theme="1"/>
        <rFont val="Roboto"/>
      </rPr>
      <t xml:space="preserve"> </t>
    </r>
    <r>
      <rPr>
        <sz val="10"/>
        <color theme="1"/>
        <rFont val="Roboto"/>
      </rPr>
      <t xml:space="preserve">may include </t>
    </r>
    <r>
      <rPr>
        <b/>
        <sz val="10"/>
        <color theme="1"/>
        <rFont val="Roboto"/>
      </rPr>
      <t xml:space="preserve">Financial capacity; Geospatial setting; Normative and institutional frameworks; Other, please specify. </t>
    </r>
  </si>
  <si>
    <r>
      <t xml:space="preserve">Please, select relevant fields under column </t>
    </r>
    <r>
      <rPr>
        <b/>
        <sz val="10"/>
        <rFont val="Roboto"/>
      </rPr>
      <t>Main.</t>
    </r>
    <r>
      <rPr>
        <sz val="10"/>
        <rFont val="Roboto"/>
      </rPr>
      <t xml:space="preserve">
If Other groups are concerned, please specify group under column </t>
    </r>
    <r>
      <rPr>
        <b/>
        <sz val="10"/>
        <rFont val="Roboto"/>
      </rPr>
      <t>Main</t>
    </r>
    <r>
      <rPr>
        <sz val="10"/>
        <rFont val="Roboto"/>
      </rPr>
      <t>, and add as many rows above (&gt;&gt;&gt;) as needed.</t>
    </r>
  </si>
  <si>
    <t>5.4.4.5.1 Capacity and occupancy rate of detention centres.</t>
  </si>
  <si>
    <t>[#], [%] and text</t>
  </si>
  <si>
    <t>Please copy questions 5.4.4.5.1 and 5.4.4.5.2 for each facility indicated in 5.4.4.5 and insert it before 5.4.4.6.  Insert as many rows above (&gt;&gt;) as needed.</t>
  </si>
  <si>
    <r>
      <t xml:space="preserve">Please specify name under column </t>
    </r>
    <r>
      <rPr>
        <b/>
        <sz val="10"/>
        <color theme="1"/>
        <rFont val="Roboto"/>
      </rPr>
      <t>Main.</t>
    </r>
  </si>
  <si>
    <t>indicate name</t>
  </si>
  <si>
    <t>5.4.4.5.0 Facility:</t>
  </si>
  <si>
    <r>
      <t xml:space="preserve">Please, fill in the table under columns </t>
    </r>
    <r>
      <rPr>
        <b/>
        <sz val="10"/>
        <rFont val="Roboto"/>
      </rPr>
      <t>Main</t>
    </r>
    <r>
      <rPr>
        <sz val="10"/>
        <rFont val="Roboto"/>
      </rPr>
      <t xml:space="preserve"> and </t>
    </r>
    <r>
      <rPr>
        <b/>
        <sz val="10"/>
        <rFont val="Roboto"/>
      </rPr>
      <t>Secondary.</t>
    </r>
    <r>
      <rPr>
        <sz val="10"/>
        <rFont val="Roboto"/>
      </rPr>
      <t xml:space="preserve">
Disaggregate by sex, if possible.
Occupancy rate will be computed automatically from the value provided.</t>
    </r>
  </si>
  <si>
    <t xml:space="preserve"> Facility type
(select)</t>
  </si>
  <si>
    <t xml:space="preserve">Capacity (#) </t>
  </si>
  <si>
    <t>Detained population (#)</t>
  </si>
  <si>
    <t>Occupancy rate (%)</t>
  </si>
  <si>
    <t>5.4.4.5.2  Existence of alternatives to detention.</t>
  </si>
  <si>
    <r>
      <rPr>
        <sz val="10"/>
        <rFont val="Roboto"/>
      </rPr>
      <t xml:space="preserve">Please, select relevant field under column </t>
    </r>
    <r>
      <rPr>
        <b/>
        <sz val="10"/>
        <rFont val="Roboto"/>
      </rPr>
      <t xml:space="preserve">Main.
</t>
    </r>
    <r>
      <rPr>
        <sz val="10"/>
        <rFont val="Roboto"/>
      </rPr>
      <t xml:space="preserve">If yes, please specify alternatives under column </t>
    </r>
    <r>
      <rPr>
        <b/>
        <sz val="10"/>
        <rFont val="Roboto"/>
      </rPr>
      <t>Secondary.</t>
    </r>
  </si>
  <si>
    <r>
      <t>Access to legal aid is defined as the accused or convicted person's right to free of charge legal assistance. It is normally provided by governments, in various forms, to persons who lack sufficient means to afford the costs of a court case or legal representions</t>
    </r>
    <r>
      <rPr>
        <vertAlign val="superscript"/>
        <sz val="10"/>
        <rFont val="Roboto"/>
      </rPr>
      <t>2</t>
    </r>
    <r>
      <rPr>
        <sz val="10"/>
        <rFont val="Roboto"/>
      </rPr>
      <t>. 
Individuals or entities that provide legal aid to those in need of the service are referred to as legal aid providers. Such services should be provided by local public authorities, which cannot always cover for all the needs. Instead, a wide range of non-governmental stakeholders may contribute to the provision of legal aid, such as non-governmental organisations, community-based organisations, charitable groups as well as professional private entities, to mention a few</t>
    </r>
    <r>
      <rPr>
        <vertAlign val="superscript"/>
        <sz val="10"/>
        <rFont val="Roboto"/>
      </rPr>
      <t>3</t>
    </r>
    <r>
      <rPr>
        <sz val="10"/>
        <rFont val="Roboto"/>
      </rPr>
      <t>.
The provided legal aid can be in the form of a legal advice, asistance or legal representation. Based on the entity providing the legal aid, the service ranges from public defenders, private lawyers, to pro bono schemes, and others</t>
    </r>
    <r>
      <rPr>
        <vertAlign val="superscript"/>
        <sz val="10"/>
        <rFont val="Roboto"/>
      </rPr>
      <t>4</t>
    </r>
    <r>
      <rPr>
        <sz val="10"/>
        <rFont val="Roboto"/>
      </rPr>
      <t>.
Public defender institutions are assigned to support the legal needs of those who are qualified to receive legal aid. This is usually done through the provision of salaried public defenders. These instituitions are also known as "national defenders", "public attorneys", "legal aid societies" or "legal aid clinics"5, based at the national, regional or city level with a variety of legal jurisdictions. 
Pro-bono schemes are defined as legal services provided by professionals on voluntary basis, such as lawyers, to persons in need of such assistance. The lawyer does not get paid neither by the state or local government, nor by the person</t>
    </r>
    <r>
      <rPr>
        <vertAlign val="superscript"/>
        <sz val="10"/>
        <rFont val="Roboto"/>
      </rPr>
      <t>6</t>
    </r>
    <r>
      <rPr>
        <sz val="10"/>
        <rFont val="Roboto"/>
      </rPr>
      <t xml:space="preserve">. </t>
    </r>
  </si>
  <si>
    <t>The purposes of a detention facility varies depending on the population it is intended to serve as well as the respective criminal justice policy of a State. For instance, detention facilities can be adapted to the different needs in terms of treatment, protection, or levels of security that the different detained groups require.
Jurisdiction refers to the authority which presides over the geographical coverage or catchment area of a specific detention facility. For instance, a local jail may fall under the jurisdiction of the city while a larger prison facility may fall under the jurisdiction of the state or national government.  
The operator of the detention facility should reflect the public or private entity responsible for day-to-day operations. This may be a governmental department, private company or some combination of public and private operations. If more than one entity jointly operates a specific facility, please indicate all operators.
Pre-trial detention is a situation in which a person arrested for, or suspected of, committing a criminal offense is kept in detention pending trial. This person will remain in detention until the end of the trial, at which point he or she is released (if found innocent) or imprisoned (if found guilty). Any person who are not treated as sentenced prisoner are regarded as being in a form of “pre-trial” detention.
A juvenile detention or correction facility is defined as a facility where a detained young person is under a regime of supervised education.
Adult detention or correction refers to a facility where the adult population is detained. The most common facilities include jails or prison facilities. Often, women and men are placed in separate facilities.
Immigration detention facilities are where persons suspected of visa violations, illegal entry or unauthorised arrival, as well as those subject to deportation/removal are detained. Usually, persons are held in immigration detentions facilities on a temporary basis until a decision is made by immigration authorities regarding an individual's immigration status.</t>
  </si>
  <si>
    <t>Detained population is defined as the total number of people which are currently detained in the facility. Capacity is defined as the maximum number of prisoners which can be accommodated in a prison facility. Occupancy rate is a computed percentage measuring the relationship between the capacity for and the real number of detained population.</t>
  </si>
  <si>
    <r>
      <t>Common alternatives to detention include releasing an accused person from a detention facility but imposing additional requirements including, but not limited to: appearance in court on a specified day; restriction of movement to specified places (could include the surrendering of passports or other identification papers), or from a certain address; prohibition of approaching or meeting of specified persons; reporting on a periodic basis to a court, the police, or other authority; the acceptance of court-appointed supervision or electronic monitoring, or pledging financial or other forms of property as security (e.g. bail).</t>
    </r>
    <r>
      <rPr>
        <vertAlign val="superscript"/>
        <sz val="10"/>
        <rFont val="Roboto"/>
      </rPr>
      <t xml:space="preserve">1 </t>
    </r>
    <r>
      <rPr>
        <sz val="10"/>
        <rFont val="Roboto"/>
      </rPr>
      <t xml:space="preserve"> </t>
    </r>
  </si>
  <si>
    <t xml:space="preserve">Lacking a physical space (building, offices, etc.) to carry out activities </t>
  </si>
  <si>
    <t xml:space="preserve">Insufficient human resources </t>
  </si>
  <si>
    <t>Budgetary Constraints</t>
  </si>
  <si>
    <t>Characteri-sation(s) of inadequacy
(see5.3.2.2.1.1 )</t>
  </si>
  <si>
    <t>Operational capabilities
(see 5.3.2.2.1)</t>
  </si>
  <si>
    <t>Barriers
(see 5.3.2.2.2)</t>
  </si>
  <si>
    <t>5.4.4.0 Law enforcement entity:</t>
  </si>
  <si>
    <t>Please copy question 5.4.4.1  for each Law enforcement entity (State, Regional, Local, etc.) and insert it after 5.4.4.1.2.  Insert as many rows above (&gt;&gt;) as needed.</t>
  </si>
  <si>
    <t>51-103%</t>
  </si>
  <si>
    <t>5.5</t>
  </si>
  <si>
    <t>EMERGENCY AND RESCUE SERVICES</t>
  </si>
  <si>
    <t>5.5.1</t>
  </si>
  <si>
    <t>DIVERSITY AND TYPOLOGY OF EMERGENCY AND RESCUE SERVICES</t>
  </si>
  <si>
    <t>5.5.1.1</t>
  </si>
  <si>
    <t>Fire emergency services operating in the city, with respective capacities</t>
  </si>
  <si>
    <t>5.5.1.1.1 If capacity is inadequate for one of the abovementioned services, please indicate barrier(s) in reaching adequacy (answer in 5.5.1.1)</t>
  </si>
  <si>
    <t>5.5.1.1.2 For each entity, characterise the trends in terms of capacity in the past 10 years. (answer in 5.5.1.1)</t>
  </si>
  <si>
    <t>Name</t>
  </si>
  <si>
    <t>Firefighters
(#)</t>
  </si>
  <si>
    <t>Charity/ Non-profit</t>
  </si>
  <si>
    <r>
      <t xml:space="preserve">Please, fill in the table under columns </t>
    </r>
    <r>
      <rPr>
        <b/>
        <sz val="10"/>
        <rFont val="Roboto"/>
      </rPr>
      <t>Main</t>
    </r>
    <r>
      <rPr>
        <sz val="10"/>
        <rFont val="Roboto"/>
      </rPr>
      <t xml:space="preserve"> and </t>
    </r>
    <r>
      <rPr>
        <b/>
        <sz val="10"/>
        <rFont val="Roboto"/>
      </rPr>
      <t>Secondary.</t>
    </r>
    <r>
      <rPr>
        <sz val="10"/>
        <rFont val="Roboto"/>
      </rPr>
      <t xml:space="preserve">
Insert as many rows above</t>
    </r>
    <r>
      <rPr>
        <b/>
        <sz val="10"/>
        <rFont val="Roboto"/>
      </rPr>
      <t xml:space="preserve"> (&gt;&gt;&gt;)</t>
    </r>
    <r>
      <rPr>
        <sz val="10"/>
        <rFont val="Roboto"/>
      </rPr>
      <t xml:space="preserve"> as needed, for each services.
Please, select for Capacity and Trends.
Barriers to inadequacy may include </t>
    </r>
    <r>
      <rPr>
        <b/>
        <sz val="10"/>
        <rFont val="Roboto"/>
      </rPr>
      <t>Financial capacity; Geospatial setting; Normative and institutional frameworks; Other, please specify.</t>
    </r>
  </si>
  <si>
    <t>Fire and rescue authorities have a duty in law to estinguish fires, protecting lives and properties in case of fire events, as well as to promote fire safety through the enhancement of fire education and the delivery of awareness raising activities. Beyond this, fire authorities can be also responsible for rescuing people in road traffic accidents events, controlling hazardous materials, supervisioning the enforcement of building codes and engaging in a wide range of emergency interventions depending on the context and the situation.
Capacity of staffing and materials/equipment provides a quantitative and qualitative measure of a service's ability to perform its responsibilities and assess whether the level of resources devoted to emergency and rescue in the city are sufficient to effectively respond to emergencies
Materials &amp; equipment refers to non-personnel expenses necessary to ensure safety and preparedness while emergency and rescue personnel are on duty. Examples may include vehicles, uniforms, tools, among others. Responses should reflect a general accounting of all needed materials and equipment and whether or not existing inventory is sufficient to meet the operational capacity of personnel. 
Characterising the trend is necessary to evaluate if there has been changes in emergency and rescue capacity in the city in the past 10 years. Stable increase/decrease assumes a generally linear growth pattern, whereas sharp increase/decrease can indicate important change(s) in emergency and rescue with for example, the addition of firefighters.</t>
  </si>
  <si>
    <t>5.5.1.2</t>
  </si>
  <si>
    <t>Public works units available in the city, with capacities.</t>
  </si>
  <si>
    <t>Equipment</t>
  </si>
  <si>
    <t>Assessment and repairing of damaged buildings, roads and bridges</t>
  </si>
  <si>
    <t>Clearance, removal and disposing of debris from public spaces</t>
  </si>
  <si>
    <t>Restoration of utility services</t>
  </si>
  <si>
    <t>Emergency traffic management</t>
  </si>
  <si>
    <t>Public works authorities play a vital role in each phase of the emergency spectrum - from disaster prevention and preparedness to disaster response and recovery -, being often the lead actor for coordination and management during and / or in the aftermath of an emergency situation. Depending on the sectors affected, these authorities' responsibilities include: assessment and repairing of damaged buildings, roads and bridges; clearing, removing and disposal of debris from public spaces; emergency traffic management; and restoration of basic utility services.</t>
  </si>
  <si>
    <t>Tactical services</t>
  </si>
  <si>
    <t>Hazardous devices teams</t>
  </si>
  <si>
    <t>Public safety dive teams/ maritime units</t>
  </si>
  <si>
    <t>Canine units</t>
  </si>
  <si>
    <t>Aviation units</t>
  </si>
  <si>
    <t>Hazardous material units</t>
  </si>
  <si>
    <t>Search and rescue units</t>
  </si>
  <si>
    <t>Public safety answering points</t>
  </si>
  <si>
    <t>Private security guard forces</t>
  </si>
  <si>
    <t>Military civil support</t>
  </si>
  <si>
    <t>5.5.1.3</t>
  </si>
  <si>
    <t>Specialised Emergency Services can be provided by one of the core emergency authorities, by one separate governmental entity or by private bodies working in coordination with the government. Please see the following considerations for a breakdown of the types of activites covered.
Tactical services are teams of personnel with specialized training, communications systems, vehicles, and equipment for specific duties; such as hostage rescue, counterterrorism operations, high-risk arrests, and entering armored or barricaded buildings among others.
Public safety dive teams / maritime units are teams of personnel with specialized training, communications systems, vehicles, and equipment for (under)water rescue, recovery, and investigation.
Canine unit teams consist of dogs and personnel officers with specialized training and equipment, whose responsibilities encompass: drug detection, explosive detection, cadaver detection, arson and accelerant detection, search and rescue, evidence search, suspect apprehension, and handler protection.
Aviation units are personnel with specialized training, communications systems and equipment, utilizing fixed- and rotary-wing aircraft for law enforcement, fire and rescue, emergency medical services, and emergency management functions.
Hazardous goods are solid, liquid or gaseous materials that could harm people, other living organisms, properties or the environment. Hazardous material emergency units consist of personnel specialised in handling these materials, taking charge of their transportation or managing the impacts of incidents connected to them - whether chemical, biological, radiological or nuclear.
Search and rescue units are teams of personnel with specialized training, communications systems, vehicles, and equipment - normally co-ordinated by a rescue co-ordination authority - tasked to locate persons in distress, potential distress or missing and to recover them to a place of safety, providing for their initial medical care or other needs as necessary. Search and Rescue units can be deployed in structurally collapsed buildings, in confined spaces or after vehicle accidents; as well as in water, wilderness, caves, mines and tunnels.
A public safety answering point (PSAP) is a call center responsible for answering calls to an emergency telephone number for police, firefighting, rescue services, emergency medical services, emergency management, and public works assistance. 
Private security guard forces involve personnel who provide operational facility and site security to private sector and government facilities and operations.
Military civil support involves military support provided to civil authorities or government departments, concerning maintenance of law, order and public safety, through the deployment of specialist, volunteers or equipment beyond civil powers' capacity. This include assistance provided by armed forces in terms of engineering, transportation, medical and aviation support for urgent work of national importance, responding to emergencies - whether natural disasters, CBRN incidents, structural collapses - , maintaining supplies and essential services, and / or providing assistance to communities for special projects or events of significant value.</t>
  </si>
  <si>
    <t>5.5.1.4</t>
  </si>
  <si>
    <t>Civil emergency services available in the city, with respective staffing and equipment capacities</t>
  </si>
  <si>
    <t>Safeguarding of public utilities</t>
  </si>
  <si>
    <t>Emergency road service to repair cars</t>
  </si>
  <si>
    <t>Civilian traffic units/officers</t>
  </si>
  <si>
    <t>Emergency social services</t>
  </si>
  <si>
    <t>Community emergency response teams</t>
  </si>
  <si>
    <t>Amateur radio</t>
  </si>
  <si>
    <t>Poison control</t>
  </si>
  <si>
    <t>Animal control</t>
  </si>
  <si>
    <t>5.5.1.4.1 If capacity is inadequate for one of the abovementioned services, please indicate barrier(s) in reaching adequacy (answer in 5.5.1.4)</t>
  </si>
  <si>
    <t>5.5.1.4.2 For each entity, characterise the trends in terms of capacity in the past 10 years. (answer in 5.5.1.4)</t>
  </si>
  <si>
    <t>5.5.1.3.1 If capacity is inadequate for one of the abovementioned services, please indicate barrier(s) in reaching adequacy (answer in 5.5.1.3)</t>
  </si>
  <si>
    <t>5.5.1.3.2 For each entity, characterise the trends in terms of capacity in the past 10 years. (answer in 5.5.1.3)</t>
  </si>
  <si>
    <t>5.5.1.2.1 If capacity is inadequate for one of the abovementioned services, please indicate barrier(s) in reaching adequacy (answer in 5.5.1.2)</t>
  </si>
  <si>
    <t>5.5.1.2.2 For each entity, characterise the trends in terms of capacity in the past 10 years. (answer in 5.5.1.2)</t>
  </si>
  <si>
    <t>These groups and organizations respond to emergencies and provide other safety-related services as a part of their on-the-job duties or as a volunteer service.
Safeguarding of public utilities involve those in charge for the monitoring and enhancement of public utilities - gas, electricity and / or water - which could result into hazardous events in case of infrastructure failure.
Emergency road service to repair cars involve those in charge for providing assistance repair or recovery for disabled or crashed vehicles.
Civil traffic units are composed of trained officers tasked to patrol highways and roads, in order to both keep the traffic flowing smoothly and manage incidents. In an emergency situation, civil traffic units can play a key role in coordinating emergency services' resources, managing traffic to reduce congestions, clearing debris from carriageways, re-opening routes as soon as it is safe to do so and supporting the police.
Emergency Social Services (ESS) are delivered through locally organised teams - often participating on a voluntary basis - tasked to help people meeting their basic needs during and in the aftermath of emergency situations. ESS may encompass food-delivery, clothing distribution, lodging, first aid, emotional support, pet care and family reunification among others.
Community Emergency Response Teams (CERT) educate and train volunteers about disaster preparedness, regarding the plausible hazards that their city / area may be exposed to. Trainings on basic disaster response skills may include fire safety, light search and rescue, team organization, and disaster medical operations. CERTs play a critical role in enhancing local capacity to prepare for, respond to and recover from disasters and emergency situations.
Amateur radio services consists of trained amateur radio operators - voluntarily registering their qualifications and equipment for communication duty - assisting the public service during emergency communications - both in the case of natural and man-made hazards.
Poison control specialists are tasked to provide rapidly available support and advice to healthcare professionals, in case of poisining incidents. The purpose of this service is to facilitate optimal clinical management of patients with confirmed or suspected poisoning and of those who may be exposed to medicines or other potential poisons during pregnancy.
The animal control services / agencies are entities responsible for responding to requests for help from wild animals, dangerous animals and / or animals in distress. These types of services can be provided by government bodies or through a contract with a humane society for the prevention of cruelty to animals.</t>
  </si>
  <si>
    <t>5.5.2</t>
  </si>
  <si>
    <t>CONTINUITY OF EMERGENCY AND RESPONSE OPERATIONS</t>
  </si>
  <si>
    <t>5.5.2.1</t>
  </si>
  <si>
    <t>Operational schedule of emergency and response services</t>
  </si>
  <si>
    <t>Services</t>
  </si>
  <si>
    <t>Entity Name</t>
  </si>
  <si>
    <t>24h/7d</t>
  </si>
  <si>
    <t>Regular working hours</t>
  </si>
  <si>
    <t>Specific schedule (field operations, on-demand, etc.)</t>
  </si>
  <si>
    <t>Fire emergency services</t>
  </si>
  <si>
    <t>Public works units</t>
  </si>
  <si>
    <t>Specialised Emergency Services</t>
  </si>
  <si>
    <t>Civil Emergency Services</t>
  </si>
  <si>
    <r>
      <t xml:space="preserve">Please, fill in the table by selecting </t>
    </r>
    <r>
      <rPr>
        <b/>
        <sz val="10"/>
        <color theme="1"/>
        <rFont val="Roboto"/>
      </rPr>
      <t>(X)</t>
    </r>
    <r>
      <rPr>
        <sz val="10"/>
        <color theme="1"/>
        <rFont val="Roboto"/>
      </rPr>
      <t xml:space="preserve"> the operational schedule of the emergency and response service considered.
Insert as many rows above </t>
    </r>
    <r>
      <rPr>
        <b/>
        <sz val="10"/>
        <color theme="1"/>
        <rFont val="Roboto"/>
      </rPr>
      <t xml:space="preserve">(&gt;&gt;&gt;) </t>
    </r>
    <r>
      <rPr>
        <sz val="10"/>
        <color theme="1"/>
        <rFont val="Roboto"/>
      </rPr>
      <t xml:space="preserve">as needed, for each emergency and response service indicated in 5.5.1.
If specific operational schedules, please specify type. </t>
    </r>
  </si>
  <si>
    <t xml:space="preserve">The operational schedule of the units of emergency and rescue services may be specific to their duties and responsibilities. Certain services may follow a regular schedule of office working hours, be available at all time to ensure a continuity of service (7d/24h) or have a specific schedule linked to their activities. </t>
  </si>
  <si>
    <t>5.5.2.2</t>
  </si>
  <si>
    <t>Modality that emergency and rescure services can be contacted</t>
  </si>
  <si>
    <t>When it comes to communication, while some countries have one phone number for the entire emergency service at the national scale, others have dedicated numbers for specific services. The availability of emergency services varies considerably depending on geographic locations and may in some cases rely on the recipient giving a payment, holding an insurance or holding other surety for being reached by the service. 
Emergency services can be usually contacted by phone, either through a unified number - redirecting calls to different departments, units and teams, according to the type of response required - or through several ones that remain specific to each emergency body. Other means for reaching out to emergency services may include text messages, online chat services and Skype calls - or similar - among others.</t>
  </si>
  <si>
    <t>5.5.2.3</t>
  </si>
  <si>
    <t>Response time of emergency and rescue services</t>
  </si>
  <si>
    <t>5.5.2.3.1 For each service where the percentage of compliant responses is less than 100%, identify barriers in ensuring an optimal response time (answer in 5.5.2.3)</t>
  </si>
  <si>
    <t>5.5.2.4 Existence of a public management body that is responsible for inter-agency preparedness and response coordination</t>
  </si>
  <si>
    <t>Response time should reflect the period of time from when an individual places a call (or through other communication means) for emergency services until the service arrives to the designated location.
Optimal response times refer to the maximum period of time that a service can take to be able to respond appropriately to an emergency, from when an individual places a call for the service. Optimal response times can be dictated either internally by the emergency and rescue service or through other administrative processes (legislative requirement, executive direction, etc.).
Financial capacity refers to the financial constraints facing the duty-bearers in meeting optimal response times in the city. Geo-spatial settings are concerned with difficulties imposed by the geographic or geospatial characteristics of some areas within the city preventing optimal response times by emergency and rescue services. Normative and institutional frameworks refer to the existence of legislative constraints preventing optimal response times in the city.</t>
  </si>
  <si>
    <t>A specific, dedicated telephone number</t>
  </si>
  <si>
    <t>Unified (generic) telephone number</t>
  </si>
  <si>
    <t>Other ICTs
(Please specify)</t>
  </si>
  <si>
    <t>Free</t>
  </si>
  <si>
    <t>Taxed</t>
  </si>
  <si>
    <t>Standard/ Optimal response time</t>
  </si>
  <si>
    <t>Responses compliant with standards (%)</t>
  </si>
  <si>
    <r>
      <t xml:space="preserve">Please, fill in the table under columns </t>
    </r>
    <r>
      <rPr>
        <b/>
        <sz val="10"/>
        <color theme="1"/>
        <rFont val="Roboto"/>
      </rPr>
      <t>Main</t>
    </r>
    <r>
      <rPr>
        <sz val="10"/>
        <color theme="1"/>
        <rFont val="Roboto"/>
      </rPr>
      <t xml:space="preserve"> and </t>
    </r>
    <r>
      <rPr>
        <b/>
        <sz val="10"/>
        <color theme="1"/>
        <rFont val="Roboto"/>
      </rPr>
      <t>Secondary.</t>
    </r>
    <r>
      <rPr>
        <sz val="10"/>
        <color theme="1"/>
        <rFont val="Roboto"/>
      </rPr>
      <t xml:space="preserve">
Per emergency and response service indicated in 5.5.1, insert as many rows above </t>
    </r>
    <r>
      <rPr>
        <b/>
        <sz val="10"/>
        <color theme="1"/>
        <rFont val="Roboto"/>
      </rPr>
      <t>(&gt;&gt;&gt;)</t>
    </r>
    <r>
      <rPr>
        <sz val="10"/>
        <color theme="1"/>
        <rFont val="Roboto"/>
      </rPr>
      <t xml:space="preserve"> as needed.
Barriers to 100% optimal  may include </t>
    </r>
    <r>
      <rPr>
        <b/>
        <sz val="10"/>
        <color theme="1"/>
        <rFont val="Roboto"/>
      </rPr>
      <t>Financial capacity; Geospatial setting; Normative and institutional frameworks; Other, please specify.</t>
    </r>
  </si>
  <si>
    <r>
      <t xml:space="preserve">Please, select the relevant field under column </t>
    </r>
    <r>
      <rPr>
        <b/>
        <sz val="10"/>
        <color theme="1"/>
        <rFont val="Roboto"/>
      </rPr>
      <t>Main.</t>
    </r>
  </si>
  <si>
    <t>Vehicle coverage 111091</t>
  </si>
  <si>
    <t>Vehicle coverage 111092</t>
  </si>
  <si>
    <t>Emergency services available in the city, with respective staffing and equipment capacities</t>
  </si>
  <si>
    <t>CP: alignment not found in the old version of Index of Indicators</t>
  </si>
  <si>
    <r>
      <t>SDG 7.3</t>
    </r>
    <r>
      <rPr>
        <vertAlign val="superscript"/>
        <sz val="10"/>
        <rFont val="Roboto"/>
      </rPr>
      <t xml:space="preserve">A </t>
    </r>
    <r>
      <rPr>
        <sz val="10"/>
        <color rgb="FFFF0000"/>
        <rFont val="Roboto"/>
      </rPr>
      <t>(review)</t>
    </r>
  </si>
  <si>
    <t>CP: new indicator</t>
  </si>
  <si>
    <r>
      <t>CAC/RCP 1-1969</t>
    </r>
    <r>
      <rPr>
        <b/>
        <vertAlign val="superscript"/>
        <sz val="10"/>
        <rFont val="Roboto"/>
      </rPr>
      <t>A</t>
    </r>
  </si>
  <si>
    <r>
      <t>SDG 3.3 &amp; 3.d</t>
    </r>
    <r>
      <rPr>
        <vertAlign val="superscript"/>
        <sz val="10"/>
        <rFont val="Roboto"/>
      </rPr>
      <t xml:space="preserve">A
</t>
    </r>
    <r>
      <rPr>
        <sz val="10"/>
        <color rgb="FFFF0000"/>
        <rFont val="Roboto"/>
      </rPr>
      <t>(review)</t>
    </r>
  </si>
  <si>
    <r>
      <t>SDG 2.5</t>
    </r>
    <r>
      <rPr>
        <vertAlign val="superscript"/>
        <sz val="10"/>
        <rFont val="Roboto"/>
      </rPr>
      <t>A</t>
    </r>
    <r>
      <rPr>
        <sz val="10"/>
        <rFont val="Roboto"/>
      </rPr>
      <t>, 6.6</t>
    </r>
    <r>
      <rPr>
        <vertAlign val="superscript"/>
        <sz val="10"/>
        <rFont val="Roboto"/>
      </rPr>
      <t>A</t>
    </r>
    <r>
      <rPr>
        <sz val="10"/>
        <rFont val="Roboto"/>
      </rPr>
      <t>, 14.5.1</t>
    </r>
    <r>
      <rPr>
        <vertAlign val="superscript"/>
        <sz val="10"/>
        <rFont val="Roboto"/>
      </rPr>
      <t>A</t>
    </r>
    <r>
      <rPr>
        <sz val="10"/>
        <rFont val="Roboto"/>
      </rPr>
      <t>, 15.1.2</t>
    </r>
    <r>
      <rPr>
        <vertAlign val="superscript"/>
        <sz val="10"/>
        <rFont val="Roboto"/>
      </rPr>
      <t>A</t>
    </r>
    <r>
      <rPr>
        <sz val="10"/>
        <rFont val="Roboto"/>
      </rPr>
      <t>, 15.4.1</t>
    </r>
    <r>
      <rPr>
        <vertAlign val="superscript"/>
        <sz val="10"/>
        <rFont val="Roboto"/>
      </rPr>
      <t>A</t>
    </r>
    <r>
      <rPr>
        <sz val="10"/>
        <rFont val="Roboto"/>
      </rPr>
      <t>, 15.7</t>
    </r>
    <r>
      <rPr>
        <vertAlign val="superscript"/>
        <sz val="10"/>
        <rFont val="Roboto"/>
      </rPr>
      <t>A</t>
    </r>
    <r>
      <rPr>
        <sz val="10"/>
        <rFont val="Roboto"/>
      </rPr>
      <t xml:space="preserve"> </t>
    </r>
    <r>
      <rPr>
        <sz val="10"/>
        <color rgb="FFFF0000"/>
        <rFont val="Roboto"/>
      </rPr>
      <t>(review)</t>
    </r>
  </si>
  <si>
    <r>
      <t>SDG 4.7</t>
    </r>
    <r>
      <rPr>
        <vertAlign val="superscript"/>
        <sz val="10"/>
        <rFont val="Roboto"/>
      </rPr>
      <t xml:space="preserve">A
</t>
    </r>
    <r>
      <rPr>
        <sz val="10"/>
        <color rgb="FFFF0000"/>
        <rFont val="Roboto"/>
      </rPr>
      <t>(review)</t>
    </r>
  </si>
  <si>
    <r>
      <t>ISO_37120 14.3</t>
    </r>
    <r>
      <rPr>
        <vertAlign val="superscript"/>
        <sz val="10"/>
        <rFont val="Roboto"/>
      </rPr>
      <t>C</t>
    </r>
    <r>
      <rPr>
        <sz val="10"/>
        <rFont val="Roboto"/>
      </rPr>
      <t xml:space="preserve"> 
ESCI 85</t>
    </r>
    <r>
      <rPr>
        <vertAlign val="superscript"/>
        <sz val="10"/>
        <rFont val="Roboto"/>
      </rPr>
      <t>C</t>
    </r>
    <r>
      <rPr>
        <sz val="10"/>
        <rFont val="Roboto"/>
      </rPr>
      <t xml:space="preserve">
CPI-QOL 3.2</t>
    </r>
    <r>
      <rPr>
        <vertAlign val="superscript"/>
        <sz val="10"/>
        <rFont val="Roboto"/>
      </rPr>
      <t>A</t>
    </r>
  </si>
  <si>
    <r>
      <t>SDG 5.2.2</t>
    </r>
    <r>
      <rPr>
        <vertAlign val="superscript"/>
        <sz val="10"/>
        <rFont val="Roboto"/>
      </rPr>
      <t>P</t>
    </r>
    <r>
      <rPr>
        <sz val="10"/>
        <rFont val="Roboto"/>
      </rPr>
      <t>, 16.1.3</t>
    </r>
    <r>
      <rPr>
        <vertAlign val="superscript"/>
        <sz val="10"/>
        <rFont val="Roboto"/>
      </rPr>
      <t>P</t>
    </r>
    <r>
      <rPr>
        <sz val="10"/>
        <rFont val="Roboto"/>
      </rPr>
      <t xml:space="preserve"> &amp; 16.2.3</t>
    </r>
    <r>
      <rPr>
        <vertAlign val="superscript"/>
        <sz val="10"/>
        <rFont val="Roboto"/>
      </rPr>
      <t>A</t>
    </r>
    <r>
      <rPr>
        <sz val="10"/>
        <rFont val="Roboto"/>
      </rPr>
      <t xml:space="preserve">
ISO_37120 14.5</t>
    </r>
    <r>
      <rPr>
        <vertAlign val="superscript"/>
        <sz val="10"/>
        <rFont val="Roboto"/>
      </rPr>
      <t>C</t>
    </r>
    <r>
      <rPr>
        <sz val="10"/>
        <rFont val="Roboto"/>
      </rPr>
      <t xml:space="preserve">
ESCI 84</t>
    </r>
    <r>
      <rPr>
        <vertAlign val="superscript"/>
        <sz val="10"/>
        <rFont val="Roboto"/>
      </rPr>
      <t>C</t>
    </r>
    <r>
      <rPr>
        <sz val="10"/>
        <rFont val="Roboto"/>
      </rPr>
      <t xml:space="preserve">
CPI-QOL 3.2</t>
    </r>
    <r>
      <rPr>
        <vertAlign val="superscript"/>
        <sz val="10"/>
        <rFont val="Roboto"/>
      </rPr>
      <t>A</t>
    </r>
  </si>
  <si>
    <r>
      <t>SDG 16.1.1</t>
    </r>
    <r>
      <rPr>
        <vertAlign val="superscript"/>
        <sz val="10"/>
        <rFont val="Roboto"/>
      </rPr>
      <t>C</t>
    </r>
    <r>
      <rPr>
        <sz val="10"/>
        <rFont val="Roboto"/>
      </rPr>
      <t xml:space="preserve">
ISO_37120 14.2</t>
    </r>
    <r>
      <rPr>
        <vertAlign val="superscript"/>
        <sz val="10"/>
        <rFont val="Roboto"/>
      </rPr>
      <t>C</t>
    </r>
    <r>
      <rPr>
        <sz val="10"/>
        <rFont val="Roboto"/>
      </rPr>
      <t xml:space="preserve">
ESCI 81</t>
    </r>
    <r>
      <rPr>
        <vertAlign val="superscript"/>
        <sz val="10"/>
        <rFont val="Roboto"/>
      </rPr>
      <t>C</t>
    </r>
  </si>
  <si>
    <r>
      <t>SDG 16.1.2</t>
    </r>
    <r>
      <rPr>
        <vertAlign val="superscript"/>
        <sz val="10"/>
        <rFont val="Roboto"/>
      </rPr>
      <t>C</t>
    </r>
  </si>
  <si>
    <r>
      <t>SDG 5.2.1</t>
    </r>
    <r>
      <rPr>
        <vertAlign val="superscript"/>
        <sz val="10"/>
        <rFont val="Roboto"/>
      </rPr>
      <t>C</t>
    </r>
    <r>
      <rPr>
        <sz val="10"/>
        <rFont val="Roboto"/>
      </rPr>
      <t>, 5.2.2</t>
    </r>
    <r>
      <rPr>
        <vertAlign val="superscript"/>
        <sz val="10"/>
        <rFont val="Roboto"/>
      </rPr>
      <t>P</t>
    </r>
    <r>
      <rPr>
        <sz val="10"/>
        <rFont val="Roboto"/>
      </rPr>
      <t>, 16.1.3</t>
    </r>
    <r>
      <rPr>
        <vertAlign val="superscript"/>
        <sz val="10"/>
        <rFont val="Roboto"/>
      </rPr>
      <t>P</t>
    </r>
    <r>
      <rPr>
        <sz val="10"/>
        <rFont val="Roboto"/>
      </rPr>
      <t>, 16.2.1</t>
    </r>
    <r>
      <rPr>
        <vertAlign val="superscript"/>
        <sz val="10"/>
        <rFont val="Roboto"/>
      </rPr>
      <t xml:space="preserve">A </t>
    </r>
    <r>
      <rPr>
        <sz val="10"/>
        <rFont val="Roboto"/>
      </rPr>
      <t>&amp; 16.2.3</t>
    </r>
    <r>
      <rPr>
        <vertAlign val="superscript"/>
        <sz val="10"/>
        <rFont val="Roboto"/>
      </rPr>
      <t>A</t>
    </r>
    <r>
      <rPr>
        <sz val="10"/>
        <rFont val="Roboto"/>
      </rPr>
      <t xml:space="preserve">
ESCI 82</t>
    </r>
    <r>
      <rPr>
        <vertAlign val="superscript"/>
        <sz val="10"/>
        <rFont val="Roboto"/>
      </rPr>
      <t>C</t>
    </r>
    <r>
      <rPr>
        <sz val="10"/>
        <rFont val="Roboto"/>
      </rPr>
      <t xml:space="preserve"> &amp; 83</t>
    </r>
    <r>
      <rPr>
        <vertAlign val="superscript"/>
        <sz val="10"/>
        <rFont val="Roboto"/>
      </rPr>
      <t>C</t>
    </r>
  </si>
  <si>
    <r>
      <t>ISO_37120 14.1</t>
    </r>
    <r>
      <rPr>
        <vertAlign val="superscript"/>
        <sz val="10"/>
        <rFont val="Roboto"/>
      </rPr>
      <t>P</t>
    </r>
  </si>
  <si>
    <r>
      <t xml:space="preserve"> SDG 16.3</t>
    </r>
    <r>
      <rPr>
        <vertAlign val="superscript"/>
        <sz val="10"/>
        <rFont val="Roboto"/>
      </rPr>
      <t>A</t>
    </r>
    <r>
      <rPr>
        <sz val="10"/>
        <rFont val="Roboto"/>
      </rPr>
      <t xml:space="preserve">
</t>
    </r>
    <r>
      <rPr>
        <sz val="10"/>
        <color rgb="FFFF0000"/>
        <rFont val="Roboto"/>
      </rPr>
      <t>(review)</t>
    </r>
  </si>
  <si>
    <r>
      <t>ISO-37120 10.1</t>
    </r>
    <r>
      <rPr>
        <vertAlign val="superscript"/>
        <sz val="10"/>
        <rFont val="Roboto"/>
      </rPr>
      <t>A</t>
    </r>
    <r>
      <rPr>
        <sz val="10"/>
        <rFont val="Roboto"/>
      </rPr>
      <t xml:space="preserve">
</t>
    </r>
    <r>
      <rPr>
        <sz val="10"/>
        <color rgb="FFFF0000"/>
        <rFont val="Roboto"/>
      </rPr>
      <t>(review)</t>
    </r>
  </si>
  <si>
    <r>
      <t>ISO-37120 10.5-6</t>
    </r>
    <r>
      <rPr>
        <vertAlign val="superscript"/>
        <sz val="10"/>
        <rFont val="Roboto"/>
      </rPr>
      <t>A</t>
    </r>
    <r>
      <rPr>
        <sz val="10"/>
        <rFont val="Roboto"/>
      </rPr>
      <t xml:space="preserve">
UNISDR 9.3</t>
    </r>
    <r>
      <rPr>
        <vertAlign val="superscript"/>
        <sz val="10"/>
        <rFont val="Roboto"/>
      </rPr>
      <t>A</t>
    </r>
  </si>
  <si>
    <t>Municipal Public Services</t>
  </si>
  <si>
    <t>5.1 Public Works</t>
  </si>
  <si>
    <t>5.3 Community Welfare</t>
  </si>
  <si>
    <t>5.5 Emergency &amp; Rescue Services</t>
  </si>
  <si>
    <t>5.2 Permits, Monitoring and Inspection</t>
  </si>
  <si>
    <t>5.4 Local Public Security and Law Enforcement</t>
  </si>
  <si>
    <t>(DATE - LAST UPDATE)</t>
  </si>
  <si>
    <t xml:space="preserve">Last Update </t>
  </si>
  <si>
    <t>(NAME - PERSON)</t>
  </si>
  <si>
    <t xml:space="preserve">Completed by </t>
  </si>
  <si>
    <t>Representative Responsible</t>
  </si>
  <si>
    <t>Records of the Completion of the Data Entry File by the Municipality</t>
  </si>
  <si>
    <t>DATA ENTRY COMPLETION</t>
  </si>
  <si>
    <t>XXXXXXXX</t>
  </si>
  <si>
    <t xml:space="preserve">CITY:  </t>
  </si>
  <si>
    <t>CITY INFORMATION</t>
  </si>
  <si>
    <r>
      <t xml:space="preserve">This tool consists of 4 sections, which consist of a series of questions (Column D) for which reliable data must be provided in order to further assess the city's resilience in the face of natural, man-made and man-made threats. Please fill out the instrument in full indicating the data sources, estimates of the level of reliability and other indicators that are indicated below:
</t>
    </r>
    <r>
      <rPr>
        <b/>
        <sz val="12"/>
        <color theme="1"/>
        <rFont val="Roboto Regular"/>
      </rPr>
      <t>Answer (Main):</t>
    </r>
    <r>
      <rPr>
        <sz val="12"/>
        <color theme="1"/>
        <rFont val="Roboto Regular"/>
      </rPr>
      <t xml:space="preserve"> the answer in accordance with the specified unit of measurement. If the unit is different, indicate together in the value in the same cell. Note that some cells have a drop-down list.
</t>
    </r>
    <r>
      <rPr>
        <b/>
        <sz val="12"/>
        <color theme="1"/>
        <rFont val="Roboto Regular"/>
      </rPr>
      <t xml:space="preserve">Answer (Secondary): </t>
    </r>
    <r>
      <rPr>
        <sz val="12"/>
        <color theme="1"/>
        <rFont val="Roboto Regular"/>
      </rPr>
      <t xml:space="preserve">some indicators require additional values or table filling.
</t>
    </r>
    <r>
      <rPr>
        <b/>
        <sz val="12"/>
        <color theme="1"/>
        <rFont val="Roboto Regular"/>
      </rPr>
      <t xml:space="preserve">Source Data: </t>
    </r>
    <r>
      <rPr>
        <sz val="12"/>
        <color theme="1"/>
        <rFont val="Roboto Regular"/>
      </rPr>
      <t xml:space="preserve">from which the value was obtained / calculated and how it was calculated. If the requested data is already available and does not require calculation, this cell remains empty.
</t>
    </r>
    <r>
      <rPr>
        <b/>
        <sz val="12"/>
        <color theme="1"/>
        <rFont val="Roboto Regular"/>
      </rPr>
      <t>Data Collection Scale:</t>
    </r>
    <r>
      <rPr>
        <sz val="12"/>
        <color theme="1"/>
        <rFont val="Roboto Regular"/>
      </rPr>
      <t xml:space="preserve"> is the scale that covers the desired value. Please give priority to data on the municipal scale (urban district "city of Teresina").
International - data inclusive with other countries (coalitions of countries, Latin America Union, UN and others)
National - data for the entire country.
Sub-national - data for some part of the country (federal regions, states)
Regional - data for the entire region 
Sub-regional - data within the region (groups of districts)
Intermunicipal - data from several municipal entities 
Functional / metropolitan - data within one functional area (general industrial area of several municipalities)
Municipal - data on the municipality 
Sub-municipal - data on certain areas of the municipality (districts, settlements, settlements)
</t>
    </r>
    <r>
      <rPr>
        <b/>
        <sz val="12"/>
        <color theme="1"/>
        <rFont val="Roboto Regular"/>
      </rPr>
      <t>Data Collection Year:</t>
    </r>
    <r>
      <rPr>
        <sz val="12"/>
        <color theme="1"/>
        <rFont val="Roboto Regular"/>
      </rPr>
      <t xml:space="preserve"> the year for which the data is relevant, regardless of the year of publication / development of the data source. 
</t>
    </r>
    <r>
      <rPr>
        <b/>
        <sz val="12"/>
        <color theme="1"/>
        <rFont val="Roboto Regular"/>
      </rPr>
      <t>Source Type:</t>
    </r>
    <r>
      <rPr>
        <sz val="12"/>
        <color theme="1"/>
        <rFont val="Roboto Regular"/>
      </rPr>
      <t xml:space="preserve">
Official document - data obtained from official documents of governing bodies, organizations, institutions and institutes. The document is official even in the absence of a signature and / or seal, if it is developed during labour activity (plan, draft document, register). Examples: statistics, reports, protocols, observations, studies, registries, a database, etc.
Media - data obtained from the media. Examples: newspapers, television, social networks, interviews, websites.
Knowledge - data obtained from unofficial sources. Examples: well-known facts, knowledge of a specialist / expert, oral information.
</t>
    </r>
    <r>
      <rPr>
        <b/>
        <sz val="12"/>
        <color theme="1"/>
        <rFont val="Roboto Regular"/>
      </rPr>
      <t>Source Type Other:</t>
    </r>
    <r>
      <rPr>
        <sz val="12"/>
        <color theme="1"/>
        <rFont val="Roboto Regular"/>
      </rPr>
      <t xml:space="preserve"> if the data source is not classified as an “Official Document”, “Media” or “Knowledge”, indicate its type in any form.
</t>
    </r>
    <r>
      <rPr>
        <b/>
        <sz val="12"/>
        <color theme="1"/>
        <rFont val="Roboto Regular"/>
      </rPr>
      <t>Source Name</t>
    </r>
    <r>
      <rPr>
        <sz val="12"/>
        <color theme="1"/>
        <rFont val="Roboto Regular"/>
      </rPr>
      <t xml:space="preserve">: the name of the source (document, legal act, statistical compilation, database, etc.) with a web link if available.
</t>
    </r>
    <r>
      <rPr>
        <b/>
        <sz val="12"/>
        <color theme="1"/>
        <rFont val="Roboto Regular"/>
      </rPr>
      <t>Source Year (publication)</t>
    </r>
    <r>
      <rPr>
        <sz val="12"/>
        <color theme="1"/>
        <rFont val="Roboto Regular"/>
      </rPr>
      <t xml:space="preserve">: the year of publication or development of the data source.
</t>
    </r>
    <r>
      <rPr>
        <b/>
        <sz val="12"/>
        <color theme="1"/>
        <rFont val="Roboto Regular"/>
      </rPr>
      <t>Graphical Information:</t>
    </r>
    <r>
      <rPr>
        <sz val="12"/>
        <color theme="1"/>
        <rFont val="Roboto Regular"/>
      </rPr>
      <t xml:space="preserve"> if the data is associated with graphical information in the form of maps or diagrams. 
</t>
    </r>
    <r>
      <rPr>
        <b/>
        <sz val="12"/>
        <color theme="1"/>
        <rFont val="Roboto Regular"/>
      </rPr>
      <t xml:space="preserve">Data Quality Assessment: </t>
    </r>
    <r>
      <rPr>
        <sz val="12"/>
        <color theme="1"/>
        <rFont val="Roboto Regular"/>
      </rPr>
      <t xml:space="preserve">the level of information reliability can be estimated as:
“Low” - the data is outdated, not current or obviously not accurate.
“Medium” - the data are relatively reliable but have minor errors.
“High” - the data are reliable and accurately describe / indicate the requested indicator.
The evaluation is carried out by the contractor, who directly enters the values in the table.
</t>
    </r>
    <r>
      <rPr>
        <b/>
        <sz val="12"/>
        <color theme="1"/>
        <rFont val="Roboto Regular"/>
      </rPr>
      <t xml:space="preserve">Level of Importance: </t>
    </r>
    <r>
      <rPr>
        <sz val="12"/>
        <color theme="1"/>
        <rFont val="Roboto Regular"/>
      </rPr>
      <t xml:space="preserve">(evaluated by the filling specialist)
Essential - information is essential, to which special attention should be paid.
Important - Information is an important indicator.
Secondary - Information is of secondary importance.
</t>
    </r>
    <r>
      <rPr>
        <b/>
        <sz val="12"/>
        <color theme="1"/>
        <rFont val="Roboto Regular"/>
      </rPr>
      <t>Data Collection Comments:</t>
    </r>
    <r>
      <rPr>
        <sz val="12"/>
        <color theme="1"/>
        <rFont val="Roboto Regular"/>
      </rPr>
      <t xml:space="preserve"> any comments about the value of the indicator, notes on the question, unit of measurement, etc.
</t>
    </r>
    <r>
      <rPr>
        <b/>
        <sz val="12"/>
        <color theme="1"/>
        <rFont val="Roboto Regular"/>
      </rPr>
      <t>Benchmark:</t>
    </r>
    <r>
      <rPr>
        <sz val="12"/>
        <color theme="1"/>
        <rFont val="Roboto Regular"/>
      </rPr>
      <t xml:space="preserve"> (evaluated by the filling specialist) the benchmark associated with the indicator, following the instructions in the Implementation Manual.
</t>
    </r>
    <r>
      <rPr>
        <b/>
        <sz val="12"/>
        <color theme="1"/>
        <rFont val="Roboto Regular"/>
      </rPr>
      <t xml:space="preserve">Benchmark Comments: </t>
    </r>
    <r>
      <rPr>
        <sz val="12"/>
        <color theme="1"/>
        <rFont val="Roboto Regular"/>
      </rPr>
      <t xml:space="preserve">information related to the benchmarks, if there is data that does not fit in the benchmark rationale, but it is still indicative of the situation.
</t>
    </r>
    <r>
      <rPr>
        <b/>
        <sz val="12"/>
        <color theme="1"/>
        <rFont val="Roboto Regular"/>
      </rPr>
      <t>Working Notes:</t>
    </r>
    <r>
      <rPr>
        <sz val="12"/>
        <color theme="1"/>
        <rFont val="Roboto Regular"/>
      </rPr>
      <t xml:space="preserve"> completion comments, particularities found.
</t>
    </r>
  </si>
  <si>
    <t>Instructions for completing the UN-Habitat Urban Resilience Profiling Tool</t>
  </si>
  <si>
    <t>ACTIONS</t>
  </si>
  <si>
    <t>DIAGNOSIS</t>
  </si>
  <si>
    <t>ANALYSIS</t>
  </si>
  <si>
    <t>DATA ENTRY  + DATA ASSESMENT</t>
  </si>
  <si>
    <t xml:space="preserve">DATA COLLECTION: </t>
  </si>
  <si>
    <t>ONGOIN SUPPORT</t>
  </si>
  <si>
    <t xml:space="preserve">Trend in consumption for energy from public lighting gives a proxy on the energy efficiency of installed equipments and indicates a path for municipalities to reduce cost by investing in more efficient public lighting. </t>
  </si>
  <si>
    <t xml:space="preserve">Asset database for public lighting system includes the structured geo-referenced information of all its physical infrastructure assets, such as poles structures, installed lamps and accessories, communication equipemnt and networks.      
Operation and maintenance plan for public lighting is a documented collection of procedures and information that is developed, compiled and maintained in readiness for the conduct of operation. It includes inspection schedules and corrective actions for various  management practices to help ensure they remain effective in providing regular, efficient and adequate public lighting.
</t>
  </si>
  <si>
    <t>Asset Database for public lighting system</t>
  </si>
  <si>
    <t xml:space="preserve">The provision of adequate street furniture is crucial to increase the quality public spaces and, thus, the qualiti of life of urban citizens. Among primary furniture to be offered, the city shold ideally have high coverage of litter bins to enhance street cleanness; street signing to support good orientation and enforcement of ruels and codes; benches, so urban dwellers can rest or enjoy public areas - specially those with reduced mobility; adequate bus stops to sign correct waiting areas and provide shelter for passengers; and adequate and clean public lavatoires. </t>
  </si>
  <si>
    <t xml:space="preserve">Regular street sweeping is a cost-effective best management practices used to remove sediment, metals, petroleum products, trash and vegetation which accumulate on streets. A regular and comprehensive schedule is important to remove debris from roadsides, sidewalks and gutter. As these debris could ultimately end up in storm sewers, the practice mitigates not only water pollution but also reduces the likelihood of flash floods. </t>
  </si>
  <si>
    <t>Operation and maintenance plan for public spaces and furniture maintenance</t>
  </si>
  <si>
    <t>Regular maintenance of all public spaces and furniture</t>
  </si>
  <si>
    <t>Operation and maintenance plan for public space maitenance  is a documented collection of procedures and information that is developed, compiled and maintained in readiness for the conduct of operation. It includes inspection schedules and corrective actions for various  management practices to help ensure they remain effective in providing regular, efficient and adequate services. Regular maitenance and monitoring activities are  those carried out on a continuous basis, with a dedicated budget. it doesn't include  exceptional, emergency or on specifically demanded activities.</t>
  </si>
  <si>
    <t xml:space="preserve">To assess this indicator, consider the total approved demands for maintenance of public buildings and engineering services. Of this total, assess the estimated percentage of approved demands that are in each of the listed phases. </t>
  </si>
  <si>
    <t>To assess this indicator, consider the total demands for the maintenance of public buildings and engineering services. Of this total, assess the estimated percentage of services that have reached each of the listed goals.
Projects started on schedule are those whose start of implementation was within the time range stated when contracting the service.
Projects completed on time are those whose delivery of the service respected the deadlines established in the contracting act.
Projects completed within the budget are those that have been completed and did not require an additional budget beyond that established in the contracting act.</t>
  </si>
  <si>
    <t>Percentage of Development services delivered on the basic level of service</t>
  </si>
  <si>
    <t>Percentage of Development services delivered on basic level of service</t>
  </si>
  <si>
    <t>5.4</t>
  </si>
  <si>
    <t>5.4.2.1</t>
  </si>
  <si>
    <t>5.4.2.2</t>
  </si>
  <si>
    <t>5.4.2.3</t>
  </si>
  <si>
    <t>5.4.2.2.1 Operational capabilities of each unit for designated responsibilities (in terms of coverage). (answer in 5.3.2.2)</t>
  </si>
  <si>
    <t>5.4.2.2.1.1 For each unit that is found to be inadequate, please characterise this inadequacy (answer in 5.3.2.2)</t>
  </si>
  <si>
    <t xml:space="preserve">5.4.2.2.2 Please specify the reasons for barrier(s) for each selected reason for inadequacy (answer in 5.3.2.2.1)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</si>
</sst>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4">
    <font>
      <sz val="12"/>
      <color theme="1"/>
      <name val="Calibri"/>
      <family val="2"/>
      <scheme val="minor"/>
    </font>
    <font>
      <sz val="12"/>
      <color theme="1"/>
      <name val="Calibri"/>
      <family val="2"/>
      <scheme val="minor"/>
    </font>
    <font>
      <sz val="12"/>
      <color indexed="8"/>
      <name val="Calibri"/>
      <family val="2"/>
    </font>
    <font>
      <u/>
      <sz val="10"/>
      <color theme="10"/>
      <name val="Arial"/>
      <family val="2"/>
    </font>
    <font>
      <sz val="10"/>
      <name val="Arial"/>
      <family val="2"/>
    </font>
    <font>
      <sz val="10"/>
      <color rgb="FF000000"/>
      <name val="Arial"/>
      <family val="2"/>
    </font>
    <font>
      <b/>
      <sz val="12"/>
      <color theme="1"/>
      <name val="Raleway"/>
      <family val="2"/>
    </font>
    <font>
      <sz val="12"/>
      <color theme="1"/>
      <name val="Raleway"/>
      <family val="2"/>
    </font>
    <font>
      <b/>
      <sz val="12"/>
      <color theme="0"/>
      <name val="Raleway"/>
      <family val="2"/>
    </font>
    <font>
      <sz val="12"/>
      <color theme="0"/>
      <name val="Raleway"/>
      <family val="2"/>
    </font>
    <font>
      <u/>
      <sz val="12"/>
      <color theme="10"/>
      <name val="Calibri"/>
      <family val="2"/>
      <scheme val="minor"/>
    </font>
    <font>
      <u/>
      <sz val="12"/>
      <color theme="11"/>
      <name val="Calibri"/>
      <family val="2"/>
      <scheme val="minor"/>
    </font>
    <font>
      <sz val="8"/>
      <name val="Calibri"/>
      <family val="2"/>
      <scheme val="minor"/>
    </font>
    <font>
      <sz val="12"/>
      <color rgb="FF454545"/>
      <name val="Helvetica Neue"/>
      <family val="2"/>
    </font>
    <font>
      <b/>
      <sz val="12"/>
      <name val="Raleway"/>
      <family val="2"/>
    </font>
    <font>
      <sz val="12"/>
      <color theme="0"/>
      <name val="Calibri"/>
      <family val="2"/>
      <scheme val="minor"/>
    </font>
    <font>
      <i/>
      <sz val="10"/>
      <color theme="1"/>
      <name val="Raleway"/>
      <family val="2"/>
    </font>
    <font>
      <i/>
      <sz val="10"/>
      <color theme="0"/>
      <name val="Raleway"/>
      <family val="2"/>
    </font>
    <font>
      <sz val="12"/>
      <name val="Raleway"/>
    </font>
    <font>
      <b/>
      <sz val="11"/>
      <color rgb="FFFFFFFF"/>
      <name val="Raleway"/>
    </font>
    <font>
      <b/>
      <sz val="12"/>
      <color theme="1"/>
      <name val="Calibri"/>
      <family val="2"/>
      <scheme val="minor"/>
    </font>
    <font>
      <b/>
      <sz val="12"/>
      <color theme="0"/>
      <name val="Roboto"/>
    </font>
    <font>
      <sz val="10"/>
      <color theme="1"/>
      <name val="Roboto"/>
    </font>
    <font>
      <sz val="12"/>
      <color theme="1"/>
      <name val="Roboto"/>
    </font>
    <font>
      <sz val="12"/>
      <color theme="0"/>
      <name val="Roboto"/>
    </font>
    <font>
      <b/>
      <sz val="12"/>
      <color theme="1"/>
      <name val="Roboto"/>
    </font>
    <font>
      <b/>
      <sz val="11"/>
      <name val="Roboto"/>
    </font>
    <font>
      <b/>
      <sz val="10"/>
      <color theme="1"/>
      <name val="Roboto"/>
    </font>
    <font>
      <sz val="10"/>
      <color theme="0"/>
      <name val="Roboto"/>
    </font>
    <font>
      <b/>
      <sz val="18"/>
      <color theme="0"/>
      <name val="Roboto"/>
    </font>
    <font>
      <sz val="18"/>
      <color theme="0"/>
      <name val="Roboto"/>
    </font>
    <font>
      <b/>
      <sz val="20"/>
      <color theme="0"/>
      <name val="Roboto"/>
    </font>
    <font>
      <b/>
      <sz val="16"/>
      <color theme="0"/>
      <name val="Roboto"/>
    </font>
    <font>
      <sz val="13"/>
      <color theme="1"/>
      <name val="Roboto"/>
    </font>
    <font>
      <b/>
      <sz val="13"/>
      <color theme="1"/>
      <name val="Roboto"/>
    </font>
    <font>
      <b/>
      <sz val="10"/>
      <name val="Roboto"/>
    </font>
    <font>
      <b/>
      <sz val="10"/>
      <color theme="0"/>
      <name val="Roboto"/>
    </font>
    <font>
      <sz val="13"/>
      <color theme="0"/>
      <name val="Roboto"/>
    </font>
    <font>
      <sz val="10"/>
      <name val="Roboto"/>
    </font>
    <font>
      <sz val="13"/>
      <name val="Arial"/>
      <family val="2"/>
    </font>
    <font>
      <sz val="13"/>
      <color theme="1"/>
      <name val="Arial"/>
      <family val="2"/>
    </font>
    <font>
      <sz val="12"/>
      <name val="Frutiger LT Std 55 Roman"/>
    </font>
    <font>
      <sz val="18"/>
      <color theme="0"/>
      <name val="Calibri"/>
      <family val="2"/>
      <scheme val="minor"/>
    </font>
    <font>
      <sz val="12"/>
      <name val="Calibri"/>
      <family val="2"/>
      <scheme val="minor"/>
    </font>
    <font>
      <b/>
      <sz val="12"/>
      <name val="Calibri"/>
      <family val="2"/>
      <scheme val="minor"/>
    </font>
    <font>
      <i/>
      <sz val="12"/>
      <name val="Calibri"/>
      <family val="2"/>
      <scheme val="minor"/>
    </font>
    <font>
      <b/>
      <sz val="14"/>
      <color theme="1"/>
      <name val="Calibri"/>
      <family val="2"/>
      <scheme val="minor"/>
    </font>
    <font>
      <sz val="12"/>
      <color theme="1"/>
      <name val="Menlo Regular"/>
      <family val="2"/>
    </font>
    <font>
      <sz val="12"/>
      <color indexed="8"/>
      <name val="Calibri"/>
      <family val="2"/>
      <scheme val="minor"/>
    </font>
    <font>
      <b/>
      <sz val="12"/>
      <color rgb="FF000000"/>
      <name val="Calibri"/>
      <family val="2"/>
      <scheme val="minor"/>
    </font>
    <font>
      <sz val="12"/>
      <color rgb="FF000000"/>
      <name val="Calibri"/>
      <family val="2"/>
      <scheme val="minor"/>
    </font>
    <font>
      <sz val="12"/>
      <color rgb="FFFF0000"/>
      <name val="Calibri"/>
      <family val="2"/>
      <scheme val="minor"/>
    </font>
    <font>
      <b/>
      <sz val="12"/>
      <color indexed="8"/>
      <name val="Calibri"/>
      <family val="2"/>
      <scheme val="minor"/>
    </font>
    <font>
      <b/>
      <sz val="12"/>
      <color indexed="8"/>
      <name val="Frutiger LT Std 55 Roman"/>
    </font>
    <font>
      <sz val="12"/>
      <color indexed="8"/>
      <name val="Frutiger LT Std 55 Roman"/>
    </font>
    <font>
      <b/>
      <i/>
      <sz val="10"/>
      <color theme="1"/>
      <name val="Roboto"/>
    </font>
    <font>
      <b/>
      <i/>
      <sz val="10"/>
      <name val="Roboto"/>
    </font>
    <font>
      <b/>
      <i/>
      <sz val="10"/>
      <color theme="0"/>
      <name val="Roboto"/>
    </font>
    <font>
      <b/>
      <sz val="8"/>
      <color theme="1"/>
      <name val="Roboto"/>
    </font>
    <font>
      <b/>
      <sz val="8"/>
      <color theme="0"/>
      <name val="Roboto"/>
    </font>
    <font>
      <b/>
      <sz val="12"/>
      <name val="Arial"/>
      <family val="2"/>
    </font>
    <font>
      <sz val="12"/>
      <color theme="1"/>
      <name val="Raleway"/>
    </font>
    <font>
      <b/>
      <sz val="12"/>
      <name val="Frutiger LT Std 55 Roman"/>
    </font>
    <font>
      <b/>
      <sz val="12"/>
      <name val="Raleway"/>
    </font>
    <font>
      <sz val="12"/>
      <color indexed="8"/>
      <name val="Raleway"/>
    </font>
    <font>
      <sz val="12"/>
      <color indexed="8"/>
      <name val="Calibri"/>
      <family val="2"/>
      <charset val="1"/>
    </font>
    <font>
      <sz val="12"/>
      <name val="Arial"/>
      <family val="2"/>
    </font>
    <font>
      <sz val="12"/>
      <color theme="1"/>
      <name val="Arial"/>
      <family val="2"/>
    </font>
    <font>
      <sz val="12"/>
      <color rgb="FF000000"/>
      <name val="Raleway"/>
    </font>
    <font>
      <sz val="11"/>
      <name val="Raleway"/>
    </font>
    <font>
      <sz val="10"/>
      <color rgb="FF000000"/>
      <name val="Roboto"/>
    </font>
    <font>
      <sz val="10"/>
      <color rgb="FFFF0000"/>
      <name val="Roboto"/>
    </font>
    <font>
      <u/>
      <sz val="10"/>
      <color theme="10"/>
      <name val="Roboto"/>
    </font>
    <font>
      <vertAlign val="superscript"/>
      <sz val="10"/>
      <name val="Roboto"/>
    </font>
    <font>
      <i/>
      <sz val="11"/>
      <name val="Raleway"/>
    </font>
    <font>
      <b/>
      <sz val="12"/>
      <color theme="0"/>
      <name val="Arial"/>
      <family val="2"/>
    </font>
    <font>
      <sz val="12"/>
      <color rgb="FF000000"/>
      <name val="Arial"/>
      <family val="2"/>
    </font>
    <font>
      <sz val="12"/>
      <color rgb="FF000000"/>
      <name val="Roboto"/>
    </font>
    <font>
      <b/>
      <sz val="10"/>
      <color theme="1"/>
      <name val="Arial"/>
      <family val="2"/>
    </font>
    <font>
      <b/>
      <i/>
      <sz val="10"/>
      <color rgb="FF000000"/>
      <name val="Roboto"/>
    </font>
    <font>
      <b/>
      <sz val="10"/>
      <color indexed="8"/>
      <name val="Roboto"/>
    </font>
    <font>
      <b/>
      <sz val="10"/>
      <color rgb="FFFF0000"/>
      <name val="Roboto"/>
    </font>
    <font>
      <b/>
      <sz val="13"/>
      <color theme="1"/>
      <name val="Arial"/>
      <family val="2"/>
    </font>
    <font>
      <b/>
      <vertAlign val="superscript"/>
      <sz val="10"/>
      <name val="Roboto"/>
    </font>
    <font>
      <sz val="13"/>
      <color rgb="FF000000"/>
      <name val="Arial"/>
      <family val="2"/>
    </font>
    <font>
      <sz val="12"/>
      <color theme="1"/>
      <name val="Roboto Regular"/>
    </font>
    <font>
      <sz val="12"/>
      <color theme="0"/>
      <name val="Roboto Regular"/>
    </font>
    <font>
      <sz val="12"/>
      <color theme="1" tint="0.499984740745262"/>
      <name val="Roboto Regular"/>
    </font>
    <font>
      <sz val="10"/>
      <color theme="1" tint="0.499984740745262"/>
      <name val="Roboto Regular"/>
    </font>
    <font>
      <sz val="10"/>
      <color theme="0"/>
      <name val="Roboto Regular"/>
    </font>
    <font>
      <b/>
      <sz val="12"/>
      <color theme="0"/>
      <name val="Roboto Regular"/>
    </font>
    <font>
      <sz val="10"/>
      <name val="Roboto Regular"/>
    </font>
    <font>
      <sz val="13"/>
      <color theme="0"/>
      <name val="Roboto Regular"/>
    </font>
    <font>
      <b/>
      <sz val="12"/>
      <color theme="1"/>
      <name val="Roboto Regular"/>
    </font>
  </fonts>
  <fills count="54">
    <fill>
      <patternFill patternType="none"/>
    </fill>
    <fill>
      <patternFill patternType="gray125"/>
    </fill>
    <fill>
      <patternFill patternType="solid">
        <fgColor theme="0" tint="-0.14999847407452621"/>
        <bgColor indexed="64"/>
      </patternFill>
    </fill>
    <fill>
      <patternFill patternType="solid">
        <fgColor theme="4" tint="0.39997558519241921"/>
        <bgColor indexed="64"/>
      </patternFill>
    </fill>
    <fill>
      <patternFill patternType="solid">
        <fgColor rgb="FF3A73BA"/>
        <bgColor indexed="64"/>
      </patternFill>
    </fill>
    <fill>
      <patternFill patternType="solid">
        <fgColor theme="0"/>
        <bgColor indexed="64"/>
      </patternFill>
    </fill>
    <fill>
      <patternFill patternType="solid">
        <fgColor rgb="FF8EA9DB"/>
        <bgColor indexed="64"/>
      </patternFill>
    </fill>
    <fill>
      <patternFill patternType="solid">
        <fgColor theme="6" tint="-0.249977111117893"/>
        <bgColor indexed="64"/>
      </patternFill>
    </fill>
    <fill>
      <patternFill patternType="solid">
        <fgColor theme="2"/>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rgb="FF3D3D84"/>
        <bgColor indexed="64"/>
      </patternFill>
    </fill>
    <fill>
      <patternFill patternType="solid">
        <fgColor rgb="FF816EAF"/>
        <bgColor indexed="64"/>
      </patternFill>
    </fill>
    <fill>
      <patternFill patternType="solid">
        <fgColor rgb="FFADBCC7"/>
        <bgColor indexed="64"/>
      </patternFill>
    </fill>
    <fill>
      <patternFill patternType="solid">
        <fgColor rgb="FFBDB4D3"/>
        <bgColor indexed="64"/>
      </patternFill>
    </fill>
    <fill>
      <patternFill patternType="solid">
        <fgColor rgb="FFB8D9DD"/>
        <bgColor indexed="64"/>
      </patternFill>
    </fill>
    <fill>
      <patternFill patternType="solid">
        <fgColor theme="0" tint="-0.499984740745262"/>
        <bgColor indexed="64"/>
      </patternFill>
    </fill>
    <fill>
      <patternFill patternType="solid">
        <fgColor rgb="FFFFE0E9"/>
        <bgColor indexed="64"/>
      </patternFill>
    </fill>
    <fill>
      <patternFill patternType="solid">
        <fgColor rgb="FFD1A8BD"/>
        <bgColor indexed="64"/>
      </patternFill>
    </fill>
    <fill>
      <patternFill patternType="solid">
        <fgColor theme="0" tint="-4.9989318521683403E-2"/>
        <bgColor indexed="64"/>
      </patternFill>
    </fill>
    <fill>
      <patternFill patternType="solid">
        <fgColor theme="6"/>
      </patternFill>
    </fill>
    <fill>
      <patternFill patternType="solid">
        <fgColor rgb="FF1BAD9A"/>
        <bgColor indexed="64"/>
      </patternFill>
    </fill>
    <fill>
      <patternFill patternType="solid">
        <fgColor rgb="FFFFDE52"/>
        <bgColor indexed="64"/>
      </patternFill>
    </fill>
    <fill>
      <patternFill patternType="solid">
        <fgColor rgb="FFF79948"/>
        <bgColor indexed="64"/>
      </patternFill>
    </fill>
    <fill>
      <patternFill patternType="solid">
        <fgColor rgb="FFE04B44"/>
        <bgColor indexed="64"/>
      </patternFill>
    </fill>
    <fill>
      <patternFill patternType="solid">
        <fgColor rgb="FF94C2BA"/>
        <bgColor indexed="64"/>
      </patternFill>
    </fill>
    <fill>
      <patternFill patternType="solid">
        <fgColor rgb="FFFFF0A4"/>
        <bgColor indexed="64"/>
      </patternFill>
    </fill>
    <fill>
      <patternFill patternType="solid">
        <fgColor rgb="FFF5C69E"/>
        <bgColor indexed="64"/>
      </patternFill>
    </fill>
    <fill>
      <patternFill patternType="solid">
        <fgColor rgb="FFDE9290"/>
        <bgColor indexed="64"/>
      </patternFill>
    </fill>
    <fill>
      <patternFill patternType="solid">
        <fgColor theme="0" tint="-0.34998626667073579"/>
        <bgColor indexed="64"/>
      </patternFill>
    </fill>
    <fill>
      <patternFill patternType="solid">
        <fgColor rgb="FFC00000"/>
        <bgColor indexed="64"/>
      </patternFill>
    </fill>
    <fill>
      <patternFill patternType="solid">
        <fgColor theme="5" tint="0.39997558519241921"/>
        <bgColor indexed="64"/>
      </patternFill>
    </fill>
    <fill>
      <patternFill patternType="solid">
        <fgColor rgb="FF808080"/>
        <bgColor rgb="FF000000"/>
      </patternFill>
    </fill>
    <fill>
      <patternFill patternType="solid">
        <fgColor theme="3" tint="0.59999389629810485"/>
        <bgColor indexed="64"/>
      </patternFill>
    </fill>
    <fill>
      <patternFill patternType="solid">
        <fgColor theme="7" tint="0.79998168889431442"/>
        <bgColor indexed="64"/>
      </patternFill>
    </fill>
    <fill>
      <patternFill patternType="solid">
        <fgColor theme="1"/>
        <bgColor indexed="64"/>
      </patternFill>
    </fill>
    <fill>
      <patternFill patternType="solid">
        <fgColor theme="8" tint="-0.249977111117893"/>
        <bgColor indexed="64"/>
      </patternFill>
    </fill>
    <fill>
      <patternFill patternType="solid">
        <fgColor rgb="FF9F1B53"/>
        <bgColor indexed="64"/>
      </patternFill>
    </fill>
    <fill>
      <patternFill patternType="solid">
        <fgColor rgb="FFF2D3E0"/>
        <bgColor indexed="64"/>
      </patternFill>
    </fill>
    <fill>
      <patternFill patternType="solid">
        <fgColor rgb="FF0070C0"/>
        <bgColor indexed="64"/>
      </patternFill>
    </fill>
    <fill>
      <patternFill patternType="solid">
        <fgColor theme="1" tint="0.499984740745262"/>
        <bgColor indexed="64"/>
      </patternFill>
    </fill>
    <fill>
      <patternFill patternType="solid">
        <fgColor theme="5" tint="0.79998168889431442"/>
        <bgColor indexed="64"/>
      </patternFill>
    </fill>
    <fill>
      <patternFill patternType="solid">
        <fgColor rgb="FFACB9CA"/>
        <bgColor indexed="64"/>
      </patternFill>
    </fill>
    <fill>
      <patternFill patternType="solid">
        <fgColor theme="7"/>
        <bgColor indexed="64"/>
      </patternFill>
    </fill>
    <fill>
      <patternFill patternType="solid">
        <fgColor rgb="FF8064A2"/>
        <bgColor indexed="64"/>
      </patternFill>
    </fill>
    <fill>
      <patternFill patternType="solid">
        <fgColor theme="2" tint="-9.9978637043366805E-2"/>
        <bgColor indexed="64"/>
      </patternFill>
    </fill>
    <fill>
      <patternFill patternType="solid">
        <fgColor theme="2" tint="-9.9978637043366805E-2"/>
        <bgColor rgb="FF000000"/>
      </patternFill>
    </fill>
    <fill>
      <patternFill patternType="solid">
        <fgColor theme="0" tint="-0.14999847407452621"/>
        <bgColor rgb="FF000000"/>
      </patternFill>
    </fill>
    <fill>
      <patternFill patternType="solid">
        <fgColor rgb="FFE4DFEC"/>
        <bgColor indexed="64"/>
      </patternFill>
    </fill>
    <fill>
      <patternFill patternType="solid">
        <fgColor theme="2" tint="-0.249977111117893"/>
        <bgColor indexed="64"/>
      </patternFill>
    </fill>
    <fill>
      <patternFill patternType="solid">
        <fgColor rgb="FF3973BB"/>
        <bgColor indexed="64"/>
      </patternFill>
    </fill>
    <fill>
      <patternFill patternType="solid">
        <fgColor rgb="FF81B5C3"/>
        <bgColor indexed="64"/>
      </patternFill>
    </fill>
    <fill>
      <patternFill patternType="solid">
        <fgColor rgb="FFFFF2CC"/>
        <bgColor indexed="64"/>
      </patternFill>
    </fill>
  </fills>
  <borders count="270">
    <border>
      <left/>
      <right/>
      <top/>
      <bottom/>
      <diagonal/>
    </border>
    <border>
      <left/>
      <right/>
      <top style="thin">
        <color theme="2" tint="-0.249977111117893"/>
      </top>
      <bottom/>
      <diagonal/>
    </border>
    <border>
      <left/>
      <right/>
      <top/>
      <bottom style="thin">
        <color theme="2" tint="-0.249977111117893"/>
      </bottom>
      <diagonal/>
    </border>
    <border>
      <left/>
      <right/>
      <top/>
      <bottom style="thin">
        <color theme="2"/>
      </bottom>
      <diagonal/>
    </border>
    <border>
      <left/>
      <right/>
      <top style="thin">
        <color theme="2"/>
      </top>
      <bottom style="thin">
        <color theme="2"/>
      </bottom>
      <diagonal/>
    </border>
    <border>
      <left/>
      <right/>
      <top style="thin">
        <color theme="2"/>
      </top>
      <bottom/>
      <diagonal/>
    </border>
    <border>
      <left/>
      <right style="thin">
        <color theme="2"/>
      </right>
      <top/>
      <bottom style="thin">
        <color theme="2"/>
      </bottom>
      <diagonal/>
    </border>
    <border>
      <left/>
      <right style="thin">
        <color theme="2"/>
      </right>
      <top style="thin">
        <color theme="2"/>
      </top>
      <bottom style="thin">
        <color theme="2"/>
      </bottom>
      <diagonal/>
    </border>
    <border>
      <left style="thin">
        <color theme="2"/>
      </left>
      <right/>
      <top/>
      <bottom style="thin">
        <color theme="2"/>
      </bottom>
      <diagonal/>
    </border>
    <border>
      <left style="thin">
        <color theme="2"/>
      </left>
      <right/>
      <top style="thin">
        <color theme="2"/>
      </top>
      <bottom style="thin">
        <color theme="2"/>
      </bottom>
      <diagonal/>
    </border>
    <border>
      <left/>
      <right/>
      <top style="thin">
        <color rgb="FFE7E6E6"/>
      </top>
      <bottom style="thin">
        <color rgb="FFE7E6E6"/>
      </bottom>
      <diagonal/>
    </border>
    <border>
      <left/>
      <right/>
      <top style="thin">
        <color theme="0" tint="-0.499984740745262"/>
      </top>
      <bottom/>
      <diagonal/>
    </border>
    <border>
      <left style="thin">
        <color theme="0" tint="-0.24994659260841701"/>
      </left>
      <right/>
      <top style="thin">
        <color theme="0" tint="-0.499984740745262"/>
      </top>
      <bottom style="thin">
        <color theme="0" tint="-0.24994659260841701"/>
      </bottom>
      <diagonal/>
    </border>
    <border>
      <left/>
      <right/>
      <top style="thin">
        <color theme="0" tint="-0.499984740745262"/>
      </top>
      <bottom style="thin">
        <color theme="0" tint="-0.24994659260841701"/>
      </bottom>
      <diagonal/>
    </border>
    <border>
      <left/>
      <right style="medium">
        <color theme="0" tint="-0.499984740745262"/>
      </right>
      <top style="thin">
        <color theme="0" tint="-0.499984740745262"/>
      </top>
      <bottom style="thin">
        <color theme="0" tint="-0.24994659260841701"/>
      </bottom>
      <diagonal/>
    </border>
    <border>
      <left style="medium">
        <color theme="0" tint="-0.499984740745262"/>
      </left>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theme="0" tint="-0.499984740745262"/>
      </right>
      <top style="thin">
        <color theme="0" tint="-0.499984740745262"/>
      </top>
      <bottom/>
      <diagonal/>
    </border>
    <border>
      <left/>
      <right/>
      <top/>
      <bottom style="thin">
        <color theme="0" tint="-0.499984740745262"/>
      </bottom>
      <diagonal/>
    </border>
    <border>
      <left style="thin">
        <color theme="0" tint="-0.24994659260841701"/>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right style="medium">
        <color theme="0" tint="-0.499984740745262"/>
      </right>
      <top style="thin">
        <color theme="0" tint="-0.24994659260841701"/>
      </top>
      <bottom style="thin">
        <color theme="0" tint="-0.499984740745262"/>
      </bottom>
      <diagonal/>
    </border>
    <border>
      <left style="medium">
        <color theme="0" tint="-0.499984740745262"/>
      </left>
      <right/>
      <top style="thin">
        <color theme="0" tint="-0.24994659260841701"/>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theme="0" tint="-0.499984740745262"/>
      </right>
      <top/>
      <bottom style="thin">
        <color theme="0" tint="-0.499984740745262"/>
      </bottom>
      <diagonal/>
    </border>
    <border>
      <left style="thin">
        <color theme="0" tint="-0.24994659260841701"/>
      </left>
      <right/>
      <top/>
      <bottom/>
      <diagonal/>
    </border>
    <border>
      <left/>
      <right style="medium">
        <color theme="0" tint="-0.499984740745262"/>
      </right>
      <top/>
      <bottom/>
      <diagonal/>
    </border>
    <border>
      <left style="medium">
        <color theme="0" tint="-0.499984740745262"/>
      </left>
      <right/>
      <top/>
      <bottom/>
      <diagonal/>
    </border>
    <border>
      <left style="thin">
        <color theme="0" tint="-0.499984740745262"/>
      </left>
      <right style="thin">
        <color theme="0" tint="-0.499984740745262"/>
      </right>
      <top/>
      <bottom/>
      <diagonal/>
    </border>
    <border>
      <left style="thin">
        <color theme="0" tint="-0.499984740745262"/>
      </left>
      <right style="medium">
        <color theme="0" tint="-0.499984740745262"/>
      </right>
      <top/>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style="thin">
        <color theme="0" tint="-0.24994659260841701"/>
      </left>
      <right/>
      <top style="medium">
        <color theme="0" tint="-0.499984740745262"/>
      </top>
      <bottom style="medium">
        <color theme="0"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style="thin">
        <color theme="0" tint="-0.499984740745262"/>
      </left>
      <right style="thin">
        <color theme="0" tint="-0.499984740745262"/>
      </right>
      <top style="medium">
        <color theme="0" tint="-0.499984740745262"/>
      </top>
      <bottom/>
      <diagonal/>
    </border>
    <border>
      <left style="thin">
        <color theme="0" tint="-0.499984740745262"/>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style="thin">
        <color theme="0" tint="-0.499984740745262"/>
      </left>
      <right style="thin">
        <color theme="0" tint="-0.499984740745262"/>
      </right>
      <top/>
      <bottom style="medium">
        <color theme="0" tint="-0.499984740745262"/>
      </bottom>
      <diagonal/>
    </border>
    <border>
      <left style="thin">
        <color theme="0" tint="-0.14996795556505021"/>
      </left>
      <right style="medium">
        <color theme="0" tint="-0.499984740745262"/>
      </right>
      <top/>
      <bottom/>
      <diagonal/>
    </border>
    <border>
      <left style="thin">
        <color theme="0" tint="-0.14996795556505021"/>
      </left>
      <right style="thin">
        <color theme="0" tint="-0.14996795556505021"/>
      </right>
      <top/>
      <bottom/>
      <diagonal/>
    </border>
    <border>
      <left/>
      <right style="medium">
        <color theme="0" tint="-0.499984740745262"/>
      </right>
      <top style="medium">
        <color theme="0" tint="-0.499984740745262"/>
      </top>
      <bottom style="medium">
        <color theme="0" tint="-0.499984740745262"/>
      </bottom>
      <diagonal/>
    </border>
    <border>
      <left style="thick">
        <color theme="0" tint="-0.499984740745262"/>
      </left>
      <right/>
      <top/>
      <bottom/>
      <diagonal/>
    </border>
    <border>
      <left/>
      <right/>
      <top style="hair">
        <color theme="0" tint="-0.499984740745262"/>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medium">
        <color theme="0" tint="-0.499984740745262"/>
      </left>
      <right/>
      <top style="hair">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hair">
        <color theme="0" tint="-0.499984740745262"/>
      </bottom>
      <diagonal/>
    </border>
    <border>
      <left/>
      <right style="hair">
        <color theme="0" tint="-0.499984740745262"/>
      </right>
      <top style="thin">
        <color theme="0" tint="-0.499984740745262"/>
      </top>
      <bottom style="hair">
        <color theme="0" tint="-0.499984740745262"/>
      </bottom>
      <diagonal/>
    </border>
    <border>
      <left style="medium">
        <color theme="0" tint="-0.499984740745262"/>
      </left>
      <right/>
      <top style="hair">
        <color theme="0" tint="-0.499984740745262"/>
      </top>
      <bottom/>
      <diagonal/>
    </border>
    <border>
      <left style="thin">
        <color theme="0"/>
      </left>
      <right style="thin">
        <color theme="0"/>
      </right>
      <top style="thin">
        <color theme="0"/>
      </top>
      <bottom style="thin">
        <color theme="0"/>
      </bottom>
      <diagonal/>
    </border>
    <border>
      <left style="medium">
        <color theme="0" tint="-0.499984740745262"/>
      </left>
      <right/>
      <top style="thin">
        <color theme="0" tint="-0.499984740745262"/>
      </top>
      <bottom style="thin">
        <color theme="0" tint="-0.34998626667073579"/>
      </bottom>
      <diagonal/>
    </border>
    <border>
      <left style="hair">
        <color theme="0" tint="-0.499984740745262"/>
      </left>
      <right/>
      <top style="thin">
        <color theme="0" tint="-0.499984740745262"/>
      </top>
      <bottom style="hair">
        <color theme="0" tint="-0.499984740745262"/>
      </bottom>
      <diagonal/>
    </border>
    <border>
      <left/>
      <right/>
      <top style="thin">
        <color theme="0" tint="-0.499984740745262"/>
      </top>
      <bottom style="hair">
        <color theme="0" tint="-0.499984740745262"/>
      </bottom>
      <diagonal/>
    </border>
    <border>
      <left style="medium">
        <color theme="0" tint="-0.499984740745262"/>
      </left>
      <right/>
      <top style="thin">
        <color theme="0" tint="-0.34998626667073579"/>
      </top>
      <bottom style="hair">
        <color theme="0" tint="-0.34998626667073579"/>
      </bottom>
      <diagonal/>
    </border>
    <border>
      <left style="medium">
        <color theme="0" tint="-0.499984740745262"/>
      </left>
      <right/>
      <top style="thin">
        <color theme="0" tint="-0.34998626667073579"/>
      </top>
      <bottom style="thin">
        <color theme="0" tint="-0.499984740745262"/>
      </bottom>
      <diagonal/>
    </border>
    <border>
      <left style="hair">
        <color theme="0" tint="-0.499984740745262"/>
      </left>
      <right style="hair">
        <color theme="0" tint="-0.499984740745262"/>
      </right>
      <top style="hair">
        <color theme="0" tint="-0.499984740745262"/>
      </top>
      <bottom style="thin">
        <color theme="0" tint="-0.499984740745262"/>
      </bottom>
      <diagonal/>
    </border>
    <border>
      <left/>
      <right style="medium">
        <color theme="0" tint="-0.499984740745262"/>
      </right>
      <top style="medium">
        <color theme="0" tint="-0.499984740745262"/>
      </top>
      <bottom/>
      <diagonal/>
    </border>
    <border>
      <left style="thin">
        <color theme="0" tint="-0.499984740745262"/>
      </left>
      <right/>
      <top style="thin">
        <color theme="0" tint="-0.499984740745262"/>
      </top>
      <bottom style="thin">
        <color theme="0" tint="-0.24994659260841701"/>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top/>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
      <left/>
      <right style="thick">
        <color theme="0" tint="-0.499984740745262"/>
      </right>
      <top/>
      <bottom style="thin">
        <color theme="2"/>
      </bottom>
      <diagonal/>
    </border>
    <border>
      <left/>
      <right style="thick">
        <color theme="0" tint="-0.499984740745262"/>
      </right>
      <top style="thin">
        <color theme="2"/>
      </top>
      <bottom/>
      <diagonal/>
    </border>
    <border>
      <left/>
      <right style="thin">
        <color theme="0" tint="-0.24994659260841701"/>
      </right>
      <top/>
      <bottom/>
      <diagonal/>
    </border>
    <border>
      <left style="medium">
        <color theme="0" tint="-0.499984740745262"/>
      </left>
      <right/>
      <top/>
      <bottom style="thin">
        <color theme="0" tint="-0.499984740745262"/>
      </bottom>
      <diagonal/>
    </border>
    <border>
      <left/>
      <right style="medium">
        <color theme="0" tint="-0.499984740745262"/>
      </right>
      <top/>
      <bottom style="medium">
        <color theme="0" tint="-0.499984740745262"/>
      </bottom>
      <diagonal/>
    </border>
    <border>
      <left style="thick">
        <color rgb="FF8EA9DB"/>
      </left>
      <right/>
      <top/>
      <bottom/>
      <diagonal/>
    </border>
    <border>
      <left style="thick">
        <color rgb="FF8EA9DB"/>
      </left>
      <right/>
      <top/>
      <bottom style="thin">
        <color theme="2"/>
      </bottom>
      <diagonal/>
    </border>
    <border>
      <left style="thick">
        <color rgb="FF8EA9DB"/>
      </left>
      <right/>
      <top style="thin">
        <color theme="2"/>
      </top>
      <bottom style="thin">
        <color theme="2"/>
      </bottom>
      <diagonal/>
    </border>
    <border>
      <left style="medium">
        <color theme="0" tint="-0.499984740745262"/>
      </left>
      <right style="thin">
        <color theme="0" tint="-0.499984740745262"/>
      </right>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medium">
        <color theme="0" tint="-0.499984740745262"/>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theme="0" tint="-0.499984740745262"/>
      </right>
      <top/>
      <bottom style="thin">
        <color theme="0" tint="-0.14996795556505021"/>
      </bottom>
      <diagonal/>
    </border>
    <border>
      <left style="medium">
        <color theme="0" tint="-0.499984740745262"/>
      </left>
      <right style="thin">
        <color theme="0" tint="-0.499984740745262"/>
      </right>
      <top style="medium">
        <color theme="0" tint="-0.499984740745262"/>
      </top>
      <bottom/>
      <diagonal/>
    </border>
    <border>
      <left style="medium">
        <color theme="0" tint="-0.499984740745262"/>
      </left>
      <right style="thin">
        <color theme="0" tint="-0.499984740745262"/>
      </right>
      <top/>
      <bottom style="medium">
        <color theme="0" tint="-0.499984740745262"/>
      </bottom>
      <diagonal/>
    </border>
    <border>
      <left style="medium">
        <color theme="0" tint="-0.499984740745262"/>
      </left>
      <right style="thin">
        <color theme="0" tint="-0.499984740745262"/>
      </right>
      <top style="thin">
        <color theme="0" tint="-0.499984740745262"/>
      </top>
      <bottom/>
      <diagonal/>
    </border>
    <border>
      <left style="medium">
        <color theme="0" tint="-0.499984740745262"/>
      </left>
      <right style="thin">
        <color theme="0" tint="-0.499984740745262"/>
      </right>
      <top/>
      <bottom style="thin">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style="hair">
        <color theme="0" tint="-0.499984740745262"/>
      </top>
      <bottom style="thin">
        <color theme="0" tint="-0.499984740745262"/>
      </bottom>
      <diagonal/>
    </border>
    <border>
      <left style="medium">
        <color theme="0" tint="-0.499984740745262"/>
      </left>
      <right/>
      <top style="medium">
        <color theme="0" tint="-0.499984740745262"/>
      </top>
      <bottom style="thin">
        <color theme="0" tint="-0.499984740745262"/>
      </bottom>
      <diagonal/>
    </border>
    <border>
      <left/>
      <right/>
      <top style="medium">
        <color theme="0" tint="-0.499984740745262"/>
      </top>
      <bottom style="thin">
        <color theme="0" tint="-0.499984740745262"/>
      </bottom>
      <diagonal/>
    </border>
    <border>
      <left/>
      <right style="hair">
        <color theme="0" tint="-0.499984740745262"/>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right style="thin">
        <color theme="0" tint="-0.499984740745262"/>
      </right>
      <top/>
      <bottom/>
      <diagonal/>
    </border>
    <border>
      <left style="thin">
        <color theme="0" tint="-0.499984740745262"/>
      </left>
      <right style="medium">
        <color theme="0" tint="-0.499984740745262"/>
      </right>
      <top style="hair">
        <color theme="0" tint="-0.499984740745262"/>
      </top>
      <bottom style="hair">
        <color theme="0" tint="-0.499984740745262"/>
      </bottom>
      <diagonal/>
    </border>
    <border>
      <left/>
      <right style="hair">
        <color theme="2" tint="-0.249977111117893"/>
      </right>
      <top/>
      <bottom/>
      <diagonal/>
    </border>
    <border>
      <left/>
      <right/>
      <top/>
      <bottom style="thin">
        <color rgb="FFAEAAAA"/>
      </bottom>
      <diagonal/>
    </border>
    <border>
      <left/>
      <right style="hair">
        <color rgb="FFAEAAAA"/>
      </right>
      <top/>
      <bottom/>
      <diagonal/>
    </border>
    <border>
      <left/>
      <right style="hair">
        <color theme="2" tint="-0.249977111117893"/>
      </right>
      <top/>
      <bottom style="thin">
        <color theme="2" tint="-0.249977111117893"/>
      </bottom>
      <diagonal/>
    </border>
    <border>
      <left/>
      <right/>
      <top style="thin">
        <color theme="0" tint="-0.34998626667073579"/>
      </top>
      <bottom/>
      <diagonal/>
    </border>
    <border>
      <left/>
      <right/>
      <top style="thin">
        <color rgb="FFAEAAAA"/>
      </top>
      <bottom style="thin">
        <color rgb="FFAEAAAA"/>
      </bottom>
      <diagonal/>
    </border>
    <border>
      <left/>
      <right/>
      <top style="thin">
        <color rgb="FFA6A6A6"/>
      </top>
      <bottom/>
      <diagonal/>
    </border>
    <border>
      <left style="hair">
        <color theme="2" tint="-0.249977111117893"/>
      </left>
      <right/>
      <top style="hair">
        <color theme="2" tint="-0.249977111117893"/>
      </top>
      <bottom/>
      <diagonal/>
    </border>
    <border>
      <left/>
      <right style="hair">
        <color theme="2" tint="-0.249977111117893"/>
      </right>
      <top style="hair">
        <color theme="2" tint="-0.249977111117893"/>
      </top>
      <bottom/>
      <diagonal/>
    </border>
    <border>
      <left style="hair">
        <color theme="2" tint="-0.249977111117893"/>
      </left>
      <right/>
      <top/>
      <bottom/>
      <diagonal/>
    </border>
    <border>
      <left style="hair">
        <color theme="2" tint="-0.249977111117893"/>
      </left>
      <right/>
      <top/>
      <bottom style="hair">
        <color theme="2" tint="-0.249977111117893"/>
      </bottom>
      <diagonal/>
    </border>
    <border>
      <left/>
      <right style="hair">
        <color theme="2" tint="-0.249977111117893"/>
      </right>
      <top/>
      <bottom style="hair">
        <color theme="2" tint="-0.249977111117893"/>
      </bottom>
      <diagonal/>
    </border>
    <border>
      <left style="thin">
        <color theme="0" tint="-0.14996795556505021"/>
      </left>
      <right style="thin">
        <color theme="0" tint="-0.14996795556505021"/>
      </right>
      <top style="medium">
        <color theme="0" tint="-0.499984740745262"/>
      </top>
      <bottom/>
      <diagonal/>
    </border>
    <border>
      <left/>
      <right style="medium">
        <color theme="0" tint="-0.499984740745262"/>
      </right>
      <top style="hair">
        <color theme="0" tint="-0.499984740745262"/>
      </top>
      <bottom style="hair">
        <color theme="0" tint="-0.499984740745262"/>
      </bottom>
      <diagonal/>
    </border>
    <border>
      <left style="hair">
        <color theme="0" tint="-0.499984740745262"/>
      </left>
      <right/>
      <top style="hair">
        <color theme="0" tint="-0.499984740745262"/>
      </top>
      <bottom style="medium">
        <color theme="0" tint="-0.499984740745262"/>
      </bottom>
      <diagonal/>
    </border>
    <border>
      <left/>
      <right/>
      <top style="hair">
        <color theme="0" tint="-0.499984740745262"/>
      </top>
      <bottom style="medium">
        <color theme="0" tint="-0.499984740745262"/>
      </bottom>
      <diagonal/>
    </border>
    <border>
      <left/>
      <right style="medium">
        <color theme="0" tint="-0.499984740745262"/>
      </right>
      <top style="hair">
        <color theme="0" tint="-0.499984740745262"/>
      </top>
      <bottom style="medium">
        <color theme="0" tint="-0.499984740745262"/>
      </bottom>
      <diagonal/>
    </border>
    <border>
      <left style="medium">
        <color theme="0" tint="-0.499984740745262"/>
      </left>
      <right style="hair">
        <color theme="0" tint="-0.499984740745262"/>
      </right>
      <top/>
      <bottom style="hair">
        <color theme="0" tint="-0.499984740745262"/>
      </bottom>
      <diagonal/>
    </border>
    <border>
      <left style="medium">
        <color theme="0" tint="-0.499984740745262"/>
      </left>
      <right style="hair">
        <color theme="0" tint="-0.499984740745262"/>
      </right>
      <top style="hair">
        <color theme="0" tint="-0.499984740745262"/>
      </top>
      <bottom style="hair">
        <color theme="0" tint="-0.499984740745262"/>
      </bottom>
      <diagonal/>
    </border>
    <border>
      <left style="medium">
        <color theme="0" tint="-0.499984740745262"/>
      </left>
      <right style="hair">
        <color theme="0" tint="-0.499984740745262"/>
      </right>
      <top style="hair">
        <color theme="0" tint="-0.499984740745262"/>
      </top>
      <bottom/>
      <diagonal/>
    </border>
    <border>
      <left style="hair">
        <color theme="0" tint="-0.499984740745262"/>
      </left>
      <right style="hair">
        <color theme="0" tint="-0.499984740745262"/>
      </right>
      <top style="hair">
        <color theme="0" tint="-0.499984740745262"/>
      </top>
      <bottom/>
      <diagonal/>
    </border>
    <border>
      <left style="hair">
        <color theme="0" tint="-0.499984740745262"/>
      </left>
      <right/>
      <top style="hair">
        <color theme="0" tint="-0.499984740745262"/>
      </top>
      <bottom/>
      <diagonal/>
    </border>
    <border>
      <left/>
      <right style="medium">
        <color theme="0" tint="-0.499984740745262"/>
      </right>
      <top style="hair">
        <color theme="0" tint="-0.499984740745262"/>
      </top>
      <bottom/>
      <diagonal/>
    </border>
    <border>
      <left style="medium">
        <color theme="0" tint="-0.499984740745262"/>
      </left>
      <right style="hair">
        <color theme="0" tint="-0.499984740745262"/>
      </right>
      <top style="medium">
        <color theme="0" tint="-0.499984740745262"/>
      </top>
      <bottom style="hair">
        <color theme="0" tint="-0.499984740745262"/>
      </bottom>
      <diagonal/>
    </border>
    <border>
      <left style="hair">
        <color theme="0" tint="-0.499984740745262"/>
      </left>
      <right style="hair">
        <color theme="0" tint="-0.499984740745262"/>
      </right>
      <top style="medium">
        <color theme="0" tint="-0.499984740745262"/>
      </top>
      <bottom style="hair">
        <color theme="0" tint="-0.499984740745262"/>
      </bottom>
      <diagonal/>
    </border>
    <border>
      <left style="hair">
        <color theme="0" tint="-0.499984740745262"/>
      </left>
      <right/>
      <top/>
      <bottom/>
      <diagonal/>
    </border>
    <border>
      <left style="hair">
        <color theme="0" tint="-0.34998626667073579"/>
      </left>
      <right/>
      <top/>
      <bottom/>
      <diagonal/>
    </border>
    <border>
      <left style="medium">
        <color theme="0" tint="-0.499984740745262"/>
      </left>
      <right/>
      <top/>
      <bottom style="hair">
        <color theme="0" tint="-0.499984740745262"/>
      </bottom>
      <diagonal/>
    </border>
    <border>
      <left/>
      <right/>
      <top/>
      <bottom style="hair">
        <color theme="0" tint="-0.499984740745262"/>
      </bottom>
      <diagonal/>
    </border>
    <border>
      <left/>
      <right style="medium">
        <color theme="0" tint="-0.499984740745262"/>
      </right>
      <top/>
      <bottom style="hair">
        <color theme="0" tint="-0.499984740745262"/>
      </bottom>
      <diagonal/>
    </border>
    <border>
      <left style="hair">
        <color theme="0" tint="-0.499984740745262"/>
      </left>
      <right/>
      <top/>
      <bottom style="hair">
        <color theme="0" tint="-0.499984740745262"/>
      </bottom>
      <diagonal/>
    </border>
    <border>
      <left style="hair">
        <color theme="0" tint="-0.34998626667073579"/>
      </left>
      <right/>
      <top style="medium">
        <color theme="0" tint="-0.499984740745262"/>
      </top>
      <bottom style="hair">
        <color theme="0" tint="-0.499984740745262"/>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hair">
        <color theme="0" tint="-0.34998626667073579"/>
      </right>
      <top/>
      <bottom/>
      <diagonal/>
    </border>
    <border>
      <left style="hair">
        <color theme="0" tint="-0.34998626667073579"/>
      </left>
      <right style="hair">
        <color theme="0" tint="-0.34998626667073579"/>
      </right>
      <top/>
      <bottom style="hair">
        <color theme="0" tint="-0.34998626667073579"/>
      </bottom>
      <diagonal/>
    </border>
    <border>
      <left style="medium">
        <color theme="0" tint="-0.499984740745262"/>
      </left>
      <right style="hair">
        <color theme="0" tint="-0.34998626667073579"/>
      </right>
      <top style="medium">
        <color theme="0" tint="-0.499984740745262"/>
      </top>
      <bottom style="hair">
        <color theme="0" tint="-0.34998626667073579"/>
      </bottom>
      <diagonal/>
    </border>
    <border>
      <left/>
      <right style="hair">
        <color theme="0" tint="-0.499984740745262"/>
      </right>
      <top style="medium">
        <color theme="0" tint="-0.499984740745262"/>
      </top>
      <bottom style="hair">
        <color theme="0" tint="-0.499984740745262"/>
      </bottom>
      <diagonal/>
    </border>
    <border>
      <left style="hair">
        <color theme="0" tint="-0.499984740745262"/>
      </left>
      <right/>
      <top style="medium">
        <color theme="0" tint="-0.499984740745262"/>
      </top>
      <bottom/>
      <diagonal/>
    </border>
    <border>
      <left/>
      <right/>
      <top style="medium">
        <color theme="0" tint="-0.499984740745262"/>
      </top>
      <bottom style="hair">
        <color theme="0" tint="-0.499984740745262"/>
      </bottom>
      <diagonal/>
    </border>
    <border>
      <left style="medium">
        <color theme="0" tint="-0.499984740745262"/>
      </left>
      <right style="hair">
        <color theme="0" tint="-0.499984740745262"/>
      </right>
      <top style="hair">
        <color theme="0" tint="-0.499984740745262"/>
      </top>
      <bottom style="medium">
        <color theme="0" tint="-0.499984740745262"/>
      </bottom>
      <diagonal/>
    </border>
    <border>
      <left style="hair">
        <color theme="0" tint="-0.499984740745262"/>
      </left>
      <right style="hair">
        <color theme="0" tint="-0.499984740745262"/>
      </right>
      <top style="hair">
        <color theme="0" tint="-0.499984740745262"/>
      </top>
      <bottom style="medium">
        <color theme="0" tint="-0.499984740745262"/>
      </bottom>
      <diagonal/>
    </border>
    <border>
      <left style="hair">
        <color theme="0" tint="-0.499984740745262"/>
      </left>
      <right/>
      <top style="medium">
        <color theme="0" tint="-0.499984740745262"/>
      </top>
      <bottom style="hair">
        <color theme="0" tint="-0.499984740745262"/>
      </bottom>
      <diagonal/>
    </border>
    <border>
      <left style="thin">
        <color theme="0" tint="-0.14996795556505021"/>
      </left>
      <right style="medium">
        <color theme="0" tint="-0.499984740745262"/>
      </right>
      <top style="medium">
        <color theme="0" tint="-0.499984740745262"/>
      </top>
      <bottom style="hair">
        <color theme="0" tint="-0.499984740745262"/>
      </bottom>
      <diagonal/>
    </border>
    <border>
      <left style="thin">
        <color theme="0" tint="-0.14996795556505021"/>
      </left>
      <right style="thin">
        <color theme="0" tint="-0.14996795556505021"/>
      </right>
      <top/>
      <bottom style="medium">
        <color theme="0" tint="-0.499984740745262"/>
      </bottom>
      <diagonal/>
    </border>
    <border>
      <left/>
      <right style="hair">
        <color theme="0" tint="-0.499984740745262"/>
      </right>
      <top style="hair">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right style="thin">
        <color theme="0" tint="-0.499984740745262"/>
      </right>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bottom style="medium">
        <color theme="0" tint="-0.499984740745262"/>
      </bottom>
      <diagonal/>
    </border>
    <border>
      <left/>
      <right style="thin">
        <color theme="0" tint="-0.24994659260841701"/>
      </right>
      <top/>
      <bottom style="medium">
        <color theme="0" tint="-0.499984740745262"/>
      </bottom>
      <diagonal/>
    </border>
    <border>
      <left style="thin">
        <color theme="0" tint="-0.24994659260841701"/>
      </left>
      <right/>
      <top/>
      <bottom style="medium">
        <color theme="0" tint="-0.499984740745262"/>
      </bottom>
      <diagonal/>
    </border>
    <border>
      <left/>
      <right style="thin">
        <color theme="0" tint="-0.24994659260841701"/>
      </right>
      <top style="medium">
        <color theme="0" tint="-0.499984740745262"/>
      </top>
      <bottom/>
      <diagonal/>
    </border>
    <border>
      <left style="thin">
        <color theme="0" tint="-0.24994659260841701"/>
      </left>
      <right/>
      <top style="medium">
        <color theme="0" tint="-0.499984740745262"/>
      </top>
      <bottom/>
      <diagonal/>
    </border>
    <border>
      <left/>
      <right style="medium">
        <color theme="0" tint="-0.499984740745262"/>
      </right>
      <top style="medium">
        <color theme="0" tint="-0.499984740745262"/>
      </top>
      <bottom style="hair">
        <color theme="0" tint="-0.499984740745262"/>
      </bottom>
      <diagonal/>
    </border>
    <border>
      <left style="hair">
        <color theme="0" tint="-0.499984740745262"/>
      </left>
      <right/>
      <top/>
      <bottom style="medium">
        <color theme="0" tint="-0.499984740745262"/>
      </bottom>
      <diagonal/>
    </border>
    <border>
      <left style="thin">
        <color theme="0" tint="-0.14996795556505021"/>
      </left>
      <right style="thin">
        <color theme="0" tint="-0.14996795556505021"/>
      </right>
      <top style="medium">
        <color theme="0" tint="-0.499984740745262"/>
      </top>
      <bottom style="medium">
        <color theme="0" tint="-0.499984740745262"/>
      </bottom>
      <diagonal/>
    </border>
    <border>
      <left style="medium">
        <color theme="0" tint="-0.499984740745262"/>
      </left>
      <right style="hair">
        <color theme="0" tint="-0.499984740745262"/>
      </right>
      <top style="medium">
        <color theme="0" tint="-0.499984740745262"/>
      </top>
      <bottom style="medium">
        <color theme="0" tint="-0.499984740745262"/>
      </bottom>
      <diagonal/>
    </border>
    <border>
      <left style="hair">
        <color theme="0" tint="-0.499984740745262"/>
      </left>
      <right style="hair">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hair">
        <color theme="0" tint="-0.499984740745262"/>
      </left>
      <right/>
      <top style="medium">
        <color theme="0" tint="-0.499984740745262"/>
      </top>
      <bottom style="medium">
        <color theme="0" tint="-0.499984740745262"/>
      </bottom>
      <diagonal/>
    </border>
    <border>
      <left style="medium">
        <color theme="0" tint="-0.499984740745262"/>
      </left>
      <right style="hair">
        <color theme="0" tint="-0.499984740745262"/>
      </right>
      <top style="medium">
        <color theme="0" tint="-0.499984740745262"/>
      </top>
      <bottom/>
      <diagonal/>
    </border>
    <border>
      <left style="hair">
        <color theme="0" tint="-0.499984740745262"/>
      </left>
      <right style="hair">
        <color theme="0" tint="-0.499984740745262"/>
      </right>
      <top style="medium">
        <color theme="0" tint="-0.499984740745262"/>
      </top>
      <bottom/>
      <diagonal/>
    </border>
    <border>
      <left/>
      <right style="thin">
        <color theme="0" tint="-0.499984740745262"/>
      </right>
      <top style="medium">
        <color theme="0" tint="-0.499984740745262"/>
      </top>
      <bottom/>
      <diagonal/>
    </border>
    <border>
      <left/>
      <right style="thin">
        <color theme="0" tint="-0.499984740745262"/>
      </right>
      <top style="medium">
        <color theme="0" tint="-0.499984740745262"/>
      </top>
      <bottom style="medium">
        <color theme="0" tint="-0.499984740745262"/>
      </bottom>
      <diagonal/>
    </border>
    <border>
      <left/>
      <right/>
      <top style="hair">
        <color theme="0" tint="-0.34998626667073579"/>
      </top>
      <bottom style="hair">
        <color theme="0" tint="-0.34998626667073579"/>
      </bottom>
      <diagonal/>
    </border>
    <border>
      <left/>
      <right/>
      <top style="hair">
        <color theme="0" tint="-0.34998626667073579"/>
      </top>
      <bottom style="medium">
        <color theme="0" tint="-0.499984740745262"/>
      </bottom>
      <diagonal/>
    </border>
    <border>
      <left style="medium">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style="thin">
        <color theme="0" tint="-0.499984740745262"/>
      </right>
      <top style="medium">
        <color theme="0" tint="-0.499984740745262"/>
      </top>
      <bottom style="thin">
        <color theme="0" tint="-0.499984740745262"/>
      </bottom>
      <diagonal/>
    </border>
    <border>
      <left/>
      <right style="thin">
        <color theme="0" tint="-0.499984740745262"/>
      </right>
      <top style="thin">
        <color theme="0" tint="-0.499984740745262"/>
      </top>
      <bottom style="hair">
        <color theme="0" tint="-0.499984740745262"/>
      </bottom>
      <diagonal/>
    </border>
    <border>
      <left/>
      <right style="thin">
        <color theme="0" tint="-0.499984740745262"/>
      </right>
      <top style="hair">
        <color theme="0" tint="-0.499984740745262"/>
      </top>
      <bottom style="hair">
        <color theme="0" tint="-0.499984740745262"/>
      </bottom>
      <diagonal/>
    </border>
    <border>
      <left/>
      <right style="thin">
        <color theme="0" tint="-0.499984740745262"/>
      </right>
      <top style="hair">
        <color theme="0" tint="-0.499984740745262"/>
      </top>
      <bottom style="medium">
        <color theme="0" tint="-0.499984740745262"/>
      </bottom>
      <diagonal/>
    </border>
    <border>
      <left style="hair">
        <color theme="0" tint="-0.499984740745262"/>
      </left>
      <right style="thin">
        <color theme="0" tint="-0.499984740745262"/>
      </right>
      <top style="medium">
        <color theme="0" tint="-0.499984740745262"/>
      </top>
      <bottom style="hair">
        <color theme="0" tint="-0.499984740745262"/>
      </bottom>
      <diagonal/>
    </border>
    <border>
      <left/>
      <right style="thin">
        <color theme="0" tint="-0.499984740745262"/>
      </right>
      <top style="hair">
        <color theme="0" tint="-0.499984740745262"/>
      </top>
      <bottom/>
      <diagonal/>
    </border>
    <border>
      <left style="hair">
        <color theme="0" tint="-0.499984740745262"/>
      </left>
      <right style="thin">
        <color theme="0" tint="-0.499984740745262"/>
      </right>
      <top style="medium">
        <color theme="0" tint="-0.499984740745262"/>
      </top>
      <bottom/>
      <diagonal/>
    </border>
    <border>
      <left/>
      <right style="thin">
        <color theme="0" tint="-0.499984740745262"/>
      </right>
      <top/>
      <bottom style="hair">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hair">
        <color theme="0" tint="-0.499984740745262"/>
      </left>
      <right style="thin">
        <color theme="0" tint="-0.499984740745262"/>
      </right>
      <top style="hair">
        <color theme="0" tint="-0.499984740745262"/>
      </top>
      <bottom style="medium">
        <color theme="0" tint="-0.499984740745262"/>
      </bottom>
      <diagonal/>
    </border>
    <border>
      <left/>
      <right style="thin">
        <color theme="0" tint="-0.499984740745262"/>
      </right>
      <top style="medium">
        <color theme="0" tint="-0.499984740745262"/>
      </top>
      <bottom style="hair">
        <color theme="0" tint="-0.499984740745262"/>
      </bottom>
      <diagonal/>
    </border>
    <border>
      <left style="hair">
        <color theme="0" tint="-0.499984740745262"/>
      </left>
      <right style="thin">
        <color theme="0" tint="-0.499984740745262"/>
      </right>
      <top style="medium">
        <color theme="0" tint="-0.499984740745262"/>
      </top>
      <bottom style="medium">
        <color theme="0" tint="-0.499984740745262"/>
      </bottom>
      <diagonal/>
    </border>
    <border>
      <left style="medium">
        <color theme="0" tint="-0.499984740745262"/>
      </left>
      <right style="hair">
        <color theme="0" tint="-0.34998626667073579"/>
      </right>
      <top style="medium">
        <color theme="0" tint="-0.499984740745262"/>
      </top>
      <bottom style="hair">
        <color theme="0" tint="-0.499984740745262"/>
      </bottom>
      <diagonal/>
    </border>
    <border>
      <left style="medium">
        <color theme="0" tint="-0.499984740745262"/>
      </left>
      <right style="hair">
        <color theme="0" tint="-0.34998626667073579"/>
      </right>
      <top/>
      <bottom style="hair">
        <color theme="0" tint="-0.499984740745262"/>
      </bottom>
      <diagonal/>
    </border>
    <border>
      <left/>
      <right style="hair">
        <color theme="0" tint="-0.499984740745262"/>
      </right>
      <top style="hair">
        <color theme="0" tint="-0.499984740745262"/>
      </top>
      <bottom style="hair">
        <color theme="2" tint="-0.249977111117893"/>
      </bottom>
      <diagonal/>
    </border>
    <border>
      <left style="medium">
        <color theme="0" tint="-0.499984740745262"/>
      </left>
      <right style="hair">
        <color theme="0" tint="-0.499984740745262"/>
      </right>
      <top/>
      <bottom style="medium">
        <color theme="0" tint="-0.499984740745262"/>
      </bottom>
      <diagonal/>
    </border>
    <border>
      <left/>
      <right style="hair">
        <color theme="0" tint="-0.34998626667073579"/>
      </right>
      <top/>
      <bottom style="hair">
        <color theme="0" tint="-0.499984740745262"/>
      </bottom>
      <diagonal/>
    </border>
    <border>
      <left/>
      <right style="medium">
        <color theme="0" tint="-0.499984740745262"/>
      </right>
      <top style="hair">
        <color theme="0" tint="-0.499984740745262"/>
      </top>
      <bottom style="hair">
        <color theme="2" tint="-0.249977111117893"/>
      </bottom>
      <diagonal/>
    </border>
    <border>
      <left/>
      <right style="hair">
        <color theme="2" tint="-0.249977111117893"/>
      </right>
      <top style="medium">
        <color theme="0" tint="-0.499984740745262"/>
      </top>
      <bottom style="hair">
        <color theme="2" tint="-0.249977111117893"/>
      </bottom>
      <diagonal/>
    </border>
    <border>
      <left style="hair">
        <color theme="2" tint="-0.249977111117893"/>
      </left>
      <right style="hair">
        <color theme="2" tint="-0.249977111117893"/>
      </right>
      <top style="medium">
        <color theme="0" tint="-0.499984740745262"/>
      </top>
      <bottom style="hair">
        <color theme="2" tint="-0.249977111117893"/>
      </bottom>
      <diagonal/>
    </border>
    <border>
      <left style="hair">
        <color theme="2" tint="-0.249977111117893"/>
      </left>
      <right/>
      <top style="medium">
        <color theme="0" tint="-0.499984740745262"/>
      </top>
      <bottom style="hair">
        <color theme="2" tint="-0.249977111117893"/>
      </bottom>
      <diagonal/>
    </border>
    <border>
      <left style="thin">
        <color theme="0" tint="-0.14996795556505021"/>
      </left>
      <right style="medium">
        <color theme="0" tint="-0.499984740745262"/>
      </right>
      <top style="hair">
        <color theme="0" tint="-0.499984740745262"/>
      </top>
      <bottom style="hair">
        <color theme="0" tint="-0.499984740745262"/>
      </bottom>
      <diagonal/>
    </border>
    <border>
      <left style="thin">
        <color theme="0" tint="-0.14996795556505021"/>
      </left>
      <right style="medium">
        <color theme="0" tint="-0.499984740745262"/>
      </right>
      <top style="hair">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style="hair">
        <color theme="2" tint="-0.249977111117893"/>
      </bottom>
      <diagonal/>
    </border>
    <border>
      <left style="thin">
        <color theme="0" tint="-0.14996795556505021"/>
      </left>
      <right style="medium">
        <color theme="0" tint="-0.499984740745262"/>
      </right>
      <top/>
      <bottom style="medium">
        <color theme="0" tint="-0.499984740745262"/>
      </bottom>
      <diagonal/>
    </border>
    <border>
      <left/>
      <right/>
      <top style="hair">
        <color theme="0" tint="-0.24994659260841701"/>
      </top>
      <bottom/>
      <diagonal/>
    </border>
    <border>
      <left style="hair">
        <color theme="0" tint="-0.499984740745262"/>
      </left>
      <right style="hair">
        <color theme="0" tint="-0.499984740745262"/>
      </right>
      <top/>
      <bottom style="medium">
        <color theme="0" tint="-0.499984740745262"/>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thin">
        <color theme="0" tint="-0.14996795556505021"/>
      </left>
      <right style="medium">
        <color theme="0" tint="-0.499984740745262"/>
      </right>
      <top style="hair">
        <color theme="0" tint="-0.499984740745262"/>
      </top>
      <bottom/>
      <diagonal/>
    </border>
    <border>
      <left style="thin">
        <color theme="0" tint="-0.14996795556505021"/>
      </left>
      <right style="medium">
        <color theme="0" tint="-0.499984740745262"/>
      </right>
      <top/>
      <bottom style="hair">
        <color theme="0" tint="-0.499984740745262"/>
      </bottom>
      <diagonal/>
    </border>
    <border>
      <left style="medium">
        <color theme="0" tint="-0.499984740745262"/>
      </left>
      <right style="hair">
        <color theme="0" tint="-0.499984740745262"/>
      </right>
      <top style="hair">
        <color theme="0" tint="-0.499984740745262"/>
      </top>
      <bottom style="thin">
        <color theme="0" tint="-0.499984740745262"/>
      </bottom>
      <diagonal/>
    </border>
    <border>
      <left style="medium">
        <color theme="0" tint="-0.499984740745262"/>
      </left>
      <right style="hair">
        <color theme="0" tint="-0.499984740745262"/>
      </right>
      <top style="medium">
        <color theme="0" tint="-0.499984740745262"/>
      </top>
      <bottom style="hair">
        <color theme="0" tint="-0.24994659260841701"/>
      </bottom>
      <diagonal/>
    </border>
    <border>
      <left style="hair">
        <color theme="0" tint="-0.499984740745262"/>
      </left>
      <right/>
      <top style="medium">
        <color theme="0" tint="-0.499984740745262"/>
      </top>
      <bottom style="hair">
        <color theme="0" tint="-0.24994659260841701"/>
      </bottom>
      <diagonal/>
    </border>
    <border>
      <left/>
      <right style="hair">
        <color theme="0" tint="-0.499984740745262"/>
      </right>
      <top style="medium">
        <color theme="0" tint="-0.499984740745262"/>
      </top>
      <bottom style="hair">
        <color theme="0" tint="-0.24994659260841701"/>
      </bottom>
      <diagonal/>
    </border>
    <border>
      <left/>
      <right style="medium">
        <color theme="0" tint="-0.499984740745262"/>
      </right>
      <top style="medium">
        <color theme="0" tint="-0.499984740745262"/>
      </top>
      <bottom style="hair">
        <color theme="0" tint="-0.24994659260841701"/>
      </bottom>
      <diagonal/>
    </border>
    <border>
      <left/>
      <right/>
      <top style="medium">
        <color theme="0" tint="-0.499984740745262"/>
      </top>
      <bottom style="hair">
        <color theme="0" tint="-0.24994659260841701"/>
      </bottom>
      <diagonal/>
    </border>
    <border>
      <left style="medium">
        <color theme="0" tint="-0.499984740745262"/>
      </left>
      <right style="hair">
        <color theme="0" tint="-0.499984740745262"/>
      </right>
      <top style="thin">
        <color theme="0" tint="-0.499984740745262"/>
      </top>
      <bottom style="medium">
        <color theme="0" tint="-0.499984740745262"/>
      </bottom>
      <diagonal/>
    </border>
    <border>
      <left style="hair">
        <color theme="0" tint="-0.499984740745262"/>
      </left>
      <right/>
      <top style="thin">
        <color theme="0" tint="-0.499984740745262"/>
      </top>
      <bottom style="medium">
        <color theme="0" tint="-0.499984740745262"/>
      </bottom>
      <diagonal/>
    </border>
    <border>
      <left/>
      <right/>
      <top style="thin">
        <color theme="0" tint="-0.499984740745262"/>
      </top>
      <bottom style="medium">
        <color theme="0" tint="-0.499984740745262"/>
      </bottom>
      <diagonal/>
    </border>
    <border>
      <left/>
      <right style="hair">
        <color theme="0" tint="-0.499984740745262"/>
      </right>
      <top style="medium">
        <color theme="0" tint="-0.499984740745262"/>
      </top>
      <bottom style="medium">
        <color theme="0" tint="-0.499984740745262"/>
      </bottom>
      <diagonal/>
    </border>
    <border>
      <left/>
      <right style="medium">
        <color theme="0" tint="-0.499984740745262"/>
      </right>
      <top style="hair">
        <color theme="0" tint="-0.24994659260841701"/>
      </top>
      <bottom style="hair">
        <color theme="0" tint="-0.24994659260841701"/>
      </bottom>
      <diagonal/>
    </border>
    <border>
      <left/>
      <right style="medium">
        <color theme="0" tint="-0.499984740745262"/>
      </right>
      <top style="hair">
        <color theme="0" tint="-0.24994659260841701"/>
      </top>
      <bottom/>
      <diagonal/>
    </border>
    <border>
      <left style="medium">
        <color theme="0" tint="-0.499984740745262"/>
      </left>
      <right style="hair">
        <color theme="0" tint="-0.499984740745262"/>
      </right>
      <top style="thin">
        <color theme="0" tint="-0.499984740745262"/>
      </top>
      <bottom/>
      <diagonal/>
    </border>
    <border>
      <left style="hair">
        <color theme="0" tint="-0.499984740745262"/>
      </left>
      <right/>
      <top style="thin">
        <color theme="0" tint="-0.499984740745262"/>
      </top>
      <bottom/>
      <diagonal/>
    </border>
    <border>
      <left style="medium">
        <color theme="0" tint="-0.499984740745262"/>
      </left>
      <right style="hair">
        <color theme="0" tint="-0.499984740745262"/>
      </right>
      <top style="hair">
        <color theme="2" tint="-0.249977111117893"/>
      </top>
      <bottom style="hair">
        <color theme="2" tint="-0.249977111117893"/>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style="thin">
        <color theme="0" tint="-0.499984740745262"/>
      </right>
      <top/>
      <bottom style="hair">
        <color theme="0" tint="-0.499984740745262"/>
      </bottom>
      <diagonal/>
    </border>
    <border>
      <left style="medium">
        <color theme="0" tint="-0.499984740745262"/>
      </left>
      <right style="hair">
        <color theme="0" tint="-0.499984740745262"/>
      </right>
      <top style="hair">
        <color theme="2" tint="-0.249977111117893"/>
      </top>
      <bottom style="medium">
        <color theme="0" tint="-0.499984740745262"/>
      </bottom>
      <diagonal/>
    </border>
    <border>
      <left/>
      <right style="hair">
        <color theme="0" tint="-0.499984740745262"/>
      </right>
      <top/>
      <bottom/>
      <diagonal/>
    </border>
    <border>
      <left style="medium">
        <color theme="0" tint="-0.499984740745262"/>
      </left>
      <right style="hair">
        <color theme="0" tint="-0.499984740745262"/>
      </right>
      <top style="hair">
        <color theme="0" tint="-0.24994659260841701"/>
      </top>
      <bottom/>
      <diagonal/>
    </border>
    <border>
      <left style="hair">
        <color theme="0" tint="-0.499984740745262"/>
      </left>
      <right/>
      <top style="hair">
        <color theme="0" tint="-0.24994659260841701"/>
      </top>
      <bottom/>
      <diagonal/>
    </border>
    <border>
      <left/>
      <right style="hair">
        <color theme="0" tint="-0.499984740745262"/>
      </right>
      <top style="hair">
        <color theme="0" tint="-0.24994659260841701"/>
      </top>
      <bottom/>
      <diagonal/>
    </border>
    <border>
      <left/>
      <right style="hair">
        <color theme="0" tint="-0.499984740745262"/>
      </right>
      <top style="hair">
        <color theme="0" tint="-0.499984740745262"/>
      </top>
      <bottom/>
      <diagonal/>
    </border>
    <border>
      <left style="thin">
        <color theme="0" tint="-0.14996795556505021"/>
      </left>
      <right style="medium">
        <color theme="0" tint="-0.499984740745262"/>
      </right>
      <top style="medium">
        <color theme="0" tint="-0.499984740745262"/>
      </top>
      <bottom style="medium">
        <color theme="0" tint="-0.499984740745262"/>
      </bottom>
      <diagonal/>
    </border>
    <border>
      <left style="thin">
        <color theme="0" tint="-0.14996795556505021"/>
      </left>
      <right/>
      <top style="medium">
        <color theme="0" tint="-0.499984740745262"/>
      </top>
      <bottom style="hair">
        <color theme="0" tint="-0.499984740745262"/>
      </bottom>
      <diagonal/>
    </border>
    <border>
      <left style="thin">
        <color theme="0" tint="-0.14996795556505021"/>
      </left>
      <right/>
      <top style="hair">
        <color theme="0" tint="-0.499984740745262"/>
      </top>
      <bottom style="hair">
        <color theme="0" tint="-0.499984740745262"/>
      </bottom>
      <diagonal/>
    </border>
    <border>
      <left style="thin">
        <color theme="0" tint="-0.14996795556505021"/>
      </left>
      <right/>
      <top/>
      <bottom style="hair">
        <color theme="0" tint="-0.499984740745262"/>
      </bottom>
      <diagonal/>
    </border>
    <border>
      <left style="thin">
        <color theme="0" tint="-0.14996795556505021"/>
      </left>
      <right/>
      <top style="hair">
        <color theme="0" tint="-0.499984740745262"/>
      </top>
      <bottom/>
      <diagonal/>
    </border>
    <border>
      <left/>
      <right style="thin">
        <color theme="0" tint="-0.14996795556505021"/>
      </right>
      <top style="medium">
        <color theme="0" tint="-0.499984740745262"/>
      </top>
      <bottom/>
      <diagonal/>
    </border>
    <border>
      <left style="thin">
        <color theme="0" tint="-0.14996795556505021"/>
      </left>
      <right style="medium">
        <color theme="0" tint="-0.499984740745262"/>
      </right>
      <top style="medium">
        <color theme="0" tint="-0.499984740745262"/>
      </top>
      <bottom/>
      <diagonal/>
    </border>
    <border>
      <left/>
      <right style="medium">
        <color theme="0" tint="-0.499984740745262"/>
      </right>
      <top style="thin">
        <color theme="0" tint="-0.499984740745262"/>
      </top>
      <bottom/>
      <diagonal/>
    </border>
    <border>
      <left style="medium">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top style="thin">
        <color theme="0" tint="-0.499984740745262"/>
      </top>
      <bottom style="hair">
        <color rgb="FF808080"/>
      </bottom>
      <diagonal/>
    </border>
    <border>
      <left/>
      <right style="hair">
        <color theme="0" tint="-0.499984740745262"/>
      </right>
      <top style="thin">
        <color theme="0" tint="-0.499984740745262"/>
      </top>
      <bottom style="hair">
        <color rgb="FF808080"/>
      </bottom>
      <diagonal/>
    </border>
    <border>
      <left style="hair">
        <color theme="0" tint="-0.499984740745262"/>
      </left>
      <right/>
      <top style="hair">
        <color rgb="FF808080"/>
      </top>
      <bottom style="hair">
        <color rgb="FF808080"/>
      </bottom>
      <diagonal/>
    </border>
    <border>
      <left/>
      <right style="hair">
        <color theme="0" tint="-0.499984740745262"/>
      </right>
      <top style="hair">
        <color rgb="FF808080"/>
      </top>
      <bottom style="hair">
        <color rgb="FF808080"/>
      </bottom>
      <diagonal/>
    </border>
    <border>
      <left style="hair">
        <color theme="0" tint="-0.499984740745262"/>
      </left>
      <right/>
      <top style="hair">
        <color rgb="FF808080"/>
      </top>
      <bottom style="thin">
        <color theme="0" tint="-0.499984740745262"/>
      </bottom>
      <diagonal/>
    </border>
    <border>
      <left/>
      <right style="hair">
        <color theme="0" tint="-0.499984740745262"/>
      </right>
      <top style="hair">
        <color rgb="FF808080"/>
      </top>
      <bottom style="thin">
        <color theme="0" tint="-0.499984740745262"/>
      </bottom>
      <diagonal/>
    </border>
    <border>
      <left/>
      <right style="medium">
        <color theme="0" tint="-0.499984740745262"/>
      </right>
      <top/>
      <bottom style="thin">
        <color theme="0" tint="-0.499984740745262"/>
      </bottom>
      <diagonal/>
    </border>
    <border>
      <left/>
      <right style="thin">
        <color theme="0" tint="-0.14996795556505021"/>
      </right>
      <top/>
      <bottom/>
      <diagonal/>
    </border>
    <border>
      <left/>
      <right style="thin">
        <color theme="0" tint="-0.24994659260841701"/>
      </right>
      <top style="medium">
        <color theme="0" tint="-0.499984740745262"/>
      </top>
      <bottom style="medium">
        <color theme="0" tint="-0.499984740745262"/>
      </bottom>
      <diagonal/>
    </border>
    <border>
      <left/>
      <right style="hair">
        <color theme="0" tint="-0.499984740745262"/>
      </right>
      <top style="medium">
        <color theme="0" tint="-0.499984740745262"/>
      </top>
      <bottom/>
      <diagonal/>
    </border>
    <border>
      <left/>
      <right style="thin">
        <color theme="0" tint="-0.14996795556505021"/>
      </right>
      <top/>
      <bottom style="medium">
        <color theme="0" tint="-0.499984740745262"/>
      </bottom>
      <diagonal/>
    </border>
    <border>
      <left style="thin">
        <color theme="0" tint="-0.14996795556505021"/>
      </left>
      <right style="medium">
        <color theme="0" tint="-0.499984740745262"/>
      </right>
      <top style="thin">
        <color theme="0" tint="-0.14993743705557422"/>
      </top>
      <bottom style="hair">
        <color theme="0" tint="-0.499984740745262"/>
      </bottom>
      <diagonal/>
    </border>
    <border>
      <left style="hair">
        <color theme="0" tint="-0.499984740745262"/>
      </left>
      <right style="hair">
        <color theme="2" tint="-0.249977111117893"/>
      </right>
      <top style="medium">
        <color theme="0" tint="-0.499984740745262"/>
      </top>
      <bottom style="hair">
        <color theme="0" tint="-0.499984740745262"/>
      </bottom>
      <diagonal/>
    </border>
    <border>
      <left style="hair">
        <color theme="0" tint="-0.499984740745262"/>
      </left>
      <right style="hair">
        <color theme="2" tint="-0.249977111117893"/>
      </right>
      <top style="hair">
        <color theme="0" tint="-0.499984740745262"/>
      </top>
      <bottom style="hair">
        <color theme="0" tint="-0.499984740745262"/>
      </bottom>
      <diagonal/>
    </border>
    <border>
      <left style="hair">
        <color theme="0" tint="-0.499984740745262"/>
      </left>
      <right style="hair">
        <color theme="2" tint="-0.249977111117893"/>
      </right>
      <top style="hair">
        <color theme="0" tint="-0.499984740745262"/>
      </top>
      <bottom style="thin">
        <color theme="0" tint="-0.499984740745262"/>
      </bottom>
      <diagonal/>
    </border>
    <border>
      <left style="hair">
        <color theme="0" tint="-0.499984740745262"/>
      </left>
      <right style="thin">
        <color theme="0" tint="-0.499984740745262"/>
      </right>
      <top/>
      <bottom/>
      <diagonal/>
    </border>
    <border>
      <left style="hair">
        <color theme="0" tint="-0.499984740745262"/>
      </left>
      <right style="thin">
        <color theme="0" tint="-0.499984740745262"/>
      </right>
      <top/>
      <bottom style="thin">
        <color theme="0" tint="-0.499984740745262"/>
      </bottom>
      <diagonal/>
    </border>
    <border>
      <left style="medium">
        <color theme="0" tint="-0.499984740745262"/>
      </left>
      <right style="hair">
        <color theme="0" tint="-0.499984740745262"/>
      </right>
      <top/>
      <bottom/>
      <diagonal/>
    </border>
    <border>
      <left/>
      <right style="thin">
        <color theme="0" tint="-0.499984740745262"/>
      </right>
      <top/>
      <bottom style="thin">
        <color theme="0" tint="-0.499984740745262"/>
      </bottom>
      <diagonal/>
    </border>
    <border>
      <left style="hair">
        <color theme="0" tint="-0.499984740745262"/>
      </left>
      <right style="hair">
        <color theme="0" tint="-0.499984740745262"/>
      </right>
      <top/>
      <bottom/>
      <diagonal/>
    </border>
    <border>
      <left style="hair">
        <color theme="0" tint="-0.499984740745262"/>
      </left>
      <right style="thin">
        <color theme="0" tint="-0.499984740745262"/>
      </right>
      <top style="hair">
        <color theme="0" tint="-0.499984740745262"/>
      </top>
      <bottom/>
      <diagonal/>
    </border>
    <border>
      <left/>
      <right style="hair">
        <color theme="0" tint="-0.499984740745262"/>
      </right>
      <top/>
      <bottom style="hair">
        <color theme="0" tint="-0.499984740745262"/>
      </bottom>
      <diagonal/>
    </border>
    <border>
      <left style="hair">
        <color theme="0" tint="-0.499984740745262"/>
      </left>
      <right/>
      <top style="hair">
        <color rgb="FF808080"/>
      </top>
      <bottom style="medium">
        <color theme="0" tint="-0.499984740745262"/>
      </bottom>
      <diagonal/>
    </border>
    <border>
      <left/>
      <right style="hair">
        <color theme="0" tint="-0.499984740745262"/>
      </right>
      <top style="hair">
        <color rgb="FF808080"/>
      </top>
      <bottom style="medium">
        <color theme="0" tint="-0.499984740745262"/>
      </bottom>
      <diagonal/>
    </border>
    <border>
      <left/>
      <right/>
      <top style="thin">
        <color theme="0" tint="-0.499984740745262"/>
      </top>
      <bottom style="hair">
        <color rgb="FF808080"/>
      </bottom>
      <diagonal/>
    </border>
    <border>
      <left/>
      <right/>
      <top style="hair">
        <color rgb="FF808080"/>
      </top>
      <bottom style="hair">
        <color rgb="FF808080"/>
      </bottom>
      <diagonal/>
    </border>
    <border>
      <left/>
      <right/>
      <top style="hair">
        <color rgb="FF808080"/>
      </top>
      <bottom style="thin">
        <color theme="0" tint="-0.499984740745262"/>
      </bottom>
      <diagonal/>
    </border>
    <border>
      <left/>
      <right/>
      <top style="hair">
        <color rgb="FF808080"/>
      </top>
      <bottom style="medium">
        <color theme="0" tint="-0.499984740745262"/>
      </bottom>
      <diagonal/>
    </border>
    <border>
      <left style="medium">
        <color theme="0" tint="-0.499984740745262"/>
      </left>
      <right style="medium">
        <color theme="0" tint="-0.499984740745262"/>
      </right>
      <top style="hair">
        <color theme="2" tint="-0.249977111117893"/>
      </top>
      <bottom/>
      <diagonal/>
    </border>
    <border>
      <left style="medium">
        <color theme="0" tint="-0.499984740745262"/>
      </left>
      <right style="hair">
        <color theme="2" tint="-0.249977111117893"/>
      </right>
      <top style="hair">
        <color theme="2" tint="-0.249977111117893"/>
      </top>
      <bottom/>
      <diagonal/>
    </border>
    <border>
      <left style="hair">
        <color theme="2" tint="-0.249977111117893"/>
      </left>
      <right style="hair">
        <color theme="2" tint="-0.249977111117893"/>
      </right>
      <top style="hair">
        <color theme="2" tint="-0.249977111117893"/>
      </top>
      <bottom/>
      <diagonal/>
    </border>
    <border>
      <left style="medium">
        <color theme="0" tint="-0.499984740745262"/>
      </left>
      <right/>
      <top style="hair">
        <color theme="0" tint="-0.499984740745262"/>
      </top>
      <bottom style="hair">
        <color theme="0" tint="-0.499984740745262"/>
      </bottom>
      <diagonal/>
    </border>
    <border>
      <left style="thin">
        <color theme="0" tint="-0.499984740745262"/>
      </left>
      <right style="medium">
        <color theme="0" tint="-0.499984740745262"/>
      </right>
      <top style="hair">
        <color theme="0" tint="-0.499984740745262"/>
      </top>
      <bottom style="medium">
        <color theme="0" tint="-0.499984740745262"/>
      </bottom>
      <diagonal/>
    </border>
    <border>
      <left style="hair">
        <color theme="2" tint="-0.249977111117893"/>
      </left>
      <right/>
      <top style="hair">
        <color theme="0" tint="-0.499984740745262"/>
      </top>
      <bottom style="hair">
        <color theme="0" tint="-0.499984740745262"/>
      </bottom>
      <diagonal/>
    </border>
    <border>
      <left style="hair">
        <color theme="2" tint="-0.249977111117893"/>
      </left>
      <right/>
      <top style="hair">
        <color theme="0" tint="-0.499984740745262"/>
      </top>
      <bottom/>
      <diagonal/>
    </border>
    <border>
      <left style="thin">
        <color theme="0" tint="-0.14996795556505021"/>
      </left>
      <right style="medium">
        <color theme="0" tint="-0.499984740745262"/>
      </right>
      <top style="thin">
        <color theme="0" tint="-0.14993743705557422"/>
      </top>
      <bottom style="medium">
        <color theme="0" tint="-0.499984740745262"/>
      </bottom>
      <diagonal/>
    </border>
    <border>
      <left style="hair">
        <color theme="0" tint="-0.14996795556505021"/>
      </left>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right style="hair">
        <color theme="0" tint="-0.14996795556505021"/>
      </right>
      <top style="hair">
        <color theme="0" tint="-0.14996795556505021"/>
      </top>
      <bottom style="hair">
        <color theme="0" tint="-0.14996795556505021"/>
      </bottom>
      <diagonal/>
    </border>
    <border>
      <left style="hair">
        <color theme="0" tint="-0.14996795556505021"/>
      </left>
      <right/>
      <top/>
      <bottom style="hair">
        <color theme="0" tint="-0.14996795556505021"/>
      </bottom>
      <diagonal/>
    </border>
    <border>
      <left style="hair">
        <color theme="0" tint="-0.14996795556505021"/>
      </left>
      <right style="hair">
        <color theme="0" tint="-0.14996795556505021"/>
      </right>
      <top/>
      <bottom style="hair">
        <color theme="0" tint="-0.14996795556505021"/>
      </bottom>
      <diagonal/>
    </border>
    <border>
      <left/>
      <right style="hair">
        <color theme="0" tint="-0.14996795556505021"/>
      </right>
      <top/>
      <bottom style="hair">
        <color theme="0" tint="-0.14996795556505021"/>
      </bottom>
      <diagonal/>
    </border>
    <border>
      <left style="thin">
        <color theme="0" tint="-0.14996795556505021"/>
      </left>
      <right style="medium">
        <color theme="0" tint="-0.499984740745262"/>
      </right>
      <top style="medium">
        <color theme="0" tint="-0.499984740745262"/>
      </top>
      <bottom style="hair">
        <color theme="1" tint="0.499984740745262"/>
      </bottom>
      <diagonal/>
    </border>
  </borders>
  <cellStyleXfs count="86">
    <xf numFmtId="0" fontId="0" fillId="0" borderId="0"/>
    <xf numFmtId="0" fontId="2" fillId="0" borderId="0"/>
    <xf numFmtId="0" fontId="3" fillId="0" borderId="0" applyNumberFormat="0" applyFill="0" applyBorder="0" applyAlignment="0" applyProtection="0"/>
    <xf numFmtId="0" fontId="1" fillId="0" borderId="0"/>
    <xf numFmtId="0" fontId="1" fillId="0" borderId="0"/>
    <xf numFmtId="0" fontId="1" fillId="0" borderId="0"/>
    <xf numFmtId="0" fontId="4" fillId="0" borderId="0"/>
    <xf numFmtId="0" fontId="5" fillId="0" borderId="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5" fillId="21"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65" fillId="0" borderId="0"/>
    <xf numFmtId="0" fontId="15" fillId="21" borderId="0" applyNumberFormat="0" applyBorder="0" applyAlignment="0" applyProtection="0"/>
  </cellStyleXfs>
  <cellXfs count="1700">
    <xf numFmtId="0" fontId="0" fillId="0" borderId="0" xfId="0"/>
    <xf numFmtId="0" fontId="7" fillId="0" borderId="0" xfId="0" applyFont="1"/>
    <xf numFmtId="0" fontId="7" fillId="0" borderId="0" xfId="0" applyFont="1" applyFill="1"/>
    <xf numFmtId="0" fontId="9" fillId="0" borderId="0" xfId="0" applyFont="1" applyFill="1"/>
    <xf numFmtId="0" fontId="7" fillId="0" borderId="0" xfId="0" applyFont="1" applyFill="1" applyAlignment="1">
      <alignment horizontal="left"/>
    </xf>
    <xf numFmtId="0" fontId="7" fillId="0" borderId="0" xfId="0" applyFont="1" applyAlignment="1">
      <alignment horizontal="left" vertical="center"/>
    </xf>
    <xf numFmtId="0" fontId="7" fillId="0" borderId="0" xfId="0" applyFont="1" applyFill="1" applyAlignment="1">
      <alignment horizontal="left" vertical="center"/>
    </xf>
    <xf numFmtId="0" fontId="7" fillId="0" borderId="0" xfId="0" applyFont="1" applyFill="1" applyBorder="1"/>
    <xf numFmtId="0" fontId="8" fillId="12" borderId="0" xfId="0" applyFont="1" applyFill="1" applyAlignment="1">
      <alignment horizontal="left"/>
    </xf>
    <xf numFmtId="0" fontId="13" fillId="0" borderId="0" xfId="0" applyFont="1"/>
    <xf numFmtId="0" fontId="8" fillId="13" borderId="0" xfId="0" applyFont="1" applyFill="1" applyAlignment="1">
      <alignment horizontal="left"/>
    </xf>
    <xf numFmtId="0" fontId="6" fillId="14" borderId="0" xfId="0" applyFont="1" applyFill="1" applyAlignment="1">
      <alignment horizontal="left" vertical="center"/>
    </xf>
    <xf numFmtId="0" fontId="14" fillId="5" borderId="0" xfId="0" applyFont="1" applyFill="1" applyAlignment="1">
      <alignment horizontal="left"/>
    </xf>
    <xf numFmtId="0" fontId="8" fillId="15" borderId="0" xfId="0" applyFont="1" applyFill="1" applyAlignment="1">
      <alignment horizontal="left"/>
    </xf>
    <xf numFmtId="0" fontId="8" fillId="16" borderId="0" xfId="0" applyFont="1" applyFill="1" applyAlignment="1">
      <alignment horizontal="left" vertical="center"/>
    </xf>
    <xf numFmtId="0" fontId="6" fillId="0" borderId="0" xfId="0" applyFont="1" applyAlignment="1">
      <alignment horizontal="center"/>
    </xf>
    <xf numFmtId="0" fontId="7" fillId="18" borderId="4" xfId="0" applyFont="1" applyFill="1" applyBorder="1" applyAlignment="1" applyProtection="1">
      <alignment horizontal="left" vertical="center" wrapText="1"/>
    </xf>
    <xf numFmtId="0" fontId="7" fillId="19" borderId="4" xfId="0" applyFont="1" applyFill="1" applyBorder="1" applyAlignment="1" applyProtection="1">
      <alignment horizontal="left" vertical="center" wrapText="1"/>
    </xf>
    <xf numFmtId="0" fontId="6" fillId="0" borderId="0" xfId="0" applyFont="1"/>
    <xf numFmtId="0" fontId="6" fillId="22" borderId="0" xfId="0" applyFont="1" applyFill="1" applyAlignment="1">
      <alignment horizontal="center"/>
    </xf>
    <xf numFmtId="0" fontId="6" fillId="23" borderId="0" xfId="0" applyFont="1" applyFill="1" applyAlignment="1">
      <alignment horizontal="center"/>
    </xf>
    <xf numFmtId="0" fontId="6" fillId="24" borderId="0" xfId="0" applyFont="1" applyFill="1" applyAlignment="1">
      <alignment horizontal="center"/>
    </xf>
    <xf numFmtId="0" fontId="6" fillId="25" borderId="0" xfId="0" applyFont="1" applyFill="1" applyAlignment="1">
      <alignment horizontal="center"/>
    </xf>
    <xf numFmtId="0" fontId="16" fillId="26" borderId="5" xfId="0" applyFont="1" applyFill="1" applyBorder="1" applyAlignment="1">
      <alignment horizontal="center" vertical="center"/>
    </xf>
    <xf numFmtId="0" fontId="16" fillId="27" borderId="5" xfId="0" applyFont="1" applyFill="1" applyBorder="1" applyAlignment="1">
      <alignment horizontal="center" vertical="center"/>
    </xf>
    <xf numFmtId="0" fontId="16" fillId="28" borderId="5" xfId="0" applyFont="1" applyFill="1" applyBorder="1" applyAlignment="1">
      <alignment horizontal="center" vertical="center"/>
    </xf>
    <xf numFmtId="0" fontId="16" fillId="29" borderId="5" xfId="0" applyFont="1" applyFill="1" applyBorder="1" applyAlignment="1">
      <alignment horizontal="center" vertical="center"/>
    </xf>
    <xf numFmtId="0" fontId="17" fillId="30" borderId="5" xfId="0" applyFont="1" applyFill="1" applyBorder="1" applyAlignment="1">
      <alignment horizontal="center" vertical="center"/>
    </xf>
    <xf numFmtId="0" fontId="19" fillId="33" borderId="10" xfId="0" applyFont="1" applyFill="1" applyBorder="1" applyAlignment="1">
      <alignment horizontal="center" vertical="center" wrapText="1"/>
    </xf>
    <xf numFmtId="0" fontId="22" fillId="0" borderId="4" xfId="0" applyFont="1" applyBorder="1" applyAlignment="1" applyProtection="1">
      <alignment horizontal="center" vertical="center"/>
    </xf>
    <xf numFmtId="0" fontId="23" fillId="0" borderId="0" xfId="0" applyFont="1" applyProtection="1"/>
    <xf numFmtId="0" fontId="22" fillId="6" borderId="0" xfId="0" applyFont="1" applyFill="1" applyBorder="1" applyAlignment="1" applyProtection="1">
      <alignment horizontal="center" vertical="center"/>
    </xf>
    <xf numFmtId="0" fontId="28" fillId="4" borderId="2" xfId="1" applyFont="1" applyFill="1" applyBorder="1" applyAlignment="1" applyProtection="1">
      <alignment horizontal="center" vertical="center"/>
    </xf>
    <xf numFmtId="0" fontId="23" fillId="7" borderId="0" xfId="0" applyFont="1" applyFill="1"/>
    <xf numFmtId="0" fontId="21" fillId="7" borderId="0" xfId="0" applyFont="1" applyFill="1" applyAlignment="1">
      <alignment horizontal="center" vertical="center"/>
    </xf>
    <xf numFmtId="0" fontId="23" fillId="0" borderId="0" xfId="0" applyFont="1"/>
    <xf numFmtId="1" fontId="23" fillId="0" borderId="0" xfId="0" applyNumberFormat="1" applyFont="1" applyAlignment="1">
      <alignment horizontal="center"/>
    </xf>
    <xf numFmtId="1" fontId="23" fillId="0" borderId="0" xfId="0" applyNumberFormat="1" applyFont="1" applyAlignment="1">
      <alignment horizontal="center" vertical="center"/>
    </xf>
    <xf numFmtId="0" fontId="33" fillId="5" borderId="0" xfId="0" applyFont="1" applyFill="1" applyAlignment="1" applyProtection="1">
      <alignment vertical="top" wrapText="1"/>
    </xf>
    <xf numFmtId="0" fontId="33" fillId="0" borderId="0" xfId="0" applyFont="1" applyFill="1" applyAlignment="1" applyProtection="1">
      <alignment vertical="center" wrapText="1"/>
    </xf>
    <xf numFmtId="0" fontId="35" fillId="20" borderId="19" xfId="0" applyFont="1" applyFill="1" applyBorder="1" applyAlignment="1" applyProtection="1">
      <alignment horizontal="center" vertical="center" wrapText="1"/>
    </xf>
    <xf numFmtId="0" fontId="35" fillId="20" borderId="20" xfId="0" applyFont="1" applyFill="1" applyBorder="1" applyAlignment="1" applyProtection="1">
      <alignment horizontal="center" vertical="center" wrapText="1"/>
    </xf>
    <xf numFmtId="0" fontId="35" fillId="20" borderId="21" xfId="0" applyFont="1" applyFill="1" applyBorder="1" applyAlignment="1" applyProtection="1">
      <alignment horizontal="center" vertical="center" wrapText="1"/>
    </xf>
    <xf numFmtId="0" fontId="37" fillId="0" borderId="0" xfId="0" applyFont="1" applyAlignment="1" applyProtection="1">
      <alignment vertical="center" wrapText="1"/>
    </xf>
    <xf numFmtId="49" fontId="35" fillId="34" borderId="0" xfId="0" applyNumberFormat="1" applyFont="1" applyFill="1" applyAlignment="1" applyProtection="1">
      <alignment horizontal="right" vertical="center" wrapText="1"/>
    </xf>
    <xf numFmtId="0" fontId="35" fillId="34" borderId="0" xfId="0" applyFont="1" applyFill="1" applyAlignment="1" applyProtection="1">
      <alignment vertical="center"/>
    </xf>
    <xf numFmtId="0" fontId="35" fillId="34" borderId="0" xfId="0" applyFont="1" applyFill="1" applyAlignment="1" applyProtection="1">
      <alignment vertical="center" wrapText="1"/>
    </xf>
    <xf numFmtId="0" fontId="35" fillId="34" borderId="25" xfId="0" applyFont="1" applyFill="1" applyBorder="1" applyAlignment="1" applyProtection="1">
      <alignment horizontal="center" vertical="center" wrapText="1"/>
    </xf>
    <xf numFmtId="0" fontId="35" fillId="34" borderId="0" xfId="0" applyFont="1" applyFill="1" applyBorder="1" applyAlignment="1" applyProtection="1">
      <alignment vertical="center" wrapText="1"/>
    </xf>
    <xf numFmtId="0" fontId="35" fillId="34" borderId="0" xfId="0" applyFont="1" applyFill="1" applyBorder="1" applyAlignment="1" applyProtection="1">
      <alignment horizontal="center" vertical="center" wrapText="1"/>
    </xf>
    <xf numFmtId="0" fontId="33" fillId="0" borderId="0" xfId="0" applyFont="1" applyAlignment="1" applyProtection="1">
      <alignment vertical="center"/>
    </xf>
    <xf numFmtId="0" fontId="33" fillId="0" borderId="0" xfId="0" applyFont="1" applyAlignment="1" applyProtection="1">
      <alignment vertical="center" wrapText="1"/>
    </xf>
    <xf numFmtId="0" fontId="33" fillId="0" borderId="0" xfId="0" applyFont="1" applyFill="1" applyProtection="1"/>
    <xf numFmtId="0" fontId="33" fillId="0" borderId="0" xfId="0" applyFont="1" applyFill="1" applyAlignment="1" applyProtection="1">
      <alignment vertical="top" wrapText="1"/>
    </xf>
    <xf numFmtId="0" fontId="38" fillId="0" borderId="34" xfId="0" applyFont="1" applyFill="1" applyBorder="1" applyAlignment="1" applyProtection="1">
      <alignment vertical="top" wrapText="1"/>
      <protection locked="0"/>
    </xf>
    <xf numFmtId="0" fontId="38" fillId="0" borderId="34" xfId="0" applyFont="1" applyBorder="1" applyAlignment="1" applyProtection="1">
      <alignment vertical="top" wrapText="1"/>
      <protection locked="0"/>
    </xf>
    <xf numFmtId="0" fontId="38" fillId="0" borderId="36" xfId="0" applyFont="1" applyFill="1" applyBorder="1" applyAlignment="1" applyProtection="1">
      <alignment vertical="top" wrapText="1"/>
      <protection locked="0"/>
    </xf>
    <xf numFmtId="0" fontId="38" fillId="0" borderId="0" xfId="0" applyFont="1" applyFill="1" applyBorder="1" applyAlignment="1" applyProtection="1">
      <alignment vertical="top" wrapText="1"/>
      <protection locked="0"/>
    </xf>
    <xf numFmtId="0" fontId="38" fillId="0" borderId="0" xfId="0" applyFont="1" applyBorder="1" applyAlignment="1" applyProtection="1">
      <alignment vertical="top" wrapText="1"/>
      <protection locked="0"/>
    </xf>
    <xf numFmtId="0" fontId="38" fillId="0" borderId="29" xfId="0" applyFont="1" applyFill="1" applyBorder="1" applyAlignment="1" applyProtection="1">
      <alignment vertical="top" wrapText="1"/>
      <protection locked="0"/>
    </xf>
    <xf numFmtId="0" fontId="33" fillId="0" borderId="0" xfId="0" applyFont="1" applyProtection="1"/>
    <xf numFmtId="0" fontId="33" fillId="0" borderId="0" xfId="0" applyFont="1" applyAlignment="1" applyProtection="1">
      <alignment vertical="top" wrapText="1"/>
    </xf>
    <xf numFmtId="0" fontId="35" fillId="0" borderId="30" xfId="0" applyFont="1" applyFill="1" applyBorder="1" applyAlignment="1" applyProtection="1">
      <alignment horizontal="left" vertical="center" wrapText="1"/>
    </xf>
    <xf numFmtId="0" fontId="38" fillId="0" borderId="31" xfId="0" applyFont="1" applyFill="1" applyBorder="1" applyAlignment="1" applyProtection="1">
      <alignment horizontal="left" vertical="center" wrapText="1"/>
    </xf>
    <xf numFmtId="0" fontId="33" fillId="0" borderId="0" xfId="0" applyFont="1" applyFill="1" applyAlignment="1" applyProtection="1">
      <alignment vertical="center"/>
    </xf>
    <xf numFmtId="0" fontId="23" fillId="0" borderId="0" xfId="0" applyFont="1" applyAlignment="1" applyProtection="1">
      <alignment horizontal="center"/>
    </xf>
    <xf numFmtId="0" fontId="33" fillId="0" borderId="0" xfId="0" applyFont="1" applyBorder="1" applyAlignment="1" applyProtection="1">
      <alignment vertical="top" wrapText="1"/>
    </xf>
    <xf numFmtId="0" fontId="43" fillId="5" borderId="51" xfId="6" applyFont="1" applyFill="1" applyBorder="1"/>
    <xf numFmtId="0" fontId="43" fillId="5" borderId="51" xfId="6" applyFont="1" applyFill="1" applyBorder="1" applyAlignment="1">
      <alignment horizontal="right"/>
    </xf>
    <xf numFmtId="0" fontId="45" fillId="5" borderId="51" xfId="6" applyFont="1" applyFill="1" applyBorder="1" applyAlignment="1"/>
    <xf numFmtId="0" fontId="45" fillId="5" borderId="51" xfId="6" applyFont="1" applyFill="1" applyBorder="1"/>
    <xf numFmtId="0" fontId="10" fillId="5" borderId="51" xfId="2" applyFont="1" applyFill="1" applyBorder="1" applyAlignment="1">
      <alignment horizontal="justify" vertical="center"/>
    </xf>
    <xf numFmtId="0" fontId="22" fillId="0" borderId="0" xfId="0" applyFont="1" applyProtection="1"/>
    <xf numFmtId="0" fontId="27" fillId="8" borderId="3" xfId="0" applyFont="1" applyFill="1" applyBorder="1" applyAlignment="1" applyProtection="1">
      <alignment horizontal="center" vertical="center"/>
    </xf>
    <xf numFmtId="0" fontId="27" fillId="8" borderId="6" xfId="0" applyFont="1" applyFill="1" applyBorder="1" applyAlignment="1" applyProtection="1">
      <alignment horizontal="center" vertical="center"/>
    </xf>
    <xf numFmtId="0" fontId="36" fillId="9" borderId="4" xfId="0" applyFont="1" applyFill="1" applyBorder="1" applyAlignment="1" applyProtection="1"/>
    <xf numFmtId="164" fontId="22" fillId="0" borderId="4" xfId="0" applyNumberFormat="1" applyFont="1" applyBorder="1" applyAlignment="1" applyProtection="1">
      <alignment horizontal="center" vertical="center"/>
    </xf>
    <xf numFmtId="0" fontId="36" fillId="9" borderId="7" xfId="0" applyFont="1" applyFill="1" applyBorder="1" applyAlignment="1" applyProtection="1"/>
    <xf numFmtId="164" fontId="22" fillId="0" borderId="7" xfId="0" applyNumberFormat="1" applyFont="1" applyBorder="1" applyAlignment="1" applyProtection="1">
      <alignment horizontal="center" vertical="center"/>
    </xf>
    <xf numFmtId="0" fontId="28" fillId="4" borderId="1" xfId="1" applyFont="1" applyFill="1" applyBorder="1" applyAlignment="1" applyProtection="1">
      <alignment vertical="top"/>
    </xf>
    <xf numFmtId="0" fontId="28" fillId="4" borderId="1" xfId="1" applyFont="1" applyFill="1" applyBorder="1" applyAlignment="1" applyProtection="1">
      <alignment horizontal="left" vertical="top"/>
    </xf>
    <xf numFmtId="0" fontId="28" fillId="4" borderId="1" xfId="1" applyFont="1" applyFill="1" applyBorder="1" applyAlignment="1" applyProtection="1">
      <alignment horizontal="right" vertical="top"/>
    </xf>
    <xf numFmtId="0" fontId="28" fillId="4" borderId="2" xfId="1" applyFont="1" applyFill="1" applyBorder="1" applyAlignment="1" applyProtection="1">
      <alignment vertical="top"/>
    </xf>
    <xf numFmtId="0" fontId="28" fillId="4" borderId="2" xfId="1" applyFont="1" applyFill="1" applyBorder="1" applyAlignment="1" applyProtection="1">
      <alignment horizontal="left" vertical="top"/>
    </xf>
    <xf numFmtId="0" fontId="28" fillId="4" borderId="2" xfId="1" applyFont="1" applyFill="1" applyBorder="1" applyAlignment="1" applyProtection="1">
      <alignment horizontal="right" vertical="top"/>
    </xf>
    <xf numFmtId="0" fontId="28" fillId="4" borderId="0" xfId="1" applyFont="1" applyFill="1" applyBorder="1" applyAlignment="1" applyProtection="1">
      <alignment vertical="top"/>
    </xf>
    <xf numFmtId="49" fontId="35" fillId="4" borderId="0" xfId="0" applyNumberFormat="1" applyFont="1" applyFill="1" applyAlignment="1" applyProtection="1">
      <alignment horizontal="right" vertical="top" wrapText="1"/>
    </xf>
    <xf numFmtId="49" fontId="35" fillId="4" borderId="0" xfId="0" applyNumberFormat="1" applyFont="1" applyFill="1" applyAlignment="1" applyProtection="1">
      <alignment horizontal="right" vertical="center" wrapText="1"/>
    </xf>
    <xf numFmtId="49" fontId="35" fillId="4" borderId="0" xfId="0" applyNumberFormat="1" applyFont="1" applyFill="1" applyBorder="1" applyAlignment="1" applyProtection="1">
      <alignment horizontal="right" vertical="center" wrapText="1"/>
    </xf>
    <xf numFmtId="0" fontId="36" fillId="4" borderId="0" xfId="0" applyFont="1" applyFill="1" applyAlignment="1" applyProtection="1">
      <alignment vertical="center"/>
    </xf>
    <xf numFmtId="0" fontId="35" fillId="4" borderId="0" xfId="0" applyFont="1" applyFill="1" applyAlignment="1" applyProtection="1">
      <alignment vertical="top" wrapText="1"/>
    </xf>
    <xf numFmtId="0" fontId="35" fillId="4" borderId="25" xfId="0" applyFont="1" applyFill="1" applyBorder="1" applyAlignment="1" applyProtection="1">
      <alignment horizontal="center" vertical="top" wrapText="1"/>
    </xf>
    <xf numFmtId="0" fontId="35" fillId="4" borderId="0" xfId="0" applyFont="1" applyFill="1" applyBorder="1" applyAlignment="1" applyProtection="1">
      <alignment vertical="top" wrapText="1"/>
    </xf>
    <xf numFmtId="0" fontId="38" fillId="4" borderId="0" xfId="0" applyFont="1" applyFill="1" applyBorder="1" applyAlignment="1" applyProtection="1">
      <alignment horizontal="center" vertical="top" wrapText="1"/>
    </xf>
    <xf numFmtId="0" fontId="38" fillId="4" borderId="0" xfId="0" applyFont="1" applyFill="1" applyBorder="1" applyAlignment="1" applyProtection="1">
      <alignment vertical="top" wrapText="1"/>
    </xf>
    <xf numFmtId="49" fontId="36" fillId="4" borderId="0" xfId="0" applyNumberFormat="1" applyFont="1" applyFill="1" applyBorder="1" applyAlignment="1" applyProtection="1">
      <alignment horizontal="right" vertical="center" wrapText="1"/>
    </xf>
    <xf numFmtId="0" fontId="36" fillId="4" borderId="0" xfId="0" applyFont="1" applyFill="1" applyAlignment="1" applyProtection="1">
      <alignment horizontal="center" vertical="center" wrapText="1"/>
    </xf>
    <xf numFmtId="0" fontId="36" fillId="4" borderId="25" xfId="0" applyFont="1" applyFill="1" applyBorder="1" applyAlignment="1" applyProtection="1">
      <alignment horizontal="center" vertical="center" wrapText="1"/>
    </xf>
    <xf numFmtId="0" fontId="36" fillId="4" borderId="0" xfId="0" applyFont="1" applyFill="1" applyBorder="1" applyAlignment="1" applyProtection="1">
      <alignment horizontal="center" vertical="center" wrapText="1"/>
    </xf>
    <xf numFmtId="0" fontId="28" fillId="4" borderId="0" xfId="1" applyFont="1" applyFill="1" applyBorder="1" applyAlignment="1" applyProtection="1">
      <alignment horizontal="left" vertical="top"/>
    </xf>
    <xf numFmtId="0" fontId="28" fillId="4" borderId="0" xfId="1" applyFont="1" applyFill="1" applyBorder="1" applyAlignment="1" applyProtection="1">
      <alignment horizontal="right" vertical="top"/>
    </xf>
    <xf numFmtId="0" fontId="28" fillId="4" borderId="0" xfId="1" applyFont="1" applyFill="1" applyBorder="1" applyAlignment="1" applyProtection="1">
      <alignment horizontal="center" vertical="center"/>
    </xf>
    <xf numFmtId="0" fontId="36" fillId="0" borderId="0" xfId="1" applyFont="1" applyFill="1" applyBorder="1" applyProtection="1"/>
    <xf numFmtId="0" fontId="38" fillId="5" borderId="31" xfId="0" applyFont="1" applyFill="1" applyBorder="1" applyAlignment="1" applyProtection="1">
      <alignment vertical="center" wrapText="1"/>
    </xf>
    <xf numFmtId="0" fontId="38" fillId="5" borderId="32" xfId="0" applyFont="1" applyFill="1" applyBorder="1" applyAlignment="1" applyProtection="1">
      <alignment vertical="center" wrapText="1"/>
    </xf>
    <xf numFmtId="0" fontId="38" fillId="5" borderId="42" xfId="0" applyFont="1" applyFill="1" applyBorder="1" applyAlignment="1" applyProtection="1">
      <alignment vertical="center" wrapText="1"/>
    </xf>
    <xf numFmtId="0" fontId="38" fillId="0" borderId="35" xfId="0" applyFont="1" applyBorder="1" applyAlignment="1" applyProtection="1">
      <alignment vertical="top" wrapText="1"/>
      <protection locked="0"/>
    </xf>
    <xf numFmtId="0" fontId="38" fillId="0" borderId="28" xfId="0" applyFont="1" applyBorder="1" applyAlignment="1" applyProtection="1">
      <alignment vertical="top" wrapText="1"/>
      <protection locked="0"/>
    </xf>
    <xf numFmtId="0" fontId="22" fillId="6" borderId="5" xfId="0" applyFont="1" applyFill="1" applyBorder="1" applyAlignment="1" applyProtection="1">
      <alignment horizontal="center" vertical="center"/>
    </xf>
    <xf numFmtId="0" fontId="23" fillId="0" borderId="63" xfId="0" applyFont="1" applyBorder="1"/>
    <xf numFmtId="0" fontId="23" fillId="0" borderId="64" xfId="0" applyFont="1" applyBorder="1"/>
    <xf numFmtId="0" fontId="23" fillId="0" borderId="65" xfId="0" applyFont="1" applyBorder="1"/>
    <xf numFmtId="0" fontId="23" fillId="0" borderId="43" xfId="0" applyFont="1" applyBorder="1"/>
    <xf numFmtId="0" fontId="23" fillId="0" borderId="66" xfId="0" applyFont="1" applyBorder="1"/>
    <xf numFmtId="0" fontId="23" fillId="0" borderId="67" xfId="0" applyFont="1" applyBorder="1"/>
    <xf numFmtId="0" fontId="23" fillId="0" borderId="68" xfId="0" applyFont="1" applyBorder="1"/>
    <xf numFmtId="0" fontId="23" fillId="0" borderId="69" xfId="0" applyFont="1" applyBorder="1"/>
    <xf numFmtId="1" fontId="23" fillId="0" borderId="66" xfId="0" applyNumberFormat="1" applyFont="1" applyBorder="1" applyAlignment="1">
      <alignment horizontal="center"/>
    </xf>
    <xf numFmtId="0" fontId="38" fillId="2" borderId="33" xfId="0" applyFont="1" applyFill="1" applyBorder="1" applyAlignment="1" applyProtection="1">
      <alignment vertical="top" wrapText="1"/>
      <protection locked="0"/>
    </xf>
    <xf numFmtId="0" fontId="38" fillId="2" borderId="27" xfId="0" applyFont="1" applyFill="1" applyBorder="1" applyAlignment="1" applyProtection="1">
      <alignment vertical="top" wrapText="1"/>
      <protection locked="0"/>
    </xf>
    <xf numFmtId="0" fontId="23" fillId="0" borderId="33" xfId="0" applyFont="1" applyBorder="1"/>
    <xf numFmtId="0" fontId="23" fillId="0" borderId="34" xfId="0" applyFont="1" applyBorder="1"/>
    <xf numFmtId="0" fontId="23" fillId="0" borderId="58" xfId="0" applyFont="1" applyBorder="1"/>
    <xf numFmtId="0" fontId="23" fillId="0" borderId="27" xfId="0" applyFont="1" applyBorder="1"/>
    <xf numFmtId="0" fontId="23" fillId="0" borderId="26" xfId="0" applyFont="1" applyBorder="1"/>
    <xf numFmtId="0" fontId="23" fillId="0" borderId="37" xfId="0" applyFont="1" applyBorder="1"/>
    <xf numFmtId="0" fontId="23" fillId="0" borderId="38" xfId="0" applyFont="1" applyBorder="1"/>
    <xf numFmtId="0" fontId="23" fillId="0" borderId="74" xfId="0" applyFont="1" applyBorder="1"/>
    <xf numFmtId="0" fontId="36" fillId="6" borderId="75" xfId="0" applyFont="1" applyFill="1" applyBorder="1" applyAlignment="1" applyProtection="1">
      <alignment horizontal="left" vertical="center"/>
    </xf>
    <xf numFmtId="0" fontId="27" fillId="8" borderId="76" xfId="0" applyFont="1" applyFill="1" applyBorder="1" applyAlignment="1" applyProtection="1">
      <alignment horizontal="center"/>
    </xf>
    <xf numFmtId="0" fontId="36" fillId="9" borderId="77" xfId="0" applyFont="1" applyFill="1" applyBorder="1" applyAlignment="1" applyProtection="1"/>
    <xf numFmtId="0" fontId="27" fillId="0" borderId="77" xfId="0" applyFont="1" applyBorder="1" applyAlignment="1" applyProtection="1">
      <alignment horizontal="center" vertical="center"/>
    </xf>
    <xf numFmtId="0" fontId="22" fillId="6" borderId="75" xfId="0" applyFont="1" applyFill="1" applyBorder="1" applyProtection="1"/>
    <xf numFmtId="0" fontId="35" fillId="0" borderId="77" xfId="58" applyFont="1" applyFill="1" applyBorder="1" applyAlignment="1" applyProtection="1">
      <alignment horizontal="center" vertical="center" wrapText="1"/>
    </xf>
    <xf numFmtId="0" fontId="23" fillId="6" borderId="0" xfId="0" applyFont="1" applyFill="1" applyAlignment="1" applyProtection="1">
      <alignment horizontal="center"/>
    </xf>
    <xf numFmtId="0" fontId="23" fillId="6" borderId="0" xfId="0" applyFont="1" applyFill="1" applyProtection="1"/>
    <xf numFmtId="0" fontId="58" fillId="0" borderId="0" xfId="0" applyFont="1" applyFill="1" applyAlignment="1" applyProtection="1">
      <alignment vertical="center" wrapText="1"/>
    </xf>
    <xf numFmtId="0" fontId="59" fillId="0" borderId="0" xfId="0" applyFont="1" applyAlignment="1" applyProtection="1">
      <alignment vertical="center" wrapText="1"/>
    </xf>
    <xf numFmtId="0" fontId="58" fillId="0" borderId="0" xfId="0" applyFont="1" applyAlignment="1" applyProtection="1">
      <alignment vertical="center" wrapText="1"/>
    </xf>
    <xf numFmtId="0" fontId="58" fillId="0" borderId="0" xfId="0" applyFont="1" applyFill="1" applyAlignment="1" applyProtection="1">
      <alignment vertical="top" wrapText="1"/>
    </xf>
    <xf numFmtId="0" fontId="58" fillId="0" borderId="0" xfId="0" applyFont="1" applyAlignment="1" applyProtection="1">
      <alignment vertical="top" wrapText="1"/>
    </xf>
    <xf numFmtId="0" fontId="58" fillId="0" borderId="0" xfId="0" applyFont="1" applyBorder="1" applyAlignment="1" applyProtection="1">
      <alignment vertical="top" wrapText="1"/>
    </xf>
    <xf numFmtId="0" fontId="59" fillId="0" borderId="0" xfId="1" applyFont="1" applyFill="1" applyBorder="1" applyProtection="1"/>
    <xf numFmtId="0" fontId="35" fillId="34" borderId="27" xfId="0" applyFont="1" applyFill="1" applyBorder="1" applyAlignment="1" applyProtection="1">
      <alignment horizontal="center" vertical="center" wrapText="1"/>
      <protection locked="0"/>
    </xf>
    <xf numFmtId="0" fontId="35" fillId="34" borderId="0" xfId="0" applyFont="1" applyFill="1" applyBorder="1" applyAlignment="1" applyProtection="1">
      <alignment horizontal="center" vertical="center" wrapText="1"/>
      <protection locked="0"/>
    </xf>
    <xf numFmtId="0" fontId="35" fillId="34" borderId="28" xfId="0" applyFont="1" applyFill="1" applyBorder="1" applyAlignment="1" applyProtection="1">
      <alignment horizontal="center" vertical="center" wrapText="1"/>
      <protection locked="0"/>
    </xf>
    <xf numFmtId="0" fontId="35" fillId="34" borderId="0" xfId="0" applyFont="1" applyFill="1" applyAlignment="1" applyProtection="1">
      <alignment horizontal="center" vertical="center" wrapText="1"/>
      <protection locked="0"/>
    </xf>
    <xf numFmtId="0" fontId="35" fillId="34" borderId="29" xfId="0" applyFont="1" applyFill="1" applyBorder="1" applyAlignment="1" applyProtection="1">
      <alignment horizontal="center" vertical="center" wrapText="1"/>
      <protection locked="0"/>
    </xf>
    <xf numFmtId="0" fontId="22" fillId="36" borderId="0" xfId="0" applyFont="1" applyFill="1"/>
    <xf numFmtId="0" fontId="36" fillId="37" borderId="0" xfId="0" applyFont="1" applyFill="1"/>
    <xf numFmtId="0" fontId="22" fillId="37" borderId="0" xfId="0" applyFont="1" applyFill="1"/>
    <xf numFmtId="0" fontId="22" fillId="34" borderId="26" xfId="0" applyFont="1" applyFill="1" applyBorder="1" applyAlignment="1">
      <alignment vertical="top" wrapText="1"/>
    </xf>
    <xf numFmtId="0" fontId="22" fillId="0" borderId="0" xfId="0" applyFont="1" applyAlignment="1">
      <alignment vertical="top" wrapText="1"/>
    </xf>
    <xf numFmtId="0" fontId="22" fillId="0" borderId="0" xfId="0" applyFont="1" applyFill="1"/>
    <xf numFmtId="0" fontId="22" fillId="0" borderId="52" xfId="0" applyFont="1" applyBorder="1" applyAlignment="1">
      <alignment vertical="top" wrapText="1"/>
    </xf>
    <xf numFmtId="0" fontId="22" fillId="0" borderId="28" xfId="0" applyFont="1" applyBorder="1" applyAlignment="1">
      <alignment vertical="top" wrapText="1"/>
    </xf>
    <xf numFmtId="0" fontId="22" fillId="0" borderId="29" xfId="0" applyFont="1" applyBorder="1"/>
    <xf numFmtId="0" fontId="22" fillId="0" borderId="78" xfId="0" applyFont="1" applyBorder="1"/>
    <xf numFmtId="0" fontId="22" fillId="0" borderId="29" xfId="0" applyFont="1" applyBorder="1" applyAlignment="1">
      <alignment vertical="top" wrapText="1"/>
    </xf>
    <xf numFmtId="0" fontId="22" fillId="2" borderId="0" xfId="0" applyFont="1" applyFill="1" applyAlignment="1">
      <alignment vertical="top" wrapText="1"/>
    </xf>
    <xf numFmtId="0" fontId="22" fillId="0" borderId="0" xfId="0" applyFont="1" applyAlignment="1">
      <alignment horizontal="center" vertical="top" wrapText="1"/>
    </xf>
    <xf numFmtId="0" fontId="22" fillId="0" borderId="0" xfId="0" applyFont="1" applyFill="1" applyAlignment="1">
      <alignment horizontal="left" vertical="top" wrapText="1"/>
    </xf>
    <xf numFmtId="0" fontId="56" fillId="8" borderId="55" xfId="0" applyFont="1" applyFill="1" applyBorder="1" applyAlignment="1">
      <alignment horizontal="center" vertical="center" wrapText="1"/>
    </xf>
    <xf numFmtId="0" fontId="56" fillId="8" borderId="56" xfId="0" applyFont="1" applyFill="1" applyBorder="1" applyAlignment="1">
      <alignment horizontal="center" vertical="center" wrapText="1"/>
    </xf>
    <xf numFmtId="0" fontId="22" fillId="34" borderId="26" xfId="0" applyFont="1" applyFill="1" applyBorder="1"/>
    <xf numFmtId="0" fontId="22" fillId="0" borderId="0" xfId="0" applyFont="1"/>
    <xf numFmtId="0" fontId="22" fillId="0" borderId="48" xfId="0" applyFont="1" applyBorder="1" applyAlignment="1"/>
    <xf numFmtId="0" fontId="22" fillId="0" borderId="28" xfId="0" applyFont="1" applyBorder="1"/>
    <xf numFmtId="0" fontId="22" fillId="2" borderId="0" xfId="0" applyFont="1" applyFill="1"/>
    <xf numFmtId="0" fontId="56" fillId="8" borderId="46" xfId="0" applyFont="1" applyFill="1" applyBorder="1" applyAlignment="1">
      <alignment vertical="center" wrapText="1"/>
    </xf>
    <xf numFmtId="0" fontId="56" fillId="8" borderId="47" xfId="0" applyFont="1" applyFill="1" applyBorder="1" applyAlignment="1">
      <alignment vertical="center" wrapText="1"/>
    </xf>
    <xf numFmtId="0" fontId="56" fillId="8" borderId="48" xfId="0" applyFont="1" applyFill="1" applyBorder="1" applyAlignment="1">
      <alignment horizontal="left" vertical="center" wrapText="1"/>
    </xf>
    <xf numFmtId="0" fontId="57" fillId="38" borderId="50" xfId="0" applyFont="1" applyFill="1" applyBorder="1" applyAlignment="1">
      <alignment horizontal="left" vertical="center" wrapText="1"/>
    </xf>
    <xf numFmtId="0" fontId="22" fillId="39" borderId="44" xfId="0" applyFont="1" applyFill="1" applyBorder="1" applyAlignment="1">
      <alignment horizontal="center" vertical="top" wrapText="1"/>
    </xf>
    <xf numFmtId="0" fontId="22" fillId="37" borderId="0" xfId="0" applyFont="1" applyFill="1" applyBorder="1"/>
    <xf numFmtId="0" fontId="22" fillId="36" borderId="0" xfId="0" applyFont="1" applyFill="1" applyBorder="1"/>
    <xf numFmtId="0" fontId="22" fillId="0" borderId="0" xfId="0" applyFont="1" applyBorder="1"/>
    <xf numFmtId="0" fontId="22" fillId="0" borderId="79" xfId="0" applyFont="1" applyBorder="1"/>
    <xf numFmtId="0" fontId="22" fillId="0" borderId="80" xfId="0" applyFont="1" applyFill="1" applyBorder="1" applyAlignment="1"/>
    <xf numFmtId="0" fontId="22" fillId="0" borderId="41" xfId="0" applyFont="1" applyBorder="1"/>
    <xf numFmtId="0" fontId="56" fillId="0" borderId="40" xfId="0" applyFont="1" applyFill="1" applyBorder="1" applyAlignment="1">
      <alignment vertical="center" wrapText="1"/>
    </xf>
    <xf numFmtId="0" fontId="56" fillId="0" borderId="40" xfId="0" applyFont="1" applyFill="1" applyBorder="1" applyAlignment="1">
      <alignment horizontal="left" vertical="center" wrapText="1"/>
    </xf>
    <xf numFmtId="0" fontId="22" fillId="0" borderId="81" xfId="0" applyFont="1" applyBorder="1"/>
    <xf numFmtId="0" fontId="57" fillId="0" borderId="82" xfId="0" applyFont="1" applyFill="1" applyBorder="1" applyAlignment="1">
      <alignment horizontal="left" vertical="center" wrapText="1"/>
    </xf>
    <xf numFmtId="0" fontId="22" fillId="0" borderId="79" xfId="0" applyFont="1" applyBorder="1" applyAlignment="1">
      <alignment vertical="top" wrapText="1"/>
    </xf>
    <xf numFmtId="0" fontId="22" fillId="0" borderId="80" xfId="0" applyFont="1" applyBorder="1" applyAlignment="1">
      <alignment vertical="top" wrapText="1"/>
    </xf>
    <xf numFmtId="0" fontId="22" fillId="0" borderId="41" xfId="0" applyFont="1" applyBorder="1" applyAlignment="1">
      <alignment horizontal="left" vertical="top" wrapText="1"/>
    </xf>
    <xf numFmtId="0" fontId="22" fillId="0" borderId="40" xfId="0" applyFont="1" applyBorder="1" applyAlignment="1">
      <alignment vertical="top" wrapText="1"/>
    </xf>
    <xf numFmtId="0" fontId="22" fillId="0" borderId="81" xfId="0" applyFont="1" applyBorder="1" applyAlignment="1">
      <alignment horizontal="left" vertical="top" wrapText="1"/>
    </xf>
    <xf numFmtId="0" fontId="22" fillId="0" borderId="82" xfId="0" applyFont="1" applyBorder="1" applyAlignment="1">
      <alignment vertical="top" wrapText="1"/>
    </xf>
    <xf numFmtId="0" fontId="33" fillId="0" borderId="0" xfId="0" applyFont="1" applyFill="1" applyAlignment="1" applyProtection="1">
      <alignment horizontal="center" vertical="top" wrapText="1"/>
    </xf>
    <xf numFmtId="0" fontId="38" fillId="2" borderId="34" xfId="0" applyFont="1" applyFill="1" applyBorder="1" applyAlignment="1" applyProtection="1">
      <alignment vertical="top" wrapText="1"/>
      <protection locked="0"/>
    </xf>
    <xf numFmtId="0" fontId="22" fillId="0" borderId="78" xfId="0" applyFont="1" applyBorder="1" applyAlignment="1">
      <alignment vertical="top" wrapText="1"/>
    </xf>
    <xf numFmtId="0" fontId="22" fillId="0" borderId="62" xfId="0" applyFont="1" applyBorder="1" applyAlignment="1">
      <alignment vertical="top" wrapText="1"/>
    </xf>
    <xf numFmtId="0" fontId="22" fillId="0" borderId="62" xfId="0" applyFont="1" applyBorder="1"/>
    <xf numFmtId="0" fontId="38" fillId="0" borderId="0" xfId="0" applyFont="1" applyFill="1" applyBorder="1" applyAlignment="1" applyProtection="1">
      <alignment horizontal="left" vertical="top" wrapText="1"/>
    </xf>
    <xf numFmtId="49" fontId="38" fillId="34" borderId="0" xfId="0" applyNumberFormat="1" applyFont="1" applyFill="1" applyAlignment="1" applyProtection="1">
      <alignment horizontal="right" vertical="top" wrapText="1"/>
    </xf>
    <xf numFmtId="0" fontId="38" fillId="20" borderId="0" xfId="0" applyFont="1" applyFill="1" applyBorder="1" applyAlignment="1" applyProtection="1">
      <alignment horizontal="left" vertical="top" wrapText="1"/>
      <protection locked="0"/>
    </xf>
    <xf numFmtId="0" fontId="38" fillId="0" borderId="0" xfId="0" applyFont="1" applyFill="1" applyBorder="1" applyAlignment="1" applyProtection="1">
      <alignment horizontal="center" vertical="top" wrapText="1"/>
      <protection locked="0"/>
    </xf>
    <xf numFmtId="0" fontId="33" fillId="5" borderId="0" xfId="0" applyFont="1" applyFill="1" applyAlignment="1" applyProtection="1">
      <alignment vertical="top" wrapText="1"/>
      <protection locked="0"/>
    </xf>
    <xf numFmtId="0" fontId="33" fillId="0" borderId="0" xfId="0" applyFont="1" applyFill="1" applyBorder="1" applyAlignment="1" applyProtection="1">
      <alignment vertical="top" wrapText="1"/>
      <protection locked="0"/>
    </xf>
    <xf numFmtId="0" fontId="35" fillId="2" borderId="22" xfId="0" applyFont="1" applyFill="1" applyBorder="1" applyAlignment="1" applyProtection="1">
      <alignment horizontal="center" vertical="center" wrapText="1"/>
      <protection locked="0"/>
    </xf>
    <xf numFmtId="0" fontId="35" fillId="2" borderId="20" xfId="0" applyFont="1" applyFill="1" applyBorder="1" applyAlignment="1" applyProtection="1">
      <alignment horizontal="center" vertical="center" wrapText="1"/>
      <protection locked="0"/>
    </xf>
    <xf numFmtId="0" fontId="36" fillId="4" borderId="27" xfId="0" applyFont="1" applyFill="1" applyBorder="1" applyAlignment="1" applyProtection="1">
      <alignment horizontal="center" vertical="center" wrapText="1"/>
      <protection locked="0"/>
    </xf>
    <xf numFmtId="0" fontId="36" fillId="4" borderId="0" xfId="0" applyFont="1" applyFill="1" applyBorder="1" applyAlignment="1" applyProtection="1">
      <alignment horizontal="center" vertical="center" wrapText="1"/>
      <protection locked="0"/>
    </xf>
    <xf numFmtId="0" fontId="36" fillId="4" borderId="0" xfId="0" applyFont="1" applyFill="1" applyAlignment="1" applyProtection="1">
      <alignment horizontal="center" vertical="center" wrapText="1"/>
      <protection locked="0"/>
    </xf>
    <xf numFmtId="0" fontId="36" fillId="4" borderId="28" xfId="0" applyFont="1" applyFill="1" applyBorder="1" applyAlignment="1" applyProtection="1">
      <alignment horizontal="center" vertical="center" wrapText="1"/>
      <protection locked="0"/>
    </xf>
    <xf numFmtId="0" fontId="36" fillId="4" borderId="29" xfId="0" applyFont="1" applyFill="1" applyBorder="1" applyAlignment="1" applyProtection="1">
      <alignment horizontal="center" vertical="center" wrapText="1"/>
      <protection locked="0"/>
    </xf>
    <xf numFmtId="0" fontId="38" fillId="4" borderId="0" xfId="0" applyFont="1" applyFill="1" applyBorder="1" applyAlignment="1" applyProtection="1">
      <alignment vertical="top" wrapText="1"/>
      <protection locked="0"/>
    </xf>
    <xf numFmtId="0" fontId="38" fillId="4" borderId="0" xfId="0" applyFont="1" applyFill="1" applyBorder="1" applyAlignment="1" applyProtection="1">
      <alignment horizontal="center" vertical="center" wrapText="1"/>
      <protection locked="0"/>
    </xf>
    <xf numFmtId="0" fontId="38" fillId="4" borderId="0" xfId="0" applyFont="1" applyFill="1" applyBorder="1" applyAlignment="1" applyProtection="1">
      <alignment vertical="center" wrapText="1"/>
      <protection locked="0"/>
    </xf>
    <xf numFmtId="0" fontId="38" fillId="2" borderId="0" xfId="0" applyFont="1" applyFill="1" applyBorder="1" applyAlignment="1" applyProtection="1">
      <alignment vertical="center" wrapText="1"/>
      <protection locked="0"/>
    </xf>
    <xf numFmtId="0" fontId="38" fillId="4" borderId="0" xfId="0" applyFont="1" applyFill="1" applyBorder="1" applyAlignment="1" applyProtection="1">
      <alignment horizontal="center" vertical="top" wrapText="1"/>
      <protection locked="0"/>
    </xf>
    <xf numFmtId="0" fontId="38" fillId="2" borderId="0" xfId="0" applyFont="1" applyFill="1" applyBorder="1" applyAlignment="1" applyProtection="1">
      <alignment vertical="top" wrapText="1"/>
      <protection locked="0"/>
    </xf>
    <xf numFmtId="0" fontId="22" fillId="4" borderId="0" xfId="0" applyFont="1" applyFill="1" applyBorder="1" applyProtection="1">
      <protection locked="0"/>
    </xf>
    <xf numFmtId="0" fontId="22" fillId="4" borderId="0" xfId="0" applyFont="1" applyFill="1" applyBorder="1" applyAlignment="1" applyProtection="1">
      <alignment horizontal="center"/>
      <protection locked="0"/>
    </xf>
    <xf numFmtId="0" fontId="28" fillId="4" borderId="0" xfId="1" applyFont="1" applyFill="1" applyBorder="1" applyAlignment="1" applyProtection="1">
      <alignment vertical="top"/>
      <protection locked="0"/>
    </xf>
    <xf numFmtId="0" fontId="36" fillId="4" borderId="0" xfId="1" applyFont="1" applyFill="1" applyBorder="1" applyProtection="1">
      <protection locked="0"/>
    </xf>
    <xf numFmtId="0" fontId="36" fillId="4" borderId="0" xfId="1" applyFont="1" applyFill="1" applyBorder="1" applyAlignment="1" applyProtection="1">
      <alignment horizontal="center"/>
      <protection locked="0"/>
    </xf>
    <xf numFmtId="0" fontId="36" fillId="2" borderId="0" xfId="1" applyFont="1" applyFill="1" applyBorder="1" applyProtection="1">
      <protection locked="0"/>
    </xf>
    <xf numFmtId="0" fontId="23" fillId="0" borderId="0" xfId="0" applyFont="1" applyProtection="1">
      <protection locked="0"/>
    </xf>
    <xf numFmtId="0" fontId="22" fillId="0" borderId="0" xfId="0" applyFont="1" applyAlignment="1" applyProtection="1">
      <alignment horizontal="center"/>
      <protection locked="0"/>
    </xf>
    <xf numFmtId="0" fontId="23" fillId="6" borderId="0" xfId="0" applyFont="1" applyFill="1" applyProtection="1">
      <protection locked="0"/>
    </xf>
    <xf numFmtId="0" fontId="22" fillId="6" borderId="0" xfId="0" applyFont="1" applyFill="1" applyAlignment="1" applyProtection="1">
      <alignment horizontal="center"/>
      <protection locked="0"/>
    </xf>
    <xf numFmtId="0" fontId="23" fillId="2" borderId="0" xfId="0" applyFont="1" applyFill="1" applyProtection="1">
      <protection locked="0"/>
    </xf>
    <xf numFmtId="0" fontId="35" fillId="5" borderId="33" xfId="0" applyFont="1" applyFill="1" applyBorder="1" applyAlignment="1">
      <alignment horizontal="right" vertical="top" wrapText="1"/>
    </xf>
    <xf numFmtId="0" fontId="35" fillId="5" borderId="27" xfId="0" applyFont="1" applyFill="1" applyBorder="1" applyAlignment="1">
      <alignment horizontal="right" vertical="top" wrapText="1"/>
    </xf>
    <xf numFmtId="0" fontId="38" fillId="0" borderId="0" xfId="0" applyFont="1" applyFill="1" applyBorder="1" applyAlignment="1">
      <alignment horizontal="left" vertical="top" wrapText="1"/>
    </xf>
    <xf numFmtId="0" fontId="38" fillId="20" borderId="0" xfId="0" applyFont="1" applyFill="1" applyBorder="1" applyAlignment="1">
      <alignment horizontal="center" vertical="top" wrapText="1"/>
    </xf>
    <xf numFmtId="0" fontId="35" fillId="20" borderId="27" xfId="0" applyFont="1" applyFill="1" applyBorder="1" applyAlignment="1">
      <alignment horizontal="right" vertical="top" wrapText="1"/>
    </xf>
    <xf numFmtId="0" fontId="38" fillId="20" borderId="0" xfId="0" applyFont="1" applyFill="1" applyBorder="1" applyAlignment="1">
      <alignment horizontal="left" vertical="top" wrapText="1"/>
    </xf>
    <xf numFmtId="0" fontId="38" fillId="20" borderId="0" xfId="0" applyFont="1" applyFill="1" applyBorder="1" applyAlignment="1" applyProtection="1">
      <alignment vertical="top" wrapText="1"/>
      <protection locked="0"/>
    </xf>
    <xf numFmtId="0" fontId="38" fillId="20" borderId="0" xfId="0" applyFont="1" applyFill="1" applyBorder="1" applyAlignment="1" applyProtection="1">
      <alignment horizontal="center" vertical="top" wrapText="1"/>
      <protection locked="0"/>
    </xf>
    <xf numFmtId="0" fontId="38" fillId="20" borderId="93" xfId="0" applyFont="1" applyFill="1" applyBorder="1" applyAlignment="1" applyProtection="1">
      <alignment vertical="top" wrapText="1"/>
      <protection locked="0"/>
    </xf>
    <xf numFmtId="0" fontId="38" fillId="20" borderId="28" xfId="0" applyFont="1" applyFill="1" applyBorder="1" applyAlignment="1" applyProtection="1">
      <alignment vertical="top" wrapText="1"/>
      <protection locked="0"/>
    </xf>
    <xf numFmtId="0" fontId="38" fillId="20" borderId="29" xfId="0" applyFont="1" applyFill="1" applyBorder="1" applyAlignment="1" applyProtection="1">
      <alignment vertical="top" wrapText="1"/>
      <protection locked="0"/>
    </xf>
    <xf numFmtId="0" fontId="58" fillId="0" borderId="0" xfId="0" applyFont="1" applyFill="1" applyAlignment="1" applyProtection="1">
      <alignment vertical="top" wrapText="1"/>
    </xf>
    <xf numFmtId="0" fontId="38" fillId="5" borderId="34" xfId="0" applyFont="1" applyFill="1" applyBorder="1" applyAlignment="1">
      <alignment vertical="top" wrapText="1"/>
    </xf>
    <xf numFmtId="0" fontId="38" fillId="0" borderId="0" xfId="0" applyFont="1" applyBorder="1" applyAlignment="1">
      <alignment vertical="top" wrapText="1"/>
    </xf>
    <xf numFmtId="0" fontId="35" fillId="0" borderId="83" xfId="58" applyFont="1" applyFill="1" applyBorder="1" applyAlignment="1" applyProtection="1">
      <alignment horizontal="center" vertical="center" wrapText="1"/>
      <protection locked="0"/>
    </xf>
    <xf numFmtId="0" fontId="38" fillId="0" borderId="34" xfId="0" applyFont="1" applyBorder="1" applyAlignment="1">
      <alignment horizontal="center" vertical="top" wrapText="1"/>
    </xf>
    <xf numFmtId="0" fontId="35" fillId="2" borderId="20" xfId="0" applyFont="1" applyFill="1" applyBorder="1" applyAlignment="1" applyProtection="1">
      <alignment horizontal="center" vertical="center" wrapText="1"/>
      <protection locked="0"/>
    </xf>
    <xf numFmtId="0" fontId="46" fillId="0" borderId="0" xfId="0" applyFont="1"/>
    <xf numFmtId="0" fontId="20" fillId="0" borderId="0" xfId="0" applyFont="1" applyAlignment="1">
      <alignment horizontal="center"/>
    </xf>
    <xf numFmtId="0" fontId="0" fillId="36" borderId="0" xfId="0" applyFill="1"/>
    <xf numFmtId="0" fontId="20" fillId="0" borderId="0" xfId="0" applyFont="1"/>
    <xf numFmtId="10" fontId="48" fillId="0" borderId="0" xfId="1" applyNumberFormat="1" applyFont="1" applyAlignment="1">
      <alignment horizontal="left" vertical="top" wrapText="1"/>
    </xf>
    <xf numFmtId="10" fontId="43" fillId="0" borderId="0" xfId="0" applyNumberFormat="1" applyFont="1" applyAlignment="1">
      <alignment horizontal="left" vertical="top" wrapText="1"/>
    </xf>
    <xf numFmtId="10" fontId="43" fillId="0" borderId="0" xfId="1" applyNumberFormat="1" applyFont="1" applyAlignment="1">
      <alignment horizontal="left" vertical="top" wrapText="1"/>
    </xf>
    <xf numFmtId="10" fontId="1" fillId="0" borderId="0" xfId="1" applyNumberFormat="1" applyFont="1" applyAlignment="1">
      <alignment horizontal="left" vertical="top"/>
    </xf>
    <xf numFmtId="0" fontId="20" fillId="0" borderId="0" xfId="0" applyFont="1" applyAlignment="1">
      <alignment horizontal="center" wrapText="1"/>
    </xf>
    <xf numFmtId="0" fontId="60" fillId="0" borderId="94" xfId="1" applyFont="1" applyBorder="1" applyAlignment="1" applyProtection="1">
      <alignment horizontal="left" vertical="top" wrapText="1"/>
      <protection locked="0"/>
    </xf>
    <xf numFmtId="0" fontId="49" fillId="0" borderId="0" xfId="0" applyFont="1" applyAlignment="1">
      <alignment horizontal="center"/>
    </xf>
    <xf numFmtId="0" fontId="50" fillId="0" borderId="0" xfId="0" applyFont="1" applyAlignment="1">
      <alignment horizontal="left" vertical="center" wrapText="1"/>
    </xf>
    <xf numFmtId="0" fontId="43" fillId="0" borderId="0" xfId="1" applyFont="1"/>
    <xf numFmtId="10" fontId="43" fillId="0" borderId="0" xfId="1" applyNumberFormat="1" applyFont="1" applyAlignment="1">
      <alignment horizontal="left"/>
    </xf>
    <xf numFmtId="0" fontId="0" fillId="0" borderId="0" xfId="0" applyAlignment="1">
      <alignment wrapText="1"/>
    </xf>
    <xf numFmtId="10" fontId="48" fillId="0" borderId="0" xfId="1" applyNumberFormat="1" applyFont="1" applyAlignment="1">
      <alignment horizontal="left" wrapText="1"/>
    </xf>
    <xf numFmtId="10" fontId="50" fillId="0" borderId="0" xfId="0" applyNumberFormat="1" applyFont="1" applyAlignment="1">
      <alignment horizontal="left" wrapText="1"/>
    </xf>
    <xf numFmtId="10" fontId="43" fillId="0" borderId="0" xfId="1" applyNumberFormat="1" applyFont="1" applyAlignment="1">
      <alignment horizontal="left" wrapText="1"/>
    </xf>
    <xf numFmtId="0" fontId="50" fillId="0" borderId="0" xfId="0" applyFont="1"/>
    <xf numFmtId="0" fontId="51" fillId="0" borderId="0" xfId="1" applyFont="1" applyAlignment="1">
      <alignment horizontal="left" vertical="top"/>
    </xf>
    <xf numFmtId="0" fontId="43" fillId="0" borderId="0" xfId="1" applyFont="1" applyAlignment="1">
      <alignment vertical="top"/>
    </xf>
    <xf numFmtId="10" fontId="52" fillId="0" borderId="0" xfId="1" applyNumberFormat="1" applyFont="1" applyAlignment="1">
      <alignment horizontal="left" vertical="top" wrapText="1"/>
    </xf>
    <xf numFmtId="0" fontId="48" fillId="0" borderId="0" xfId="1" applyFont="1" applyAlignment="1">
      <alignment vertical="top"/>
    </xf>
    <xf numFmtId="0" fontId="20" fillId="0" borderId="0" xfId="0" applyFont="1" applyAlignment="1">
      <alignment wrapText="1"/>
    </xf>
    <xf numFmtId="10" fontId="54" fillId="0" borderId="0" xfId="1" applyNumberFormat="1" applyFont="1" applyAlignment="1">
      <alignment horizontal="left" vertical="top" wrapText="1"/>
    </xf>
    <xf numFmtId="10" fontId="54" fillId="0" borderId="0" xfId="1" applyNumberFormat="1" applyFont="1" applyAlignment="1">
      <alignment horizontal="left" vertical="top"/>
    </xf>
    <xf numFmtId="0" fontId="50" fillId="0" borderId="0" xfId="0" applyFont="1" applyAlignment="1">
      <alignment vertical="top"/>
    </xf>
    <xf numFmtId="10" fontId="50" fillId="0" borderId="0" xfId="0" applyNumberFormat="1" applyFont="1" applyAlignment="1">
      <alignment vertical="top"/>
    </xf>
    <xf numFmtId="0" fontId="48" fillId="0" borderId="0" xfId="1" applyFont="1" applyAlignment="1">
      <alignment horizontal="left" vertical="top" wrapText="1"/>
    </xf>
    <xf numFmtId="0" fontId="54" fillId="0" borderId="0" xfId="1" applyFont="1" applyAlignment="1">
      <alignment horizontal="left" vertical="top"/>
    </xf>
    <xf numFmtId="0" fontId="41" fillId="0" borderId="0" xfId="1" applyFont="1" applyAlignment="1">
      <alignment horizontal="left" vertical="top" wrapText="1"/>
    </xf>
    <xf numFmtId="0" fontId="41" fillId="0" borderId="0" xfId="0" applyFont="1" applyAlignment="1">
      <alignment horizontal="left" vertical="top" wrapText="1"/>
    </xf>
    <xf numFmtId="0" fontId="20" fillId="0" borderId="0" xfId="4" applyFont="1"/>
    <xf numFmtId="0" fontId="41" fillId="0" borderId="0" xfId="0" applyFont="1" applyAlignment="1">
      <alignment vertical="top"/>
    </xf>
    <xf numFmtId="10" fontId="48" fillId="0" borderId="0" xfId="1" applyNumberFormat="1" applyFont="1" applyAlignment="1">
      <alignment horizontal="left" vertical="top"/>
    </xf>
    <xf numFmtId="0" fontId="39" fillId="0" borderId="0" xfId="0" applyFont="1" applyAlignment="1" applyProtection="1">
      <alignment horizontal="left" vertical="top" wrapText="1"/>
      <protection locked="0"/>
    </xf>
    <xf numFmtId="0" fontId="39" fillId="0" borderId="0" xfId="1" applyFont="1" applyAlignment="1" applyProtection="1">
      <alignment vertical="top" wrapText="1"/>
      <protection locked="0"/>
    </xf>
    <xf numFmtId="0" fontId="41" fillId="0" borderId="0" xfId="1" applyFont="1" applyAlignment="1">
      <alignment wrapText="1"/>
    </xf>
    <xf numFmtId="0" fontId="39" fillId="0" borderId="0" xfId="1" applyFont="1" applyAlignment="1" applyProtection="1">
      <alignment horizontal="left" vertical="top" wrapText="1"/>
      <protection locked="0"/>
    </xf>
    <xf numFmtId="0" fontId="41" fillId="0" borderId="0" xfId="1" applyFont="1" applyAlignment="1">
      <alignment horizontal="left"/>
    </xf>
    <xf numFmtId="0" fontId="41" fillId="0" borderId="95" xfId="1" applyFont="1" applyBorder="1" applyAlignment="1">
      <alignment wrapText="1"/>
    </xf>
    <xf numFmtId="0" fontId="41" fillId="0" borderId="0" xfId="1" applyFont="1"/>
    <xf numFmtId="0" fontId="41" fillId="0" borderId="95" xfId="1" applyFont="1" applyBorder="1"/>
    <xf numFmtId="0" fontId="18" fillId="0" borderId="0" xfId="1" applyFont="1" applyAlignment="1" applyProtection="1">
      <alignment horizontal="left" vertical="top"/>
      <protection locked="0"/>
    </xf>
    <xf numFmtId="0" fontId="18" fillId="0" borderId="0" xfId="0" applyFont="1"/>
    <xf numFmtId="0" fontId="61" fillId="0" borderId="0" xfId="1" applyFont="1"/>
    <xf numFmtId="0" fontId="61" fillId="0" borderId="95" xfId="1" applyFont="1" applyBorder="1"/>
    <xf numFmtId="0" fontId="18" fillId="0" borderId="96" xfId="0" applyFont="1" applyBorder="1"/>
    <xf numFmtId="0" fontId="62" fillId="0" borderId="0" xfId="0" applyFont="1" applyAlignment="1" applyProtection="1">
      <alignment vertical="top" wrapText="1"/>
      <protection locked="0"/>
    </xf>
    <xf numFmtId="0" fontId="62" fillId="0" borderId="97" xfId="0" applyFont="1" applyBorder="1" applyAlignment="1" applyProtection="1">
      <alignment vertical="top" wrapText="1"/>
      <protection locked="0"/>
    </xf>
    <xf numFmtId="0" fontId="18" fillId="0" borderId="0" xfId="1" applyFont="1" applyAlignment="1" applyProtection="1">
      <alignment vertical="top" wrapText="1"/>
      <protection locked="0"/>
    </xf>
    <xf numFmtId="0" fontId="61" fillId="0" borderId="0" xfId="1" applyFont="1" applyAlignment="1" applyProtection="1">
      <alignment vertical="top" wrapText="1"/>
      <protection locked="0"/>
    </xf>
    <xf numFmtId="0" fontId="41" fillId="0" borderId="0" xfId="0" applyFont="1" applyAlignment="1" applyProtection="1">
      <alignment vertical="top" wrapText="1"/>
      <protection locked="0"/>
    </xf>
    <xf numFmtId="0" fontId="41" fillId="0" borderId="0" xfId="0" applyFont="1"/>
    <xf numFmtId="0" fontId="18" fillId="0" borderId="0" xfId="1" applyFont="1" applyAlignment="1">
      <alignment wrapText="1"/>
    </xf>
    <xf numFmtId="0" fontId="18" fillId="0" borderId="0" xfId="1" applyFont="1" applyAlignment="1">
      <alignment vertical="top" wrapText="1"/>
    </xf>
    <xf numFmtId="0" fontId="61" fillId="0" borderId="95" xfId="1" applyFont="1" applyBorder="1" applyAlignment="1" applyProtection="1">
      <alignment vertical="top" wrapText="1"/>
      <protection locked="0"/>
    </xf>
    <xf numFmtId="0" fontId="63" fillId="0" borderId="0" xfId="0" applyFont="1"/>
    <xf numFmtId="0" fontId="18" fillId="0" borderId="0" xfId="1" applyFont="1" applyAlignment="1">
      <alignment horizontal="left"/>
    </xf>
    <xf numFmtId="0" fontId="18" fillId="0" borderId="95" xfId="1" applyFont="1" applyBorder="1" applyAlignment="1">
      <alignment horizontal="left"/>
    </xf>
    <xf numFmtId="0" fontId="18" fillId="0" borderId="2" xfId="1" applyFont="1" applyBorder="1" applyAlignment="1">
      <alignment horizontal="left"/>
    </xf>
    <xf numFmtId="0" fontId="18" fillId="0" borderId="98" xfId="1" applyFont="1" applyBorder="1" applyAlignment="1">
      <alignment horizontal="left"/>
    </xf>
    <xf numFmtId="0" fontId="63" fillId="0" borderId="0" xfId="1" applyFont="1" applyAlignment="1">
      <alignment horizontal="left"/>
    </xf>
    <xf numFmtId="0" fontId="18" fillId="0" borderId="0" xfId="1" applyFont="1"/>
    <xf numFmtId="0" fontId="44" fillId="0" borderId="0" xfId="0" applyFont="1"/>
    <xf numFmtId="0" fontId="64" fillId="0" borderId="99" xfId="1" applyFont="1" applyBorder="1" applyAlignment="1">
      <alignment horizontal="left"/>
    </xf>
    <xf numFmtId="0" fontId="43" fillId="0" borderId="100" xfId="1" applyFont="1" applyBorder="1" applyAlignment="1" applyProtection="1">
      <alignment horizontal="left" vertical="top"/>
      <protection locked="0"/>
    </xf>
    <xf numFmtId="0" fontId="18" fillId="0" borderId="0" xfId="84" applyFont="1" applyAlignment="1" applyProtection="1">
      <alignment vertical="top" wrapText="1"/>
      <protection locked="0"/>
    </xf>
    <xf numFmtId="0" fontId="18" fillId="0" borderId="0" xfId="84" applyFont="1"/>
    <xf numFmtId="0" fontId="18" fillId="0" borderId="0" xfId="84" applyFont="1" applyAlignment="1" applyProtection="1">
      <alignment horizontal="left" vertical="top" wrapText="1"/>
      <protection locked="0"/>
    </xf>
    <xf numFmtId="0" fontId="18" fillId="0" borderId="0" xfId="84" applyFont="1" applyAlignment="1" applyProtection="1">
      <alignment vertical="top"/>
      <protection locked="0"/>
    </xf>
    <xf numFmtId="0" fontId="18" fillId="0" borderId="0" xfId="84" applyFont="1" applyAlignment="1" applyProtection="1">
      <alignment horizontal="left" vertical="top"/>
      <protection locked="0"/>
    </xf>
    <xf numFmtId="0" fontId="43" fillId="0" borderId="0" xfId="1" applyFont="1" applyAlignment="1" applyProtection="1">
      <alignment horizontal="left" vertical="top"/>
      <protection locked="0"/>
    </xf>
    <xf numFmtId="0" fontId="44" fillId="0" borderId="0" xfId="1" applyFont="1"/>
    <xf numFmtId="0" fontId="43" fillId="0" borderId="101" xfId="1" applyFont="1" applyBorder="1" applyAlignment="1">
      <alignment horizontal="left"/>
    </xf>
    <xf numFmtId="0" fontId="69" fillId="0" borderId="102" xfId="1" applyFont="1" applyBorder="1" applyAlignment="1" applyProtection="1">
      <alignment horizontal="center" vertical="center" wrapText="1"/>
      <protection locked="0"/>
    </xf>
    <xf numFmtId="0" fontId="69" fillId="0" borderId="103" xfId="1" applyFont="1" applyBorder="1" applyAlignment="1" applyProtection="1">
      <alignment horizontal="center" vertical="center" wrapText="1"/>
      <protection locked="0"/>
    </xf>
    <xf numFmtId="0" fontId="69" fillId="0" borderId="104" xfId="1" applyFont="1" applyBorder="1" applyAlignment="1" applyProtection="1">
      <alignment horizontal="center" vertical="center" wrapText="1"/>
      <protection locked="0"/>
    </xf>
    <xf numFmtId="0" fontId="69" fillId="0" borderId="95" xfId="1" applyFont="1" applyBorder="1" applyAlignment="1" applyProtection="1">
      <alignment horizontal="center" vertical="center" wrapText="1"/>
      <protection locked="0"/>
    </xf>
    <xf numFmtId="0" fontId="69" fillId="0" borderId="105" xfId="1" applyFont="1" applyBorder="1" applyAlignment="1" applyProtection="1">
      <alignment horizontal="center" vertical="center" wrapText="1"/>
      <protection locked="0"/>
    </xf>
    <xf numFmtId="0" fontId="69" fillId="0" borderId="106" xfId="1" applyFont="1" applyBorder="1" applyAlignment="1" applyProtection="1">
      <alignment horizontal="center" vertical="center" wrapText="1"/>
      <protection locked="0"/>
    </xf>
    <xf numFmtId="0" fontId="20" fillId="0" borderId="0" xfId="0" applyFont="1" applyFill="1" applyAlignment="1">
      <alignment horizontal="center"/>
    </xf>
    <xf numFmtId="0" fontId="0" fillId="0" borderId="0" xfId="0" applyFill="1"/>
    <xf numFmtId="0" fontId="47" fillId="0" borderId="0" xfId="0" applyFont="1" applyFill="1"/>
    <xf numFmtId="0" fontId="39" fillId="0" borderId="0" xfId="1" applyFont="1" applyFill="1" applyAlignment="1" applyProtection="1">
      <alignment vertical="top" wrapText="1"/>
      <protection locked="0"/>
    </xf>
    <xf numFmtId="10" fontId="48" fillId="0" borderId="0" xfId="1" applyNumberFormat="1" applyFont="1" applyFill="1" applyAlignment="1">
      <alignment horizontal="left" wrapText="1"/>
    </xf>
    <xf numFmtId="0" fontId="48" fillId="0" borderId="0" xfId="1" applyFont="1" applyFill="1" applyAlignment="1">
      <alignment horizontal="left" vertical="center" wrapText="1"/>
    </xf>
    <xf numFmtId="10" fontId="44" fillId="0" borderId="0" xfId="1" applyNumberFormat="1" applyFont="1" applyFill="1" applyAlignment="1">
      <alignment horizontal="left" vertical="top" wrapText="1"/>
    </xf>
    <xf numFmtId="10" fontId="43" fillId="0" borderId="0" xfId="1" applyNumberFormat="1" applyFont="1" applyFill="1" applyAlignment="1">
      <alignment horizontal="left" vertical="top" wrapText="1"/>
    </xf>
    <xf numFmtId="0" fontId="20" fillId="0" borderId="0" xfId="0" applyFont="1" applyFill="1"/>
    <xf numFmtId="10" fontId="52" fillId="0" borderId="0" xfId="1" applyNumberFormat="1" applyFont="1" applyFill="1" applyAlignment="1">
      <alignment horizontal="left" wrapText="1"/>
    </xf>
    <xf numFmtId="10" fontId="53" fillId="0" borderId="0" xfId="1" applyNumberFormat="1" applyFont="1" applyFill="1" applyAlignment="1">
      <alignment horizontal="left" vertical="top" wrapText="1"/>
    </xf>
    <xf numFmtId="0" fontId="48" fillId="0" borderId="0" xfId="1" applyFont="1" applyFill="1" applyAlignment="1">
      <alignment horizontal="left" vertical="top" wrapText="1"/>
    </xf>
    <xf numFmtId="0" fontId="1" fillId="0" borderId="0" xfId="1" applyFont="1" applyFill="1" applyAlignment="1">
      <alignment horizontal="left" vertical="top" wrapText="1"/>
    </xf>
    <xf numFmtId="0" fontId="41" fillId="0" borderId="0" xfId="1" applyFont="1" applyFill="1" applyAlignment="1">
      <alignment horizontal="left" vertical="top"/>
    </xf>
    <xf numFmtId="0" fontId="41" fillId="0" borderId="0" xfId="1" applyFont="1" applyFill="1" applyAlignment="1">
      <alignment vertical="top"/>
    </xf>
    <xf numFmtId="0" fontId="62" fillId="0" borderId="0" xfId="0" applyFont="1" applyFill="1" applyAlignment="1" applyProtection="1">
      <alignment vertical="top" wrapText="1"/>
      <protection locked="0"/>
    </xf>
    <xf numFmtId="0" fontId="18" fillId="0" borderId="0" xfId="84" applyFont="1" applyFill="1" applyAlignment="1" applyProtection="1">
      <alignment horizontal="left" vertical="top" wrapText="1"/>
      <protection locked="0"/>
    </xf>
    <xf numFmtId="0" fontId="18" fillId="0" borderId="0" xfId="84" applyFont="1" applyFill="1" applyAlignment="1" applyProtection="1">
      <alignment vertical="top"/>
      <protection locked="0"/>
    </xf>
    <xf numFmtId="0" fontId="18" fillId="0" borderId="0" xfId="84" applyFont="1" applyFill="1" applyAlignment="1" applyProtection="1">
      <alignment horizontal="left" vertical="top"/>
      <protection locked="0"/>
    </xf>
    <xf numFmtId="0" fontId="18" fillId="0" borderId="0" xfId="84" applyFont="1" applyFill="1"/>
    <xf numFmtId="0" fontId="64" fillId="0" borderId="0" xfId="84" applyFont="1" applyFill="1" applyAlignment="1">
      <alignment vertical="top" wrapText="1"/>
    </xf>
    <xf numFmtId="0" fontId="61" fillId="0" borderId="0" xfId="84" applyFont="1" applyFill="1" applyAlignment="1">
      <alignment vertical="top"/>
    </xf>
    <xf numFmtId="0" fontId="66" fillId="0" borderId="0" xfId="1" applyFont="1" applyFill="1" applyAlignment="1">
      <alignment horizontal="left"/>
    </xf>
    <xf numFmtId="0" fontId="18" fillId="0" borderId="0" xfId="84" applyFont="1" applyFill="1" applyAlignment="1">
      <alignment vertical="top" wrapText="1"/>
    </xf>
    <xf numFmtId="0" fontId="18" fillId="0" borderId="95" xfId="84" applyFont="1" applyFill="1" applyBorder="1" applyAlignment="1">
      <alignment vertical="top" wrapText="1"/>
    </xf>
    <xf numFmtId="0" fontId="18" fillId="0" borderId="0" xfId="84" applyFont="1" applyFill="1" applyAlignment="1" applyProtection="1">
      <alignment vertical="top" wrapText="1"/>
      <protection locked="0"/>
    </xf>
    <xf numFmtId="0" fontId="18" fillId="0" borderId="0" xfId="84" applyFont="1" applyFill="1" applyAlignment="1">
      <alignment wrapText="1"/>
    </xf>
    <xf numFmtId="0" fontId="18" fillId="0" borderId="95" xfId="84" applyFont="1" applyFill="1" applyBorder="1" applyAlignment="1">
      <alignment wrapText="1"/>
    </xf>
    <xf numFmtId="0" fontId="18" fillId="0" borderId="95" xfId="84" applyFont="1" applyFill="1" applyBorder="1" applyAlignment="1" applyProtection="1">
      <alignment vertical="top" wrapText="1"/>
      <protection locked="0"/>
    </xf>
    <xf numFmtId="0" fontId="67" fillId="0" borderId="0" xfId="0" applyFont="1" applyFill="1"/>
    <xf numFmtId="0" fontId="18" fillId="0" borderId="2" xfId="84" applyFont="1" applyFill="1" applyBorder="1" applyAlignment="1" applyProtection="1">
      <alignment vertical="top" wrapText="1"/>
      <protection locked="0"/>
    </xf>
    <xf numFmtId="0" fontId="68" fillId="0" borderId="0" xfId="84" applyFont="1" applyFill="1" applyAlignment="1" applyProtection="1">
      <alignment vertical="top" wrapText="1"/>
      <protection locked="0"/>
    </xf>
    <xf numFmtId="0" fontId="66" fillId="0" borderId="2" xfId="1" applyFont="1" applyFill="1" applyBorder="1" applyAlignment="1">
      <alignment horizontal="left"/>
    </xf>
    <xf numFmtId="0" fontId="38" fillId="0" borderId="41" xfId="0" applyFont="1" applyFill="1" applyBorder="1" applyAlignment="1" applyProtection="1">
      <alignment horizontal="center" vertical="top" wrapText="1"/>
    </xf>
    <xf numFmtId="0" fontId="38" fillId="20" borderId="41" xfId="0" applyFont="1" applyFill="1" applyBorder="1" applyAlignment="1">
      <alignment horizontal="center" vertical="top" wrapText="1"/>
    </xf>
    <xf numFmtId="0" fontId="38" fillId="5" borderId="107" xfId="0" applyFont="1" applyFill="1" applyBorder="1" applyAlignment="1">
      <alignment horizontal="center" vertical="top" wrapText="1"/>
    </xf>
    <xf numFmtId="0" fontId="35" fillId="5" borderId="34" xfId="0" applyFont="1" applyFill="1" applyBorder="1" applyAlignment="1">
      <alignment vertical="top" wrapText="1"/>
    </xf>
    <xf numFmtId="0" fontId="38" fillId="5" borderId="31" xfId="0" applyFont="1" applyFill="1" applyBorder="1" applyAlignment="1" applyProtection="1">
      <alignment horizontal="center" vertical="center" wrapText="1"/>
    </xf>
    <xf numFmtId="0" fontId="28" fillId="4" borderId="1" xfId="1" applyFont="1" applyFill="1" applyBorder="1" applyAlignment="1" applyProtection="1">
      <alignment horizontal="center" vertical="top"/>
    </xf>
    <xf numFmtId="0" fontId="28" fillId="4" borderId="0" xfId="1" applyFont="1" applyFill="1" applyBorder="1" applyAlignment="1" applyProtection="1">
      <alignment horizontal="center" vertical="top"/>
    </xf>
    <xf numFmtId="0" fontId="28" fillId="4" borderId="2" xfId="1" applyFont="1" applyFill="1" applyBorder="1" applyAlignment="1" applyProtection="1">
      <alignment horizontal="center" vertical="top"/>
    </xf>
    <xf numFmtId="0" fontId="38" fillId="0" borderId="34" xfId="0" applyFont="1" applyBorder="1" applyAlignment="1" applyProtection="1">
      <alignment horizontal="center" vertical="top" wrapText="1"/>
      <protection locked="0"/>
    </xf>
    <xf numFmtId="0" fontId="0" fillId="20" borderId="0" xfId="0" applyFill="1"/>
    <xf numFmtId="0" fontId="22" fillId="0" borderId="34" xfId="0" applyFont="1" applyBorder="1" applyAlignment="1">
      <alignment horizontal="center" vertical="top" wrapText="1"/>
    </xf>
    <xf numFmtId="0" fontId="22" fillId="20" borderId="38" xfId="0" applyFont="1" applyFill="1" applyBorder="1" applyAlignment="1">
      <alignment horizontal="center" vertical="top" wrapText="1"/>
    </xf>
    <xf numFmtId="0" fontId="38" fillId="20" borderId="0" xfId="0" applyFont="1" applyFill="1" applyBorder="1" applyAlignment="1">
      <alignment vertical="top" wrapText="1"/>
    </xf>
    <xf numFmtId="0" fontId="35" fillId="20" borderId="0" xfId="0" applyFont="1" applyFill="1" applyBorder="1" applyAlignment="1">
      <alignment vertical="top" wrapText="1"/>
    </xf>
    <xf numFmtId="0" fontId="35" fillId="20" borderId="78" xfId="58" applyFont="1" applyFill="1" applyBorder="1" applyAlignment="1" applyProtection="1">
      <alignment vertical="center" wrapText="1"/>
      <protection locked="0"/>
    </xf>
    <xf numFmtId="0" fontId="35" fillId="0" borderId="78" xfId="58" applyFont="1" applyFill="1" applyBorder="1" applyAlignment="1" applyProtection="1">
      <alignment horizontal="center" vertical="center" wrapText="1"/>
      <protection locked="0"/>
    </xf>
    <xf numFmtId="0" fontId="38" fillId="0" borderId="34" xfId="0" applyFont="1" applyBorder="1" applyAlignment="1">
      <alignment horizontal="center" vertical="top" wrapText="1"/>
    </xf>
    <xf numFmtId="0" fontId="22" fillId="0" borderId="34" xfId="0" applyFont="1" applyBorder="1" applyAlignment="1">
      <alignment horizontal="center" vertical="top" wrapText="1"/>
    </xf>
    <xf numFmtId="0" fontId="22" fillId="0" borderId="0" xfId="0" applyFont="1" applyBorder="1" applyAlignment="1">
      <alignment horizontal="center" vertical="top" wrapText="1"/>
    </xf>
    <xf numFmtId="0" fontId="38" fillId="5" borderId="107" xfId="0" applyFont="1" applyFill="1" applyBorder="1" applyAlignment="1">
      <alignment horizontal="center" vertical="top" wrapText="1"/>
    </xf>
    <xf numFmtId="0" fontId="35" fillId="2" borderId="20" xfId="0" applyFont="1" applyFill="1" applyBorder="1" applyAlignment="1" applyProtection="1">
      <alignment horizontal="center" vertical="center" wrapText="1"/>
      <protection locked="0"/>
    </xf>
    <xf numFmtId="0" fontId="38" fillId="0" borderId="113" xfId="0" applyFont="1" applyBorder="1" applyAlignment="1" applyProtection="1">
      <alignment horizontal="left" vertical="top" wrapText="1"/>
      <protection locked="0"/>
    </xf>
    <xf numFmtId="0" fontId="38" fillId="0" borderId="114" xfId="0" applyFont="1" applyBorder="1" applyAlignment="1" applyProtection="1">
      <alignment horizontal="left" vertical="top" wrapText="1"/>
      <protection locked="0"/>
    </xf>
    <xf numFmtId="0" fontId="38" fillId="20" borderId="113" xfId="0" applyFont="1" applyFill="1" applyBorder="1" applyAlignment="1" applyProtection="1">
      <alignment horizontal="left" vertical="top" wrapText="1"/>
      <protection locked="0"/>
    </xf>
    <xf numFmtId="0" fontId="38" fillId="0" borderId="0" xfId="0" applyFont="1" applyFill="1" applyBorder="1" applyAlignment="1" applyProtection="1">
      <alignment horizontal="left" vertical="top" wrapText="1"/>
    </xf>
    <xf numFmtId="0" fontId="38" fillId="20" borderId="0" xfId="0" applyFont="1" applyFill="1" applyBorder="1" applyAlignment="1" applyProtection="1">
      <alignment horizontal="left" vertical="top" wrapText="1"/>
    </xf>
    <xf numFmtId="0" fontId="38" fillId="20" borderId="41" xfId="0" applyFont="1" applyFill="1" applyBorder="1" applyAlignment="1" applyProtection="1">
      <alignment horizontal="center" vertical="top" wrapText="1"/>
    </xf>
    <xf numFmtId="0" fontId="38" fillId="20" borderId="113" xfId="84" applyFont="1" applyFill="1" applyBorder="1" applyAlignment="1">
      <alignment vertical="top" wrapText="1"/>
    </xf>
    <xf numFmtId="0" fontId="38" fillId="20" borderId="0" xfId="84" applyFont="1" applyFill="1" applyBorder="1" applyAlignment="1">
      <alignment vertical="top" wrapText="1"/>
    </xf>
    <xf numFmtId="0" fontId="38" fillId="20" borderId="87" xfId="84" applyFont="1" applyFill="1" applyBorder="1" applyAlignment="1">
      <alignment horizontal="center" vertical="top" wrapText="1"/>
    </xf>
    <xf numFmtId="0" fontId="38" fillId="0" borderId="0" xfId="0" applyFont="1" applyFill="1" applyBorder="1" applyAlignment="1">
      <alignment horizontal="center" vertical="top" wrapText="1"/>
    </xf>
    <xf numFmtId="0" fontId="35" fillId="0" borderId="0" xfId="0" applyFont="1" applyFill="1" applyBorder="1" applyAlignment="1">
      <alignment horizontal="left" vertical="top" wrapText="1"/>
    </xf>
    <xf numFmtId="0" fontId="22" fillId="0" borderId="92" xfId="0" applyFont="1" applyBorder="1" applyAlignment="1">
      <alignment vertical="center" wrapText="1"/>
    </xf>
    <xf numFmtId="0" fontId="22" fillId="0" borderId="44" xfId="0" applyFont="1" applyBorder="1" applyAlignment="1">
      <alignment vertical="center" wrapText="1"/>
    </xf>
    <xf numFmtId="0" fontId="38" fillId="0" borderId="87" xfId="84" applyFont="1" applyFill="1" applyBorder="1" applyAlignment="1">
      <alignment horizontal="center" vertical="top" wrapText="1"/>
    </xf>
    <xf numFmtId="0" fontId="38" fillId="0" borderId="92" xfId="84" applyFont="1" applyFill="1" applyBorder="1" applyAlignment="1">
      <alignment horizontal="center" vertical="top" wrapText="1"/>
    </xf>
    <xf numFmtId="0" fontId="38" fillId="20" borderId="92" xfId="84" applyFont="1" applyFill="1" applyBorder="1" applyAlignment="1">
      <alignment horizontal="center" vertical="top" wrapText="1"/>
    </xf>
    <xf numFmtId="0" fontId="18" fillId="0" borderId="129" xfId="84" applyFont="1" applyBorder="1" applyAlignment="1" applyProtection="1">
      <alignment vertical="top" wrapText="1"/>
      <protection locked="0"/>
    </xf>
    <xf numFmtId="0" fontId="18" fillId="0" borderId="127" xfId="84" applyFont="1" applyBorder="1" applyAlignment="1" applyProtection="1">
      <alignment vertical="top" wrapText="1"/>
      <protection locked="0"/>
    </xf>
    <xf numFmtId="0" fontId="18" fillId="0" borderId="128" xfId="84" applyFont="1" applyBorder="1" applyAlignment="1" applyProtection="1">
      <alignment vertical="top" wrapText="1"/>
      <protection locked="0"/>
    </xf>
    <xf numFmtId="0" fontId="56" fillId="2" borderId="130" xfId="84" applyFont="1" applyFill="1" applyBorder="1" applyAlignment="1" applyProtection="1">
      <alignment horizontal="center" vertical="top" wrapText="1"/>
      <protection locked="0"/>
    </xf>
    <xf numFmtId="0" fontId="38" fillId="42" borderId="25" xfId="0" applyFont="1" applyFill="1" applyBorder="1" applyAlignment="1" applyProtection="1">
      <alignment horizontal="center" vertical="top" wrapText="1"/>
    </xf>
    <xf numFmtId="0" fontId="38" fillId="42" borderId="0" xfId="0" applyFont="1" applyFill="1" applyBorder="1" applyAlignment="1" applyProtection="1">
      <alignment horizontal="left" vertical="top" wrapText="1"/>
    </xf>
    <xf numFmtId="0" fontId="38" fillId="42" borderId="0" xfId="0" applyFont="1" applyFill="1" applyBorder="1" applyAlignment="1" applyProtection="1">
      <alignment horizontal="left" vertical="top" wrapText="1"/>
    </xf>
    <xf numFmtId="0" fontId="38" fillId="42" borderId="0" xfId="0" applyFont="1" applyFill="1" applyBorder="1" applyAlignment="1">
      <alignment horizontal="center" vertical="top" wrapText="1"/>
    </xf>
    <xf numFmtId="0" fontId="61" fillId="0" borderId="0" xfId="84" applyFont="1" applyAlignment="1">
      <alignment vertical="top"/>
    </xf>
    <xf numFmtId="0" fontId="18" fillId="0" borderId="0" xfId="84" applyFont="1" applyAlignment="1">
      <alignment vertical="top"/>
    </xf>
    <xf numFmtId="0" fontId="0" fillId="20" borderId="134" xfId="0" applyFill="1" applyBorder="1"/>
    <xf numFmtId="0" fontId="35" fillId="20" borderId="37" xfId="0" applyFont="1" applyFill="1" applyBorder="1" applyAlignment="1">
      <alignment horizontal="right" vertical="top" wrapText="1"/>
    </xf>
    <xf numFmtId="0" fontId="38" fillId="20" borderId="38" xfId="0" applyFont="1" applyFill="1" applyBorder="1" applyAlignment="1">
      <alignment horizontal="left" vertical="top" wrapText="1"/>
    </xf>
    <xf numFmtId="0" fontId="35" fillId="20" borderId="38" xfId="0" applyFont="1" applyFill="1" applyBorder="1" applyAlignment="1">
      <alignment horizontal="left" vertical="top" wrapText="1"/>
    </xf>
    <xf numFmtId="0" fontId="38" fillId="20" borderId="38" xfId="0" applyFont="1" applyFill="1" applyBorder="1" applyAlignment="1">
      <alignment horizontal="center" vertical="top" wrapText="1"/>
    </xf>
    <xf numFmtId="0" fontId="38" fillId="20" borderId="138" xfId="0" applyFont="1" applyFill="1" applyBorder="1" applyAlignment="1">
      <alignment horizontal="center" vertical="top" wrapText="1"/>
    </xf>
    <xf numFmtId="0" fontId="38" fillId="20" borderId="38" xfId="0" applyFont="1" applyFill="1" applyBorder="1" applyAlignment="1" applyProtection="1">
      <alignment vertical="top" wrapText="1"/>
      <protection locked="0"/>
    </xf>
    <xf numFmtId="0" fontId="38" fillId="20" borderId="38" xfId="0" applyFont="1" applyFill="1" applyBorder="1" applyAlignment="1" applyProtection="1">
      <alignment horizontal="center" vertical="top" wrapText="1"/>
      <protection locked="0"/>
    </xf>
    <xf numFmtId="0" fontId="38" fillId="20" borderId="141" xfId="0" applyFont="1" applyFill="1" applyBorder="1" applyAlignment="1" applyProtection="1">
      <alignment vertical="top" wrapText="1"/>
      <protection locked="0"/>
    </xf>
    <xf numFmtId="0" fontId="38" fillId="20" borderId="39" xfId="0" applyFont="1" applyFill="1" applyBorder="1" applyAlignment="1" applyProtection="1">
      <alignment vertical="top" wrapText="1"/>
      <protection locked="0"/>
    </xf>
    <xf numFmtId="0" fontId="38" fillId="20" borderId="143" xfId="0" applyFont="1" applyFill="1" applyBorder="1" applyAlignment="1" applyProtection="1">
      <alignment vertical="top" wrapText="1"/>
      <protection locked="0"/>
    </xf>
    <xf numFmtId="0" fontId="38" fillId="2" borderId="37" xfId="0" applyFont="1" applyFill="1" applyBorder="1" applyAlignment="1" applyProtection="1">
      <alignment vertical="top" wrapText="1"/>
      <protection locked="0"/>
    </xf>
    <xf numFmtId="0" fontId="22" fillId="20" borderId="0" xfId="0" applyFont="1" applyFill="1" applyBorder="1" applyAlignment="1">
      <alignment horizontal="center" vertical="top" wrapText="1"/>
    </xf>
    <xf numFmtId="0" fontId="38" fillId="20" borderId="38" xfId="0" applyFont="1" applyFill="1" applyBorder="1" applyAlignment="1">
      <alignment vertical="top" wrapText="1"/>
    </xf>
    <xf numFmtId="0" fontId="35" fillId="20" borderId="38" xfId="0" applyFont="1" applyFill="1" applyBorder="1" applyAlignment="1">
      <alignment vertical="top" wrapText="1"/>
    </xf>
    <xf numFmtId="0" fontId="38" fillId="20" borderId="134" xfId="0" applyFont="1" applyFill="1" applyBorder="1" applyAlignment="1" applyProtection="1">
      <alignment horizontal="left" vertical="top" wrapText="1"/>
      <protection locked="0"/>
    </xf>
    <xf numFmtId="0" fontId="35" fillId="20" borderId="84" xfId="58" applyFont="1" applyFill="1" applyBorder="1" applyAlignment="1" applyProtection="1">
      <alignment vertical="center" wrapText="1"/>
      <protection locked="0"/>
    </xf>
    <xf numFmtId="0" fontId="38" fillId="0" borderId="118" xfId="0" applyFont="1" applyBorder="1" applyAlignment="1" applyProtection="1">
      <alignment horizontal="left" vertical="top" wrapText="1"/>
      <protection locked="0"/>
    </xf>
    <xf numFmtId="0" fontId="38" fillId="20" borderId="134" xfId="84" applyFont="1" applyFill="1" applyBorder="1" applyAlignment="1">
      <alignment vertical="top" wrapText="1"/>
    </xf>
    <xf numFmtId="0" fontId="38" fillId="2" borderId="38" xfId="0" applyFont="1" applyFill="1" applyBorder="1" applyAlignment="1" applyProtection="1">
      <alignment vertical="top" wrapText="1"/>
      <protection locked="0"/>
    </xf>
    <xf numFmtId="0" fontId="22" fillId="0" borderId="148" xfId="0" applyFont="1" applyBorder="1" applyAlignment="1">
      <alignment vertical="top" wrapText="1"/>
    </xf>
    <xf numFmtId="0" fontId="38" fillId="0" borderId="34" xfId="0" applyFont="1" applyFill="1" applyBorder="1" applyAlignment="1" applyProtection="1">
      <alignment horizontal="center" vertical="top" wrapText="1"/>
      <protection locked="0"/>
    </xf>
    <xf numFmtId="0" fontId="35" fillId="0" borderId="33" xfId="0" applyFont="1" applyFill="1" applyBorder="1" applyAlignment="1">
      <alignment horizontal="right" vertical="top" wrapText="1"/>
    </xf>
    <xf numFmtId="0" fontId="35" fillId="0" borderId="34" xfId="0" applyFont="1" applyFill="1" applyBorder="1" applyAlignment="1">
      <alignment horizontal="left" vertical="top" wrapText="1"/>
    </xf>
    <xf numFmtId="0" fontId="38" fillId="42" borderId="34" xfId="0" applyFont="1" applyFill="1" applyBorder="1" applyAlignment="1" applyProtection="1">
      <alignment horizontal="left" vertical="top" wrapText="1"/>
    </xf>
    <xf numFmtId="0" fontId="38" fillId="0" borderId="34" xfId="0" applyFont="1" applyFill="1" applyBorder="1" applyAlignment="1">
      <alignment horizontal="center" vertical="top" wrapText="1"/>
    </xf>
    <xf numFmtId="0" fontId="22" fillId="0" borderId="34" xfId="0" applyFont="1" applyFill="1" applyBorder="1" applyAlignment="1">
      <alignment horizontal="center" vertical="top" wrapText="1"/>
    </xf>
    <xf numFmtId="0" fontId="35" fillId="0" borderId="27" xfId="0" applyFont="1" applyFill="1" applyBorder="1" applyAlignment="1">
      <alignment horizontal="right" vertical="top" wrapText="1"/>
    </xf>
    <xf numFmtId="0" fontId="22" fillId="0" borderId="0" xfId="0" applyFont="1" applyFill="1" applyBorder="1" applyAlignment="1">
      <alignment horizontal="center" vertical="top" wrapText="1"/>
    </xf>
    <xf numFmtId="0" fontId="35" fillId="0" borderId="37" xfId="0" applyFont="1" applyFill="1" applyBorder="1" applyAlignment="1">
      <alignment horizontal="right" vertical="top" wrapText="1"/>
    </xf>
    <xf numFmtId="0" fontId="38" fillId="42" borderId="145" xfId="0" applyFont="1" applyFill="1" applyBorder="1" applyAlignment="1" applyProtection="1">
      <alignment horizontal="center" vertical="top" wrapText="1"/>
    </xf>
    <xf numFmtId="0" fontId="38" fillId="42" borderId="38" xfId="0" applyFont="1" applyFill="1" applyBorder="1" applyAlignment="1" applyProtection="1">
      <alignment horizontal="left" vertical="top" wrapText="1"/>
    </xf>
    <xf numFmtId="0" fontId="38" fillId="0" borderId="38" xfId="0" applyFont="1" applyFill="1" applyBorder="1" applyAlignment="1">
      <alignment horizontal="center" vertical="top" wrapText="1"/>
    </xf>
    <xf numFmtId="0" fontId="22" fillId="0" borderId="38" xfId="0" applyFont="1" applyFill="1" applyBorder="1" applyAlignment="1">
      <alignment horizontal="center" vertical="top" wrapText="1"/>
    </xf>
    <xf numFmtId="0" fontId="38" fillId="0" borderId="134" xfId="0" applyFont="1" applyBorder="1" applyAlignment="1" applyProtection="1">
      <alignment horizontal="left" vertical="top" wrapText="1"/>
      <protection locked="0"/>
    </xf>
    <xf numFmtId="0" fontId="38" fillId="0" borderId="38" xfId="0" applyFont="1" applyFill="1" applyBorder="1" applyAlignment="1" applyProtection="1">
      <alignment vertical="top" wrapText="1"/>
      <protection locked="0"/>
    </xf>
    <xf numFmtId="0" fontId="38" fillId="0" borderId="38" xfId="0" applyFont="1" applyFill="1" applyBorder="1" applyAlignment="1" applyProtection="1">
      <alignment horizontal="center" vertical="top" wrapText="1"/>
      <protection locked="0"/>
    </xf>
    <xf numFmtId="0" fontId="38" fillId="0" borderId="34" xfId="0" applyFont="1" applyFill="1" applyBorder="1" applyAlignment="1" applyProtection="1">
      <alignment horizontal="left" vertical="top" wrapText="1"/>
    </xf>
    <xf numFmtId="0" fontId="38" fillId="0" borderId="132" xfId="84" applyFont="1" applyFill="1" applyBorder="1" applyAlignment="1">
      <alignment horizontal="center" vertical="top" wrapText="1"/>
    </xf>
    <xf numFmtId="0" fontId="38" fillId="0" borderId="34" xfId="84" applyFont="1" applyFill="1" applyBorder="1" applyAlignment="1">
      <alignment horizontal="center" vertical="top" wrapText="1"/>
    </xf>
    <xf numFmtId="0" fontId="22" fillId="42" borderId="0" xfId="0" applyFont="1" applyFill="1" applyBorder="1" applyAlignment="1">
      <alignment horizontal="center" vertical="top" wrapText="1"/>
    </xf>
    <xf numFmtId="0" fontId="38" fillId="20" borderId="38" xfId="0" applyFont="1" applyFill="1" applyBorder="1" applyAlignment="1" applyProtection="1">
      <alignment horizontal="left" vertical="top" wrapText="1"/>
    </xf>
    <xf numFmtId="0" fontId="38" fillId="20" borderId="38" xfId="84" applyFont="1" applyFill="1" applyBorder="1" applyAlignment="1">
      <alignment vertical="top" wrapText="1"/>
    </xf>
    <xf numFmtId="0" fontId="35" fillId="5" borderId="30" xfId="0" applyFont="1" applyFill="1" applyBorder="1" applyAlignment="1">
      <alignment horizontal="right" vertical="top" wrapText="1"/>
    </xf>
    <xf numFmtId="0" fontId="35" fillId="5" borderId="31" xfId="0" applyFont="1" applyFill="1" applyBorder="1" applyAlignment="1">
      <alignment vertical="top" wrapText="1"/>
    </xf>
    <xf numFmtId="0" fontId="38" fillId="42" borderId="31" xfId="0" applyFont="1" applyFill="1" applyBorder="1" applyAlignment="1">
      <alignment vertical="top" wrapText="1"/>
    </xf>
    <xf numFmtId="0" fontId="38" fillId="0" borderId="31" xfId="0" applyFont="1" applyBorder="1" applyAlignment="1">
      <alignment horizontal="center" vertical="top" wrapText="1"/>
    </xf>
    <xf numFmtId="0" fontId="22" fillId="0" borderId="31" xfId="0" applyFont="1" applyBorder="1" applyAlignment="1">
      <alignment horizontal="center" vertical="top" wrapText="1"/>
    </xf>
    <xf numFmtId="0" fontId="38" fillId="5" borderId="150" xfId="0" applyFont="1" applyFill="1" applyBorder="1" applyAlignment="1">
      <alignment horizontal="center" vertical="top" wrapText="1"/>
    </xf>
    <xf numFmtId="0" fontId="22" fillId="0" borderId="151" xfId="0" applyFont="1" applyBorder="1" applyAlignment="1">
      <alignment horizontal="center" vertical="center" wrapText="1"/>
    </xf>
    <xf numFmtId="0" fontId="38" fillId="0" borderId="31" xfId="0" applyFont="1" applyFill="1" applyBorder="1" applyAlignment="1" applyProtection="1">
      <alignment vertical="top" wrapText="1"/>
      <protection locked="0"/>
    </xf>
    <xf numFmtId="0" fontId="38" fillId="0" borderId="31" xfId="0" applyFont="1" applyBorder="1" applyAlignment="1" applyProtection="1">
      <alignment vertical="top" wrapText="1"/>
      <protection locked="0"/>
    </xf>
    <xf numFmtId="0" fontId="38" fillId="0" borderId="142" xfId="0" applyFont="1" applyBorder="1" applyAlignment="1" applyProtection="1">
      <alignment vertical="top" wrapText="1"/>
      <protection locked="0"/>
    </xf>
    <xf numFmtId="0" fontId="38" fillId="0" borderId="153" xfId="0" applyFont="1" applyFill="1" applyBorder="1" applyAlignment="1" applyProtection="1">
      <alignment vertical="top" wrapText="1"/>
      <protection locked="0"/>
    </xf>
    <xf numFmtId="0" fontId="38" fillId="2" borderId="30" xfId="0" applyFont="1" applyFill="1" applyBorder="1" applyAlignment="1" applyProtection="1">
      <alignment vertical="top" wrapText="1"/>
      <protection locked="0"/>
    </xf>
    <xf numFmtId="0" fontId="35" fillId="0" borderId="30" xfId="0" applyFont="1" applyFill="1" applyBorder="1" applyAlignment="1">
      <alignment horizontal="right" vertical="top" wrapText="1"/>
    </xf>
    <xf numFmtId="0" fontId="35" fillId="0" borderId="31" xfId="0" applyFont="1" applyFill="1" applyBorder="1" applyAlignment="1">
      <alignment horizontal="left" vertical="top" wrapText="1"/>
    </xf>
    <xf numFmtId="0" fontId="38" fillId="42" borderId="32" xfId="0" applyFont="1" applyFill="1" applyBorder="1" applyAlignment="1" applyProtection="1">
      <alignment horizontal="center" vertical="top" wrapText="1"/>
    </xf>
    <xf numFmtId="0" fontId="38" fillId="42" borderId="31" xfId="0" applyFont="1" applyFill="1" applyBorder="1" applyAlignment="1" applyProtection="1">
      <alignment horizontal="left" vertical="top" wrapText="1"/>
    </xf>
    <xf numFmtId="0" fontId="38" fillId="0" borderId="31" xfId="0" applyFont="1" applyFill="1" applyBorder="1" applyAlignment="1" applyProtection="1">
      <alignment horizontal="left" vertical="top" wrapText="1"/>
    </xf>
    <xf numFmtId="0" fontId="38" fillId="0" borderId="31" xfId="84" applyFont="1" applyFill="1" applyBorder="1" applyAlignment="1">
      <alignment vertical="top" wrapText="1"/>
    </xf>
    <xf numFmtId="0" fontId="38" fillId="0" borderId="31" xfId="0" applyFont="1" applyFill="1" applyBorder="1" applyAlignment="1" applyProtection="1">
      <alignment horizontal="center" vertical="top" wrapText="1"/>
      <protection locked="0"/>
    </xf>
    <xf numFmtId="0" fontId="38" fillId="0" borderId="38" xfId="0" applyFont="1" applyFill="1" applyBorder="1" applyAlignment="1">
      <alignment horizontal="left" vertical="top" wrapText="1"/>
    </xf>
    <xf numFmtId="0" fontId="38" fillId="0" borderId="38" xfId="0" applyFont="1" applyFill="1" applyBorder="1" applyAlignment="1" applyProtection="1">
      <alignment horizontal="left" vertical="top" wrapText="1"/>
    </xf>
    <xf numFmtId="0" fontId="38" fillId="0" borderId="107" xfId="0" applyFont="1" applyFill="1" applyBorder="1" applyAlignment="1" applyProtection="1">
      <alignment horizontal="center" vertical="top" wrapText="1"/>
    </xf>
    <xf numFmtId="0" fontId="38" fillId="0" borderId="138" xfId="0" applyFont="1" applyFill="1" applyBorder="1" applyAlignment="1" applyProtection="1">
      <alignment horizontal="center" vertical="top" wrapText="1"/>
    </xf>
    <xf numFmtId="0" fontId="38" fillId="42" borderId="41" xfId="0" applyFont="1" applyFill="1" applyBorder="1" applyAlignment="1" applyProtection="1">
      <alignment horizontal="center" vertical="top" wrapText="1"/>
    </xf>
    <xf numFmtId="0" fontId="38" fillId="20" borderId="138" xfId="0" applyFont="1" applyFill="1" applyBorder="1" applyAlignment="1" applyProtection="1">
      <alignment horizontal="center" vertical="top" wrapText="1"/>
    </xf>
    <xf numFmtId="0" fontId="33" fillId="0" borderId="155" xfId="0" applyFont="1" applyFill="1" applyBorder="1" applyAlignment="1" applyProtection="1">
      <alignment vertical="top" wrapText="1"/>
    </xf>
    <xf numFmtId="0" fontId="0" fillId="20" borderId="84" xfId="0" applyFill="1" applyBorder="1"/>
    <xf numFmtId="0" fontId="35" fillId="20" borderId="78" xfId="58" applyFont="1" applyFill="1" applyBorder="1" applyAlignment="1" applyProtection="1">
      <alignment horizontal="center" vertical="center" wrapText="1"/>
      <protection locked="0"/>
    </xf>
    <xf numFmtId="0" fontId="35" fillId="20" borderId="84" xfId="58" applyFont="1" applyFill="1" applyBorder="1" applyAlignment="1" applyProtection="1">
      <alignment horizontal="center" vertical="center" wrapText="1"/>
      <protection locked="0"/>
    </xf>
    <xf numFmtId="0" fontId="38" fillId="0" borderId="143" xfId="0" applyFont="1" applyFill="1" applyBorder="1" applyAlignment="1" applyProtection="1">
      <alignment vertical="top" wrapText="1"/>
      <protection locked="0"/>
    </xf>
    <xf numFmtId="0" fontId="38" fillId="0" borderId="157" xfId="0" applyFont="1" applyBorder="1" applyAlignment="1" applyProtection="1">
      <alignment vertical="top" wrapText="1"/>
      <protection locked="0"/>
    </xf>
    <xf numFmtId="0" fontId="38" fillId="0" borderId="93" xfId="0" applyFont="1" applyBorder="1" applyAlignment="1" applyProtection="1">
      <alignment vertical="top" wrapText="1"/>
      <protection locked="0"/>
    </xf>
    <xf numFmtId="0" fontId="22" fillId="20" borderId="28" xfId="0" applyFont="1" applyFill="1" applyBorder="1" applyAlignment="1" applyProtection="1">
      <alignment horizontal="center" vertical="center"/>
      <protection locked="0"/>
    </xf>
    <xf numFmtId="0" fontId="38" fillId="0" borderId="157" xfId="0" applyFont="1" applyFill="1" applyBorder="1" applyAlignment="1" applyProtection="1">
      <alignment vertical="top" wrapText="1"/>
      <protection locked="0"/>
    </xf>
    <xf numFmtId="0" fontId="38" fillId="0" borderId="35" xfId="0" applyFont="1" applyFill="1" applyBorder="1" applyAlignment="1" applyProtection="1">
      <alignment vertical="top" wrapText="1"/>
      <protection locked="0"/>
    </xf>
    <xf numFmtId="0" fontId="38" fillId="0" borderId="93" xfId="0" applyFont="1" applyFill="1" applyBorder="1" applyAlignment="1" applyProtection="1">
      <alignment vertical="top" wrapText="1"/>
      <protection locked="0"/>
    </xf>
    <xf numFmtId="0" fontId="38" fillId="0" borderId="28" xfId="0" applyFont="1" applyFill="1" applyBorder="1" applyAlignment="1" applyProtection="1">
      <alignment vertical="top" wrapText="1"/>
      <protection locked="0"/>
    </xf>
    <xf numFmtId="0" fontId="35" fillId="34" borderId="93" xfId="0" applyFont="1" applyFill="1" applyBorder="1" applyAlignment="1" applyProtection="1">
      <alignment horizontal="center" vertical="center" wrapText="1"/>
      <protection locked="0"/>
    </xf>
    <xf numFmtId="0" fontId="38" fillId="0" borderId="141" xfId="0" applyFont="1" applyFill="1" applyBorder="1" applyAlignment="1" applyProtection="1">
      <alignment vertical="top" wrapText="1"/>
      <protection locked="0"/>
    </xf>
    <xf numFmtId="0" fontId="38" fillId="0" borderId="39" xfId="0" applyFont="1" applyFill="1" applyBorder="1" applyAlignment="1" applyProtection="1">
      <alignment vertical="top" wrapText="1"/>
      <protection locked="0"/>
    </xf>
    <xf numFmtId="0" fontId="38" fillId="0" borderId="158" xfId="0" applyFont="1" applyBorder="1" applyAlignment="1" applyProtection="1">
      <alignment vertical="top" wrapText="1"/>
      <protection locked="0"/>
    </xf>
    <xf numFmtId="0" fontId="38" fillId="0" borderId="158" xfId="0" applyFont="1" applyFill="1" applyBorder="1" applyAlignment="1" applyProtection="1">
      <alignment vertical="top" wrapText="1"/>
      <protection locked="0"/>
    </xf>
    <xf numFmtId="0" fontId="38" fillId="0" borderId="142" xfId="0" applyFont="1" applyFill="1" applyBorder="1" applyAlignment="1" applyProtection="1">
      <alignment vertical="top" wrapText="1"/>
      <protection locked="0"/>
    </xf>
    <xf numFmtId="0" fontId="36" fillId="4" borderId="16" xfId="0" applyFont="1" applyFill="1" applyBorder="1" applyAlignment="1" applyProtection="1">
      <alignment horizontal="center" vertical="center" wrapText="1"/>
      <protection locked="0"/>
    </xf>
    <xf numFmtId="0" fontId="27" fillId="0" borderId="142" xfId="0" applyFont="1" applyBorder="1" applyAlignment="1" applyProtection="1">
      <alignment horizontal="center" vertical="center"/>
      <protection locked="0"/>
    </xf>
    <xf numFmtId="0" fontId="27" fillId="0" borderId="35" xfId="0" applyFont="1" applyBorder="1" applyAlignment="1" applyProtection="1">
      <alignment horizontal="center" vertical="center"/>
      <protection locked="0"/>
    </xf>
    <xf numFmtId="0" fontId="22" fillId="0" borderId="133" xfId="0" applyFont="1" applyFill="1" applyBorder="1" applyAlignment="1" applyProtection="1">
      <alignment vertical="top" wrapText="1"/>
    </xf>
    <xf numFmtId="0" fontId="38" fillId="0" borderId="133" xfId="84" applyFont="1" applyBorder="1" applyAlignment="1">
      <alignment vertical="top"/>
    </xf>
    <xf numFmtId="0" fontId="22" fillId="0" borderId="92" xfId="84" applyFont="1" applyBorder="1" applyAlignment="1">
      <alignment vertical="top"/>
    </xf>
    <xf numFmtId="0" fontId="22" fillId="0" borderId="92" xfId="84" applyFont="1" applyBorder="1" applyAlignment="1">
      <alignment vertical="top" wrapText="1"/>
    </xf>
    <xf numFmtId="0" fontId="22" fillId="0" borderId="44" xfId="84" applyFont="1" applyBorder="1" applyAlignment="1">
      <alignment vertical="top"/>
    </xf>
    <xf numFmtId="0" fontId="33" fillId="0" borderId="34" xfId="0" applyFont="1" applyFill="1" applyBorder="1" applyAlignment="1" applyProtection="1">
      <alignment vertical="top" wrapText="1"/>
    </xf>
    <xf numFmtId="0" fontId="38" fillId="20" borderId="159" xfId="84" applyFont="1" applyFill="1" applyBorder="1" applyAlignment="1">
      <alignment vertical="top" wrapText="1"/>
    </xf>
    <xf numFmtId="0" fontId="38" fillId="20" borderId="160" xfId="84" applyFont="1" applyFill="1" applyBorder="1" applyAlignment="1">
      <alignment vertical="top" wrapText="1"/>
    </xf>
    <xf numFmtId="0" fontId="22" fillId="0" borderId="133" xfId="0" applyFont="1" applyBorder="1" applyAlignment="1">
      <alignment vertical="top" wrapText="1"/>
    </xf>
    <xf numFmtId="0" fontId="38" fillId="0" borderId="34" xfId="84" applyFont="1" applyFill="1" applyBorder="1" applyAlignment="1">
      <alignment vertical="top" wrapText="1"/>
    </xf>
    <xf numFmtId="0" fontId="38" fillId="42" borderId="0" xfId="84" applyFont="1" applyFill="1" applyBorder="1" applyAlignment="1">
      <alignment vertical="top" wrapText="1"/>
    </xf>
    <xf numFmtId="0" fontId="38" fillId="0" borderId="133" xfId="84" applyFont="1" applyFill="1" applyBorder="1" applyAlignment="1">
      <alignment vertical="top" wrapText="1"/>
    </xf>
    <xf numFmtId="0" fontId="38" fillId="0" borderId="92" xfId="84" applyFont="1" applyFill="1" applyBorder="1" applyAlignment="1">
      <alignment vertical="top" wrapText="1"/>
    </xf>
    <xf numFmtId="0" fontId="38" fillId="0" borderId="110" xfId="84" applyFont="1" applyFill="1" applyBorder="1" applyAlignment="1">
      <alignment vertical="top" wrapText="1"/>
    </xf>
    <xf numFmtId="0" fontId="36" fillId="4" borderId="161" xfId="0" applyFont="1" applyFill="1" applyBorder="1" applyAlignment="1" applyProtection="1">
      <alignment horizontal="center" vertical="center" wrapText="1"/>
      <protection locked="0"/>
    </xf>
    <xf numFmtId="0" fontId="36" fillId="4" borderId="11" xfId="0" applyFont="1" applyFill="1" applyBorder="1" applyAlignment="1" applyProtection="1">
      <alignment horizontal="center" vertical="center" wrapText="1"/>
      <protection locked="0"/>
    </xf>
    <xf numFmtId="0" fontId="36" fillId="4" borderId="162" xfId="0" applyFont="1" applyFill="1" applyBorder="1" applyAlignment="1" applyProtection="1">
      <alignment horizontal="center" vertical="center" wrapText="1"/>
      <protection locked="0"/>
    </xf>
    <xf numFmtId="0" fontId="56" fillId="8" borderId="89" xfId="0" applyFont="1" applyFill="1" applyBorder="1" applyAlignment="1" applyProtection="1">
      <alignment horizontal="center" vertical="center" wrapText="1"/>
      <protection locked="0"/>
    </xf>
    <xf numFmtId="0" fontId="22" fillId="0" borderId="113" xfId="0" applyFont="1" applyBorder="1" applyAlignment="1" applyProtection="1">
      <alignment horizontal="center" vertical="top" wrapText="1"/>
      <protection locked="0"/>
    </xf>
    <xf numFmtId="0" fontId="22" fillId="0" borderId="134" xfId="0" applyFont="1" applyBorder="1" applyAlignment="1" applyProtection="1">
      <alignment horizontal="center" vertical="top" wrapText="1"/>
      <protection locked="0"/>
    </xf>
    <xf numFmtId="0" fontId="0" fillId="20" borderId="27" xfId="0" applyFill="1" applyBorder="1"/>
    <xf numFmtId="0" fontId="38" fillId="20" borderId="165" xfId="84" applyFont="1" applyFill="1" applyBorder="1" applyAlignment="1">
      <alignment horizontal="center" vertical="top" wrapText="1"/>
    </xf>
    <xf numFmtId="0" fontId="0" fillId="0" borderId="33" xfId="0" applyFill="1" applyBorder="1"/>
    <xf numFmtId="0" fontId="38" fillId="0" borderId="157" xfId="84" applyFont="1" applyFill="1" applyBorder="1" applyAlignment="1">
      <alignment horizontal="center" vertical="top" wrapText="1"/>
    </xf>
    <xf numFmtId="0" fontId="38" fillId="0" borderId="151" xfId="0" applyFont="1" applyBorder="1" applyAlignment="1" applyProtection="1">
      <alignment horizontal="left" vertical="top" wrapText="1"/>
      <protection locked="0"/>
    </xf>
    <xf numFmtId="0" fontId="35" fillId="34" borderId="31" xfId="0" applyFont="1" applyFill="1" applyBorder="1" applyAlignment="1" applyProtection="1">
      <alignment horizontal="center" vertical="center" wrapText="1"/>
      <protection locked="0"/>
    </xf>
    <xf numFmtId="0" fontId="36" fillId="4" borderId="0" xfId="1" applyFont="1" applyFill="1" applyBorder="1" applyAlignment="1" applyProtection="1">
      <alignment horizontal="center" vertical="center"/>
      <protection locked="0"/>
    </xf>
    <xf numFmtId="0" fontId="22" fillId="0" borderId="0" xfId="0" applyFont="1" applyAlignment="1" applyProtection="1">
      <alignment horizontal="center" vertical="center"/>
      <protection locked="0"/>
    </xf>
    <xf numFmtId="0" fontId="22" fillId="6" borderId="0" xfId="0" applyFont="1" applyFill="1" applyAlignment="1" applyProtection="1">
      <alignment horizontal="center" vertical="center"/>
      <protection locked="0"/>
    </xf>
    <xf numFmtId="0" fontId="22" fillId="42" borderId="35" xfId="0" applyFont="1" applyFill="1" applyBorder="1" applyAlignment="1" applyProtection="1">
      <alignment horizontal="center" vertical="center"/>
      <protection locked="0"/>
    </xf>
    <xf numFmtId="0" fontId="22" fillId="42" borderId="28" xfId="0" applyFont="1" applyFill="1" applyBorder="1" applyAlignment="1" applyProtection="1">
      <alignment horizontal="center" vertical="center"/>
      <protection locked="0"/>
    </xf>
    <xf numFmtId="0" fontId="22" fillId="42" borderId="39" xfId="0" applyFont="1" applyFill="1" applyBorder="1" applyAlignment="1" applyProtection="1">
      <alignment horizontal="center" vertical="center"/>
      <protection locked="0"/>
    </xf>
    <xf numFmtId="0" fontId="22" fillId="42" borderId="142" xfId="0" applyFont="1" applyFill="1" applyBorder="1" applyAlignment="1" applyProtection="1">
      <alignment horizontal="center" vertical="center"/>
      <protection locked="0"/>
    </xf>
    <xf numFmtId="0" fontId="35" fillId="0" borderId="84" xfId="58" applyFont="1" applyFill="1" applyBorder="1" applyAlignment="1" applyProtection="1">
      <alignment horizontal="center" vertical="center" wrapText="1"/>
      <protection locked="0"/>
    </xf>
    <xf numFmtId="0" fontId="35" fillId="42" borderId="83" xfId="58" applyFont="1" applyFill="1" applyBorder="1" applyAlignment="1" applyProtection="1">
      <alignment vertical="center" wrapText="1"/>
      <protection locked="0"/>
    </xf>
    <xf numFmtId="0" fontId="35" fillId="42" borderId="83" xfId="58" applyFont="1" applyFill="1" applyBorder="1" applyAlignment="1" applyProtection="1">
      <alignment horizontal="center" vertical="center" wrapText="1"/>
      <protection locked="0"/>
    </xf>
    <xf numFmtId="0" fontId="35" fillId="42" borderId="78" xfId="58" applyFont="1" applyFill="1" applyBorder="1" applyAlignment="1" applyProtection="1">
      <alignment horizontal="center" vertical="center" wrapText="1"/>
      <protection locked="0"/>
    </xf>
    <xf numFmtId="0" fontId="35" fillId="42" borderId="84" xfId="58" applyFont="1" applyFill="1" applyBorder="1" applyAlignment="1" applyProtection="1">
      <alignment horizontal="center" vertical="center" wrapText="1"/>
      <protection locked="0"/>
    </xf>
    <xf numFmtId="0" fontId="35" fillId="42" borderId="140" xfId="58" applyFont="1" applyFill="1" applyBorder="1" applyAlignment="1" applyProtection="1">
      <alignment horizontal="center" vertical="center" wrapText="1"/>
      <protection locked="0"/>
    </xf>
    <xf numFmtId="0" fontId="35" fillId="42" borderId="0" xfId="58" applyFont="1" applyFill="1" applyBorder="1" applyAlignment="1" applyProtection="1">
      <alignment horizontal="center" vertical="center" wrapText="1"/>
      <protection locked="0"/>
    </xf>
    <xf numFmtId="0" fontId="38" fillId="20" borderId="91" xfId="0" applyFont="1" applyFill="1" applyBorder="1" applyAlignment="1" applyProtection="1">
      <alignment horizontal="center" vertical="top" wrapText="1"/>
      <protection locked="0"/>
    </xf>
    <xf numFmtId="0" fontId="22" fillId="20" borderId="0" xfId="0" applyFont="1" applyFill="1" applyAlignment="1" applyProtection="1">
      <alignment vertical="top" wrapText="1"/>
      <protection locked="0"/>
    </xf>
    <xf numFmtId="0" fontId="22" fillId="20" borderId="93" xfId="0" applyFont="1" applyFill="1" applyBorder="1" applyAlignment="1" applyProtection="1">
      <alignment vertical="top" wrapText="1"/>
      <protection locked="0"/>
    </xf>
    <xf numFmtId="0" fontId="22" fillId="20" borderId="28" xfId="0" applyFont="1" applyFill="1" applyBorder="1" applyAlignment="1" applyProtection="1">
      <alignment vertical="top" wrapText="1"/>
      <protection locked="0"/>
    </xf>
    <xf numFmtId="0" fontId="22" fillId="20" borderId="29" xfId="0" applyFont="1" applyFill="1" applyBorder="1" applyAlignment="1" applyProtection="1">
      <alignment vertical="top" wrapText="1"/>
      <protection locked="0"/>
    </xf>
    <xf numFmtId="0" fontId="22" fillId="20" borderId="29" xfId="0" applyFont="1" applyFill="1" applyBorder="1" applyProtection="1">
      <protection locked="0"/>
    </xf>
    <xf numFmtId="0" fontId="22" fillId="2" borderId="0" xfId="0" applyFont="1" applyFill="1" applyAlignment="1" applyProtection="1">
      <alignment vertical="top" wrapText="1"/>
      <protection locked="0"/>
    </xf>
    <xf numFmtId="0" fontId="33" fillId="0" borderId="0" xfId="0" applyFont="1" applyFill="1" applyAlignment="1" applyProtection="1">
      <alignment horizontal="center" vertical="top" wrapText="1"/>
      <protection locked="0"/>
    </xf>
    <xf numFmtId="0" fontId="58" fillId="0" borderId="0" xfId="0" applyFont="1" applyFill="1" applyAlignment="1" applyProtection="1">
      <alignment vertical="center" wrapText="1"/>
      <protection locked="0"/>
    </xf>
    <xf numFmtId="0" fontId="33" fillId="0" borderId="0" xfId="0" applyFont="1" applyFill="1" applyAlignment="1" applyProtection="1">
      <alignment vertical="center" wrapText="1"/>
      <protection locked="0"/>
    </xf>
    <xf numFmtId="0" fontId="35" fillId="20" borderId="19" xfId="0" applyFont="1" applyFill="1" applyBorder="1" applyAlignment="1" applyProtection="1">
      <alignment horizontal="center" vertical="center" wrapText="1"/>
      <protection locked="0"/>
    </xf>
    <xf numFmtId="0" fontId="35" fillId="20" borderId="20" xfId="0" applyFont="1" applyFill="1" applyBorder="1" applyAlignment="1" applyProtection="1">
      <alignment horizontal="center" vertical="center" wrapText="1"/>
      <protection locked="0"/>
    </xf>
    <xf numFmtId="0" fontId="35" fillId="20" borderId="21" xfId="0" applyFont="1" applyFill="1" applyBorder="1" applyAlignment="1" applyProtection="1">
      <alignment horizontal="center" vertical="center" wrapText="1"/>
      <protection locked="0"/>
    </xf>
    <xf numFmtId="0" fontId="59" fillId="0" borderId="0" xfId="0" applyFont="1" applyAlignment="1" applyProtection="1">
      <alignment vertical="center" wrapText="1"/>
      <protection locked="0"/>
    </xf>
    <xf numFmtId="49" fontId="36" fillId="4" borderId="0" xfId="0" applyNumberFormat="1" applyFont="1" applyFill="1" applyBorder="1" applyAlignment="1" applyProtection="1">
      <alignment horizontal="right" vertical="center" wrapText="1"/>
      <protection locked="0"/>
    </xf>
    <xf numFmtId="0" fontId="36" fillId="4" borderId="0" xfId="0" applyFont="1" applyFill="1" applyAlignment="1" applyProtection="1">
      <alignment vertical="center"/>
      <protection locked="0"/>
    </xf>
    <xf numFmtId="0" fontId="36" fillId="4" borderId="25" xfId="0" applyFont="1" applyFill="1" applyBorder="1" applyAlignment="1" applyProtection="1">
      <alignment horizontal="center" vertical="center" wrapText="1"/>
      <protection locked="0"/>
    </xf>
    <xf numFmtId="0" fontId="37" fillId="0" borderId="0" xfId="0" applyFont="1" applyAlignment="1" applyProtection="1">
      <alignment vertical="center" wrapText="1"/>
      <protection locked="0"/>
    </xf>
    <xf numFmtId="0" fontId="58" fillId="0" borderId="0" xfId="0" applyFont="1" applyAlignment="1" applyProtection="1">
      <alignment vertical="center" wrapText="1"/>
      <protection locked="0"/>
    </xf>
    <xf numFmtId="49" fontId="35" fillId="34" borderId="0" xfId="0" applyNumberFormat="1" applyFont="1" applyFill="1" applyAlignment="1" applyProtection="1">
      <alignment horizontal="right" vertical="center" wrapText="1"/>
      <protection locked="0"/>
    </xf>
    <xf numFmtId="0" fontId="35" fillId="34" borderId="0" xfId="0" applyFont="1" applyFill="1" applyAlignment="1" applyProtection="1">
      <alignment vertical="center"/>
      <protection locked="0"/>
    </xf>
    <xf numFmtId="0" fontId="35" fillId="34" borderId="0" xfId="0" applyFont="1" applyFill="1" applyAlignment="1" applyProtection="1">
      <alignment vertical="center" wrapText="1"/>
      <protection locked="0"/>
    </xf>
    <xf numFmtId="0" fontId="35" fillId="34" borderId="25" xfId="0" applyFont="1" applyFill="1" applyBorder="1" applyAlignment="1" applyProtection="1">
      <alignment horizontal="center" vertical="center" wrapText="1"/>
      <protection locked="0"/>
    </xf>
    <xf numFmtId="0" fontId="35" fillId="34" borderId="0" xfId="0" applyFont="1" applyFill="1" applyBorder="1" applyAlignment="1" applyProtection="1">
      <alignment vertical="center" wrapText="1"/>
      <protection locked="0"/>
    </xf>
    <xf numFmtId="0" fontId="33" fillId="0" borderId="0" xfId="0" applyFont="1" applyAlignment="1" applyProtection="1">
      <alignment vertical="center"/>
      <protection locked="0"/>
    </xf>
    <xf numFmtId="0" fontId="33" fillId="0" borderId="0" xfId="0" applyFont="1" applyAlignment="1" applyProtection="1">
      <alignment vertical="center" wrapText="1"/>
      <protection locked="0"/>
    </xf>
    <xf numFmtId="0" fontId="58" fillId="0" borderId="0" xfId="0" applyFont="1" applyFill="1" applyAlignment="1" applyProtection="1">
      <alignment vertical="top" wrapText="1"/>
      <protection locked="0"/>
    </xf>
    <xf numFmtId="49" fontId="38" fillId="34" borderId="0" xfId="0" applyNumberFormat="1" applyFont="1" applyFill="1" applyAlignment="1" applyProtection="1">
      <alignment horizontal="right" vertical="top" wrapText="1"/>
      <protection locked="0"/>
    </xf>
    <xf numFmtId="0" fontId="35" fillId="5" borderId="33" xfId="0" applyFont="1" applyFill="1" applyBorder="1" applyAlignment="1" applyProtection="1">
      <alignment horizontal="right" vertical="top" wrapText="1"/>
      <protection locked="0"/>
    </xf>
    <xf numFmtId="0" fontId="35" fillId="5" borderId="34" xfId="0" applyFont="1" applyFill="1" applyBorder="1" applyAlignment="1" applyProtection="1">
      <alignment vertical="top" wrapText="1"/>
      <protection locked="0"/>
    </xf>
    <xf numFmtId="0" fontId="35" fillId="42" borderId="34" xfId="0" applyFont="1" applyFill="1" applyBorder="1" applyAlignment="1" applyProtection="1">
      <alignment horizontal="center" vertical="top" wrapText="1"/>
      <protection locked="0"/>
    </xf>
    <xf numFmtId="0" fontId="22" fillId="0" borderId="34" xfId="0" applyFont="1" applyBorder="1" applyAlignment="1" applyProtection="1">
      <alignment horizontal="center" vertical="top" wrapText="1"/>
      <protection locked="0"/>
    </xf>
    <xf numFmtId="0" fontId="38" fillId="5" borderId="107" xfId="0" applyFont="1" applyFill="1" applyBorder="1" applyAlignment="1" applyProtection="1">
      <alignment horizontal="center" vertical="top" wrapText="1"/>
      <protection locked="0"/>
    </xf>
    <xf numFmtId="0" fontId="0" fillId="0" borderId="0" xfId="0" applyProtection="1">
      <protection locked="0"/>
    </xf>
    <xf numFmtId="0" fontId="33" fillId="0" borderId="0" xfId="0" applyFont="1" applyFill="1" applyProtection="1">
      <protection locked="0"/>
    </xf>
    <xf numFmtId="0" fontId="33" fillId="0" borderId="0" xfId="0" applyFont="1" applyFill="1" applyAlignment="1" applyProtection="1">
      <alignment vertical="top" wrapText="1"/>
      <protection locked="0"/>
    </xf>
    <xf numFmtId="0" fontId="35" fillId="0" borderId="33" xfId="0" applyFont="1" applyFill="1" applyBorder="1" applyAlignment="1" applyProtection="1">
      <alignment horizontal="right" vertical="top" wrapText="1"/>
      <protection locked="0"/>
    </xf>
    <xf numFmtId="0" fontId="35" fillId="0" borderId="34" xfId="0" applyFont="1" applyFill="1" applyBorder="1" applyAlignment="1" applyProtection="1">
      <alignment horizontal="left" vertical="top" wrapText="1"/>
      <protection locked="0"/>
    </xf>
    <xf numFmtId="0" fontId="38" fillId="42" borderId="147" xfId="0" applyFont="1" applyFill="1" applyBorder="1" applyAlignment="1" applyProtection="1">
      <alignment horizontal="center" vertical="top" wrapText="1"/>
      <protection locked="0"/>
    </xf>
    <xf numFmtId="0" fontId="22" fillId="0" borderId="34" xfId="0" applyFont="1" applyFill="1" applyBorder="1" applyAlignment="1" applyProtection="1">
      <alignment horizontal="center" vertical="top" wrapText="1"/>
      <protection locked="0"/>
    </xf>
    <xf numFmtId="0" fontId="38" fillId="0" borderId="107" xfId="0" applyFont="1" applyFill="1" applyBorder="1" applyAlignment="1" applyProtection="1">
      <alignment horizontal="center" vertical="top" wrapText="1"/>
      <protection locked="0"/>
    </xf>
    <xf numFmtId="0" fontId="35" fillId="0" borderId="27" xfId="0" applyFont="1" applyFill="1" applyBorder="1" applyAlignment="1" applyProtection="1">
      <alignment horizontal="right" vertical="top" wrapText="1"/>
      <protection locked="0"/>
    </xf>
    <xf numFmtId="0" fontId="35" fillId="0" borderId="0" xfId="0" applyFont="1" applyFill="1" applyBorder="1" applyAlignment="1" applyProtection="1">
      <alignment horizontal="left" vertical="top" wrapText="1"/>
      <protection locked="0"/>
    </xf>
    <xf numFmtId="0" fontId="38" fillId="42" borderId="25"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8" fillId="0" borderId="41" xfId="0" applyFont="1" applyFill="1" applyBorder="1" applyAlignment="1" applyProtection="1">
      <alignment horizontal="center" vertical="top" wrapText="1"/>
      <protection locked="0"/>
    </xf>
    <xf numFmtId="0" fontId="58" fillId="0" borderId="0" xfId="0" applyFont="1" applyAlignment="1" applyProtection="1">
      <alignment vertical="top" wrapText="1"/>
      <protection locked="0"/>
    </xf>
    <xf numFmtId="49" fontId="22" fillId="43" borderId="0" xfId="0" applyNumberFormat="1" applyFont="1" applyFill="1" applyAlignment="1" applyProtection="1">
      <alignment horizontal="right" vertical="top" wrapText="1"/>
      <protection locked="0"/>
    </xf>
    <xf numFmtId="0" fontId="36" fillId="45" borderId="0" xfId="0" applyFont="1" applyFill="1" applyAlignment="1" applyProtection="1">
      <alignment horizontal="left" vertical="top"/>
      <protection locked="0"/>
    </xf>
    <xf numFmtId="0" fontId="22" fillId="45" borderId="0" xfId="0" applyFont="1" applyFill="1" applyAlignment="1" applyProtection="1">
      <alignment vertical="top" wrapText="1"/>
      <protection locked="0"/>
    </xf>
    <xf numFmtId="0" fontId="40" fillId="44" borderId="0" xfId="0" applyFont="1" applyFill="1" applyAlignment="1" applyProtection="1">
      <alignment vertical="top" wrapText="1"/>
      <protection locked="0"/>
    </xf>
    <xf numFmtId="0" fontId="38" fillId="20" borderId="124" xfId="1" applyFont="1" applyFill="1" applyBorder="1" applyAlignment="1" applyProtection="1">
      <alignment horizontal="left" vertical="top" wrapText="1"/>
      <protection locked="0"/>
    </xf>
    <xf numFmtId="0" fontId="40" fillId="0" borderId="0" xfId="0" applyFont="1" applyAlignment="1" applyProtection="1">
      <alignment vertical="top" wrapText="1"/>
      <protection locked="0"/>
    </xf>
    <xf numFmtId="0" fontId="38" fillId="20" borderId="108" xfId="1" applyFont="1" applyFill="1" applyBorder="1" applyAlignment="1" applyProtection="1">
      <alignment horizontal="left" vertical="top" wrapText="1"/>
      <protection locked="0"/>
    </xf>
    <xf numFmtId="0" fontId="35" fillId="42" borderId="0" xfId="0" applyFont="1" applyFill="1" applyBorder="1" applyAlignment="1" applyProtection="1">
      <alignment horizontal="center" vertical="top" wrapText="1"/>
      <protection locked="0"/>
    </xf>
    <xf numFmtId="0" fontId="38" fillId="0" borderId="0"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8" fillId="42" borderId="0" xfId="0" applyFont="1" applyFill="1" applyBorder="1" applyAlignment="1" applyProtection="1">
      <alignment horizontal="left" vertical="top" wrapText="1"/>
      <protection locked="0"/>
    </xf>
    <xf numFmtId="0" fontId="22" fillId="20" borderId="34" xfId="0" applyFont="1" applyFill="1" applyBorder="1" applyAlignment="1" applyProtection="1">
      <alignment horizontal="center" vertical="top" wrapText="1"/>
      <protection locked="0"/>
    </xf>
    <xf numFmtId="0" fontId="22" fillId="20" borderId="0" xfId="0" applyFont="1" applyFill="1" applyBorder="1" applyAlignment="1" applyProtection="1">
      <alignment vertical="top" wrapText="1"/>
      <protection locked="0"/>
    </xf>
    <xf numFmtId="0" fontId="22" fillId="20" borderId="0" xfId="0" applyFont="1" applyFill="1" applyBorder="1" applyAlignment="1" applyProtection="1">
      <alignment horizontal="center" vertical="top" wrapText="1"/>
      <protection locked="0"/>
    </xf>
    <xf numFmtId="0" fontId="38" fillId="20" borderId="117" xfId="1" applyFont="1" applyFill="1" applyBorder="1" applyAlignment="1" applyProtection="1">
      <alignment horizontal="left" vertical="top" wrapText="1"/>
      <protection locked="0"/>
    </xf>
    <xf numFmtId="0" fontId="38" fillId="5" borderId="34" xfId="0" applyFont="1" applyFill="1" applyBorder="1" applyAlignment="1" applyProtection="1">
      <alignment horizontal="left" vertical="top" wrapText="1"/>
      <protection locked="0"/>
    </xf>
    <xf numFmtId="0" fontId="22" fillId="0" borderId="148" xfId="0" applyFont="1" applyFill="1" applyBorder="1" applyAlignment="1" applyProtection="1">
      <alignment vertical="top" wrapText="1"/>
      <protection locked="0"/>
    </xf>
    <xf numFmtId="0" fontId="0" fillId="0" borderId="131" xfId="0" applyBorder="1" applyProtection="1">
      <protection locked="0"/>
    </xf>
    <xf numFmtId="0" fontId="0" fillId="42" borderId="34" xfId="0" applyFill="1" applyBorder="1" applyProtection="1">
      <protection locked="0"/>
    </xf>
    <xf numFmtId="0" fontId="35" fillId="5" borderId="37" xfId="0" applyFont="1" applyFill="1" applyBorder="1" applyAlignment="1" applyProtection="1">
      <alignment horizontal="right" vertical="top" wrapText="1"/>
      <protection locked="0"/>
    </xf>
    <xf numFmtId="0" fontId="35" fillId="5" borderId="38" xfId="0" applyFont="1" applyFill="1" applyBorder="1" applyAlignment="1" applyProtection="1">
      <alignment vertical="top" wrapText="1"/>
      <protection locked="0"/>
    </xf>
    <xf numFmtId="0" fontId="35" fillId="42" borderId="38" xfId="0" applyFont="1" applyFill="1" applyBorder="1" applyAlignment="1" applyProtection="1">
      <alignment horizontal="center" vertical="top" wrapText="1"/>
      <protection locked="0"/>
    </xf>
    <xf numFmtId="0" fontId="38" fillId="0" borderId="38" xfId="0" applyFont="1" applyBorder="1" applyAlignment="1" applyProtection="1">
      <alignment horizontal="center" vertical="top" wrapText="1"/>
      <protection locked="0"/>
    </xf>
    <xf numFmtId="0" fontId="22" fillId="0" borderId="38" xfId="0" applyFont="1" applyBorder="1" applyAlignment="1" applyProtection="1">
      <alignment horizontal="center" vertical="top" wrapText="1"/>
      <protection locked="0"/>
    </xf>
    <xf numFmtId="0" fontId="22" fillId="0" borderId="111" xfId="0" applyFont="1" applyFill="1" applyBorder="1" applyAlignment="1" applyProtection="1">
      <alignment vertical="top" wrapText="1"/>
      <protection locked="0"/>
    </xf>
    <xf numFmtId="0" fontId="0" fillId="0" borderId="139" xfId="0" applyBorder="1" applyProtection="1">
      <protection locked="0"/>
    </xf>
    <xf numFmtId="0" fontId="38" fillId="0" borderId="38" xfId="0" applyFont="1" applyBorder="1" applyAlignment="1" applyProtection="1">
      <alignment vertical="top" wrapText="1"/>
      <protection locked="0"/>
    </xf>
    <xf numFmtId="0" fontId="35" fillId="5" borderId="34" xfId="0" applyFont="1" applyFill="1" applyBorder="1" applyAlignment="1" applyProtection="1">
      <alignment vertical="top" wrapText="1"/>
      <protection locked="0"/>
    </xf>
    <xf numFmtId="0" fontId="22" fillId="0" borderId="133" xfId="0" applyFont="1" applyFill="1" applyBorder="1" applyAlignment="1" applyProtection="1">
      <alignment vertical="top" wrapText="1"/>
      <protection locked="0"/>
    </xf>
    <xf numFmtId="0" fontId="22" fillId="0" borderId="110" xfId="0" applyFont="1" applyFill="1" applyBorder="1" applyAlignment="1" applyProtection="1">
      <alignment vertical="top" wrapText="1"/>
      <protection locked="0"/>
    </xf>
    <xf numFmtId="0" fontId="0" fillId="0" borderId="118" xfId="0" applyBorder="1" applyProtection="1">
      <protection locked="0"/>
    </xf>
    <xf numFmtId="0" fontId="0" fillId="0" borderId="112" xfId="0" applyBorder="1" applyProtection="1">
      <protection locked="0"/>
    </xf>
    <xf numFmtId="0" fontId="0" fillId="20" borderId="112" xfId="0" applyFill="1" applyBorder="1" applyProtection="1">
      <protection locked="0"/>
    </xf>
    <xf numFmtId="0" fontId="38" fillId="0" borderId="92" xfId="84" applyFont="1" applyFill="1" applyBorder="1" applyAlignment="1" applyProtection="1">
      <alignment horizontal="center" vertical="top" wrapText="1"/>
      <protection locked="0"/>
    </xf>
    <xf numFmtId="0" fontId="56" fillId="2" borderId="175" xfId="84" applyFont="1" applyFill="1" applyBorder="1" applyAlignment="1" applyProtection="1">
      <alignment horizontal="center" vertical="top" wrapText="1"/>
      <protection locked="0"/>
    </xf>
    <xf numFmtId="0" fontId="33" fillId="0" borderId="0" xfId="0" applyFont="1" applyFill="1" applyBorder="1" applyAlignment="1" applyProtection="1">
      <alignment horizontal="center" vertical="top" wrapText="1"/>
      <protection locked="0"/>
    </xf>
    <xf numFmtId="0" fontId="38" fillId="0" borderId="34" xfId="0" applyFont="1" applyFill="1" applyBorder="1" applyAlignment="1" applyProtection="1">
      <alignment vertical="top" wrapText="1"/>
      <protection locked="0"/>
    </xf>
    <xf numFmtId="0" fontId="71" fillId="42" borderId="0" xfId="0" applyFont="1" applyFill="1" applyBorder="1" applyAlignment="1" applyProtection="1">
      <alignment vertical="top" wrapText="1"/>
      <protection locked="0"/>
    </xf>
    <xf numFmtId="0" fontId="71" fillId="42" borderId="34" xfId="0" applyFont="1" applyFill="1" applyBorder="1" applyAlignment="1" applyProtection="1">
      <alignment vertical="top" wrapText="1"/>
      <protection locked="0"/>
    </xf>
    <xf numFmtId="0" fontId="22" fillId="42" borderId="0" xfId="0" applyFont="1" applyFill="1" applyAlignment="1" applyProtection="1">
      <alignment horizontal="left" vertical="top" wrapText="1"/>
      <protection locked="0"/>
    </xf>
    <xf numFmtId="0" fontId="38" fillId="0" borderId="0" xfId="0" applyFont="1" applyFill="1" applyBorder="1" applyAlignment="1" applyProtection="1">
      <alignment vertical="top" wrapText="1"/>
      <protection locked="0"/>
    </xf>
    <xf numFmtId="0" fontId="22" fillId="0" borderId="34" xfId="0" applyFont="1" applyFill="1" applyBorder="1" applyAlignment="1" applyProtection="1">
      <alignment horizontal="left" vertical="top" wrapText="1"/>
      <protection locked="0"/>
    </xf>
    <xf numFmtId="0" fontId="22" fillId="0" borderId="107" xfId="0" applyFont="1" applyFill="1" applyBorder="1" applyAlignment="1" applyProtection="1">
      <alignment horizontal="center" vertical="top" wrapText="1"/>
      <protection locked="0"/>
    </xf>
    <xf numFmtId="0" fontId="38" fillId="5" borderId="34" xfId="0" applyFont="1" applyFill="1" applyBorder="1" applyAlignment="1" applyProtection="1">
      <alignment vertical="top" wrapText="1"/>
      <protection locked="0"/>
    </xf>
    <xf numFmtId="0" fontId="22" fillId="0" borderId="34" xfId="0" applyFont="1" applyFill="1" applyBorder="1" applyAlignment="1" applyProtection="1">
      <alignment vertical="top" wrapText="1"/>
      <protection locked="0"/>
    </xf>
    <xf numFmtId="0" fontId="0" fillId="0" borderId="155" xfId="0" applyBorder="1" applyProtection="1">
      <protection locked="0"/>
    </xf>
    <xf numFmtId="0" fontId="58" fillId="0" borderId="0" xfId="0" applyFont="1" applyFill="1" applyBorder="1" applyAlignment="1" applyProtection="1">
      <alignment vertical="top" wrapText="1"/>
      <protection locked="0"/>
    </xf>
    <xf numFmtId="49" fontId="38" fillId="34" borderId="0" xfId="0" applyNumberFormat="1" applyFont="1" applyFill="1" applyBorder="1" applyAlignment="1" applyProtection="1">
      <alignment horizontal="right" vertical="top" wrapText="1"/>
      <protection locked="0"/>
    </xf>
    <xf numFmtId="0" fontId="56" fillId="2" borderId="176" xfId="84" applyFont="1" applyFill="1" applyBorder="1" applyAlignment="1" applyProtection="1">
      <alignment horizontal="center" vertical="top" wrapText="1"/>
      <protection locked="0"/>
    </xf>
    <xf numFmtId="0" fontId="33" fillId="0" borderId="0" xfId="0" applyFont="1" applyFill="1" applyBorder="1" applyProtection="1">
      <protection locked="0"/>
    </xf>
    <xf numFmtId="0" fontId="35" fillId="20" borderId="27" xfId="0" applyFont="1" applyFill="1" applyBorder="1" applyAlignment="1" applyProtection="1">
      <alignment horizontal="right" vertical="top" wrapText="1"/>
      <protection locked="0"/>
    </xf>
    <xf numFmtId="0" fontId="35" fillId="20" borderId="0" xfId="0" applyFont="1" applyFill="1" applyBorder="1" applyAlignment="1" applyProtection="1">
      <alignment horizontal="left" vertical="top" wrapText="1"/>
      <protection locked="0"/>
    </xf>
    <xf numFmtId="0" fontId="35" fillId="20" borderId="38" xfId="0" applyFont="1" applyFill="1" applyBorder="1" applyAlignment="1" applyProtection="1">
      <alignment vertical="top" wrapText="1"/>
      <protection locked="0"/>
    </xf>
    <xf numFmtId="0" fontId="38" fillId="20" borderId="0" xfId="0" applyFont="1" applyFill="1" applyBorder="1" applyAlignment="1" applyProtection="1">
      <alignment vertical="top" wrapText="1"/>
      <protection locked="0"/>
    </xf>
    <xf numFmtId="0" fontId="38" fillId="20" borderId="41" xfId="0" applyFont="1" applyFill="1" applyBorder="1" applyAlignment="1" applyProtection="1">
      <alignment horizontal="center" vertical="top" wrapText="1"/>
      <protection locked="0"/>
    </xf>
    <xf numFmtId="0" fontId="22" fillId="20" borderId="38" xfId="0" applyFont="1" applyFill="1" applyBorder="1" applyAlignment="1" applyProtection="1">
      <alignment horizontal="center" vertical="top" wrapText="1"/>
      <protection locked="0"/>
    </xf>
    <xf numFmtId="0" fontId="38" fillId="20" borderId="92" xfId="84" applyFont="1" applyFill="1" applyBorder="1" applyAlignment="1" applyProtection="1">
      <alignment horizontal="center" vertical="top" wrapText="1"/>
      <protection locked="0"/>
    </xf>
    <xf numFmtId="0" fontId="38" fillId="20" borderId="91" xfId="0" applyFont="1" applyFill="1" applyBorder="1" applyAlignment="1" applyProtection="1">
      <alignment horizontal="center" vertical="top" wrapText="1"/>
      <protection locked="0"/>
    </xf>
    <xf numFmtId="0" fontId="33" fillId="20" borderId="0" xfId="0" applyFont="1" applyFill="1" applyBorder="1" applyAlignment="1" applyProtection="1">
      <alignment vertical="top" wrapText="1"/>
      <protection locked="0"/>
    </xf>
    <xf numFmtId="0" fontId="38" fillId="0" borderId="91" xfId="84" applyFont="1" applyFill="1" applyBorder="1" applyAlignment="1" applyProtection="1">
      <alignment vertical="center" wrapText="1"/>
      <protection locked="0"/>
    </xf>
    <xf numFmtId="0" fontId="38" fillId="0" borderId="177" xfId="84" applyFont="1" applyFill="1" applyBorder="1" applyAlignment="1" applyProtection="1">
      <alignment vertical="center" wrapText="1"/>
      <protection locked="0"/>
    </xf>
    <xf numFmtId="0" fontId="56" fillId="2" borderId="131" xfId="84" applyFont="1" applyFill="1" applyBorder="1" applyAlignment="1" applyProtection="1">
      <alignment vertical="center" wrapText="1"/>
      <protection locked="0"/>
    </xf>
    <xf numFmtId="0" fontId="27" fillId="0" borderId="39" xfId="0" applyFont="1" applyBorder="1" applyAlignment="1" applyProtection="1">
      <alignment horizontal="center" vertical="center"/>
      <protection locked="0"/>
    </xf>
    <xf numFmtId="0" fontId="35" fillId="2" borderId="20" xfId="0" applyFont="1" applyFill="1" applyBorder="1" applyAlignment="1" applyProtection="1">
      <alignment horizontal="center" vertical="center" wrapText="1"/>
      <protection locked="0"/>
    </xf>
    <xf numFmtId="0" fontId="38" fillId="0" borderId="34" xfId="0" applyFont="1" applyFill="1" applyBorder="1" applyAlignment="1" applyProtection="1">
      <alignment vertical="top" wrapText="1"/>
      <protection locked="0"/>
    </xf>
    <xf numFmtId="0" fontId="38" fillId="0" borderId="0" xfId="0" applyFont="1" applyFill="1" applyBorder="1" applyAlignment="1" applyProtection="1">
      <alignment vertical="top" wrapText="1"/>
      <protection locked="0"/>
    </xf>
    <xf numFmtId="0" fontId="38" fillId="20" borderId="0" xfId="0" applyFont="1" applyFill="1" applyBorder="1" applyAlignment="1" applyProtection="1">
      <alignment vertical="top" wrapText="1"/>
      <protection locked="0"/>
    </xf>
    <xf numFmtId="0" fontId="22" fillId="0" borderId="0" xfId="0" applyFont="1" applyFill="1" applyBorder="1" applyAlignment="1" applyProtection="1">
      <alignment horizontal="center" vertical="top" wrapText="1"/>
      <protection locked="0"/>
    </xf>
    <xf numFmtId="0" fontId="38" fillId="0" borderId="0" xfId="0" applyFont="1" applyFill="1" applyBorder="1" applyAlignment="1" applyProtection="1">
      <alignment horizontal="center" vertical="top" wrapText="1"/>
      <protection locked="0"/>
    </xf>
    <xf numFmtId="0" fontId="35" fillId="42" borderId="38" xfId="58" applyFont="1" applyFill="1" applyBorder="1" applyAlignment="1" applyProtection="1">
      <alignment horizontal="center" vertical="center" wrapText="1"/>
      <protection locked="0"/>
    </xf>
    <xf numFmtId="0" fontId="35" fillId="0" borderId="30" xfId="0" applyFont="1" applyFill="1" applyBorder="1" applyAlignment="1" applyProtection="1">
      <alignment horizontal="right" vertical="top"/>
      <protection locked="0"/>
    </xf>
    <xf numFmtId="0" fontId="35" fillId="0" borderId="31" xfId="0" applyFont="1" applyFill="1" applyBorder="1" applyAlignment="1" applyProtection="1">
      <alignment vertical="top" wrapText="1"/>
      <protection locked="0"/>
    </xf>
    <xf numFmtId="0" fontId="22" fillId="42" borderId="31" xfId="0" applyFont="1" applyFill="1" applyBorder="1" applyAlignment="1" applyProtection="1">
      <alignment horizontal="left" vertical="top" wrapText="1"/>
      <protection locked="0"/>
    </xf>
    <xf numFmtId="0" fontId="71" fillId="42" borderId="31" xfId="0" applyFont="1" applyFill="1" applyBorder="1" applyAlignment="1" applyProtection="1">
      <alignment vertical="top" wrapText="1"/>
      <protection locked="0"/>
    </xf>
    <xf numFmtId="0" fontId="22" fillId="0" borderId="31" xfId="0" applyFont="1" applyFill="1" applyBorder="1" applyAlignment="1" applyProtection="1">
      <alignment horizontal="center" vertical="top" wrapText="1"/>
      <protection locked="0"/>
    </xf>
    <xf numFmtId="0" fontId="35" fillId="0" borderId="31" xfId="0" applyFont="1" applyFill="1" applyBorder="1" applyAlignment="1" applyProtection="1">
      <alignment horizontal="left" vertical="top" wrapText="1"/>
      <protection locked="0"/>
    </xf>
    <xf numFmtId="0" fontId="38" fillId="0" borderId="150" xfId="0" applyFont="1" applyFill="1" applyBorder="1" applyAlignment="1" applyProtection="1">
      <alignment horizontal="center" vertical="top" wrapText="1"/>
      <protection locked="0"/>
    </xf>
    <xf numFmtId="0" fontId="22" fillId="0" borderId="42" xfId="0" applyFont="1" applyBorder="1" applyAlignment="1">
      <alignment vertical="top" wrapText="1"/>
    </xf>
    <xf numFmtId="0" fontId="0" fillId="0" borderId="31" xfId="0" applyBorder="1" applyProtection="1">
      <protection locked="0"/>
    </xf>
    <xf numFmtId="0" fontId="22" fillId="0" borderId="31" xfId="0" applyFont="1" applyFill="1" applyBorder="1" applyAlignment="1" applyProtection="1">
      <alignment vertical="top" wrapText="1"/>
      <protection locked="0"/>
    </xf>
    <xf numFmtId="0" fontId="22" fillId="0" borderId="158" xfId="0" applyFont="1" applyFill="1" applyBorder="1" applyAlignment="1" applyProtection="1">
      <alignment vertical="top" wrapText="1"/>
      <protection locked="0"/>
    </xf>
    <xf numFmtId="0" fontId="22" fillId="0" borderId="142" xfId="0" applyFont="1" applyFill="1" applyBorder="1" applyAlignment="1" applyProtection="1">
      <alignment vertical="top" wrapText="1"/>
      <protection locked="0"/>
    </xf>
    <xf numFmtId="0" fontId="22" fillId="0" borderId="153" xfId="0" applyFont="1" applyFill="1" applyBorder="1" applyAlignment="1" applyProtection="1">
      <alignment vertical="top" wrapText="1"/>
      <protection locked="0"/>
    </xf>
    <xf numFmtId="0" fontId="22" fillId="0" borderId="153" xfId="0" applyFont="1" applyFill="1" applyBorder="1" applyProtection="1">
      <protection locked="0"/>
    </xf>
    <xf numFmtId="0" fontId="22" fillId="2" borderId="31" xfId="0" applyFont="1" applyFill="1" applyBorder="1" applyAlignment="1" applyProtection="1">
      <alignment vertical="top" wrapText="1"/>
      <protection locked="0"/>
    </xf>
    <xf numFmtId="0" fontId="38" fillId="42" borderId="0" xfId="0" applyFont="1" applyFill="1" applyBorder="1" applyAlignment="1" applyProtection="1">
      <alignment vertical="top" wrapText="1"/>
      <protection locked="0"/>
    </xf>
    <xf numFmtId="0" fontId="38" fillId="42" borderId="34" xfId="0" applyFont="1" applyFill="1" applyBorder="1" applyAlignment="1" applyProtection="1">
      <alignment vertical="top" wrapText="1"/>
    </xf>
    <xf numFmtId="0" fontId="38" fillId="42" borderId="0" xfId="0" applyFont="1" applyFill="1" applyBorder="1" applyAlignment="1" applyProtection="1">
      <alignment vertical="top" wrapText="1"/>
    </xf>
    <xf numFmtId="0" fontId="22" fillId="42" borderId="0" xfId="0" applyFont="1" applyFill="1" applyBorder="1" applyAlignment="1" applyProtection="1">
      <alignment horizontal="left" vertical="top" wrapText="1"/>
      <protection locked="0"/>
    </xf>
    <xf numFmtId="0" fontId="22" fillId="2" borderId="0" xfId="0" applyFont="1" applyFill="1" applyBorder="1" applyAlignment="1" applyProtection="1">
      <alignment vertical="top" wrapText="1"/>
      <protection locked="0"/>
    </xf>
    <xf numFmtId="0" fontId="38" fillId="0" borderId="34" xfId="0" applyFont="1" applyFill="1" applyBorder="1" applyAlignment="1" applyProtection="1">
      <alignment horizontal="center" vertical="top" wrapText="1"/>
      <protection locked="0"/>
    </xf>
    <xf numFmtId="0" fontId="22" fillId="0" borderId="34" xfId="0" applyFont="1" applyFill="1" applyBorder="1" applyAlignment="1" applyProtection="1">
      <alignment horizontal="center" vertical="top" wrapText="1"/>
      <protection locked="0"/>
    </xf>
    <xf numFmtId="0" fontId="35" fillId="20" borderId="37" xfId="0" applyFont="1" applyFill="1" applyBorder="1" applyAlignment="1" applyProtection="1">
      <alignment horizontal="right" vertical="top" wrapText="1"/>
      <protection locked="0"/>
    </xf>
    <xf numFmtId="0" fontId="38" fillId="42" borderId="38" xfId="0" applyFont="1" applyFill="1" applyBorder="1" applyAlignment="1" applyProtection="1">
      <alignment horizontal="left" vertical="top" wrapText="1"/>
      <protection locked="0"/>
    </xf>
    <xf numFmtId="0" fontId="22" fillId="20" borderId="38" xfId="0" applyFont="1" applyFill="1" applyBorder="1" applyAlignment="1" applyProtection="1">
      <alignment vertical="top" wrapText="1"/>
      <protection locked="0"/>
    </xf>
    <xf numFmtId="0" fontId="0" fillId="20" borderId="178" xfId="0" applyFill="1" applyBorder="1" applyProtection="1">
      <protection locked="0"/>
    </xf>
    <xf numFmtId="0" fontId="0" fillId="20" borderId="38" xfId="0" applyFill="1" applyBorder="1" applyProtection="1">
      <protection locked="0"/>
    </xf>
    <xf numFmtId="0" fontId="38" fillId="0" borderId="133" xfId="84" applyFont="1" applyBorder="1" applyAlignment="1" applyProtection="1">
      <alignment vertical="top"/>
      <protection locked="0"/>
    </xf>
    <xf numFmtId="0" fontId="38" fillId="0" borderId="118" xfId="0" applyFont="1" applyFill="1" applyBorder="1" applyAlignment="1" applyProtection="1">
      <alignment horizontal="center" vertical="top" wrapText="1"/>
      <protection locked="0"/>
    </xf>
    <xf numFmtId="0" fontId="22" fillId="0" borderId="38" xfId="0" applyFont="1" applyFill="1" applyBorder="1" applyAlignment="1" applyProtection="1">
      <alignment horizontal="center" vertical="top" wrapText="1"/>
      <protection locked="0"/>
    </xf>
    <xf numFmtId="0" fontId="38" fillId="0" borderId="110" xfId="84" applyFont="1" applyBorder="1" applyAlignment="1" applyProtection="1">
      <alignment vertical="top"/>
      <protection locked="0"/>
    </xf>
    <xf numFmtId="0" fontId="38" fillId="0" borderId="134" xfId="0" applyFont="1" applyFill="1" applyBorder="1" applyAlignment="1" applyProtection="1">
      <alignment horizontal="center" vertical="top" wrapText="1"/>
      <protection locked="0"/>
    </xf>
    <xf numFmtId="0" fontId="22" fillId="42" borderId="34" xfId="0" applyFont="1" applyFill="1" applyBorder="1" applyAlignment="1" applyProtection="1">
      <alignment horizontal="left" vertical="top" wrapText="1"/>
      <protection locked="0"/>
    </xf>
    <xf numFmtId="0" fontId="38" fillId="20" borderId="148" xfId="1" applyFont="1" applyFill="1" applyBorder="1" applyAlignment="1" applyProtection="1">
      <alignment horizontal="left" vertical="top" wrapText="1"/>
      <protection locked="0"/>
    </xf>
    <xf numFmtId="0" fontId="38" fillId="20" borderId="131" xfId="0" applyFont="1" applyFill="1" applyBorder="1" applyAlignment="1" applyProtection="1">
      <alignment horizontal="center" vertical="top" wrapText="1"/>
      <protection locked="0"/>
    </xf>
    <xf numFmtId="0" fontId="22" fillId="20" borderId="34" xfId="0" applyFont="1" applyFill="1" applyBorder="1" applyAlignment="1" applyProtection="1">
      <alignment vertical="top" wrapText="1"/>
      <protection locked="0"/>
    </xf>
    <xf numFmtId="0" fontId="22" fillId="20" borderId="157" xfId="0" applyFont="1" applyFill="1" applyBorder="1" applyAlignment="1" applyProtection="1">
      <alignment vertical="top" wrapText="1"/>
      <protection locked="0"/>
    </xf>
    <xf numFmtId="0" fontId="22" fillId="20" borderId="35" xfId="0" applyFont="1" applyFill="1" applyBorder="1" applyAlignment="1" applyProtection="1">
      <alignment vertical="top" wrapText="1"/>
      <protection locked="0"/>
    </xf>
    <xf numFmtId="0" fontId="22" fillId="20" borderId="36" xfId="0" applyFont="1" applyFill="1" applyBorder="1" applyAlignment="1" applyProtection="1">
      <alignment vertical="top" wrapText="1"/>
      <protection locked="0"/>
    </xf>
    <xf numFmtId="0" fontId="22" fillId="20" borderId="36" xfId="0" applyFont="1" applyFill="1" applyBorder="1" applyProtection="1">
      <protection locked="0"/>
    </xf>
    <xf numFmtId="0" fontId="22" fillId="2" borderId="34" xfId="0" applyFont="1" applyFill="1" applyBorder="1" applyAlignment="1" applyProtection="1">
      <alignment vertical="top" wrapText="1"/>
      <protection locked="0"/>
    </xf>
    <xf numFmtId="0" fontId="0" fillId="20" borderId="0" xfId="0" applyFill="1" applyBorder="1"/>
    <xf numFmtId="0" fontId="22" fillId="42" borderId="38" xfId="0" applyFont="1" applyFill="1" applyBorder="1" applyAlignment="1" applyProtection="1">
      <alignment horizontal="left" vertical="top" wrapText="1"/>
      <protection locked="0"/>
    </xf>
    <xf numFmtId="0" fontId="71" fillId="42" borderId="38" xfId="0" applyFont="1" applyFill="1" applyBorder="1" applyAlignment="1" applyProtection="1">
      <alignment vertical="top" wrapText="1"/>
      <protection locked="0"/>
    </xf>
    <xf numFmtId="0" fontId="0" fillId="20" borderId="38" xfId="0" applyFill="1" applyBorder="1"/>
    <xf numFmtId="0" fontId="38" fillId="20" borderId="111" xfId="1" applyFont="1" applyFill="1" applyBorder="1" applyAlignment="1" applyProtection="1">
      <alignment horizontal="left" vertical="top" wrapText="1"/>
      <protection locked="0"/>
    </xf>
    <xf numFmtId="0" fontId="38" fillId="20" borderId="139" xfId="0" applyFont="1" applyFill="1" applyBorder="1" applyAlignment="1" applyProtection="1">
      <alignment horizontal="center" vertical="top" wrapText="1"/>
      <protection locked="0"/>
    </xf>
    <xf numFmtId="0" fontId="22" fillId="20" borderId="141" xfId="0" applyFont="1" applyFill="1" applyBorder="1" applyAlignment="1" applyProtection="1">
      <alignment vertical="top" wrapText="1"/>
      <protection locked="0"/>
    </xf>
    <xf numFmtId="0" fontId="22" fillId="20" borderId="39" xfId="0" applyFont="1" applyFill="1" applyBorder="1" applyAlignment="1" applyProtection="1">
      <alignment vertical="top" wrapText="1"/>
      <protection locked="0"/>
    </xf>
    <xf numFmtId="0" fontId="22" fillId="20" borderId="143" xfId="0" applyFont="1" applyFill="1" applyBorder="1" applyAlignment="1" applyProtection="1">
      <alignment vertical="top" wrapText="1"/>
      <protection locked="0"/>
    </xf>
    <xf numFmtId="0" fontId="22" fillId="20" borderId="38" xfId="0" applyFont="1" applyFill="1" applyBorder="1" applyProtection="1">
      <protection locked="0"/>
    </xf>
    <xf numFmtId="0" fontId="22" fillId="20" borderId="143" xfId="0" applyFont="1" applyFill="1" applyBorder="1" applyProtection="1">
      <protection locked="0"/>
    </xf>
    <xf numFmtId="0" fontId="22" fillId="2" borderId="38" xfId="0" applyFont="1" applyFill="1" applyBorder="1" applyAlignment="1" applyProtection="1">
      <alignment vertical="top" wrapText="1"/>
      <protection locked="0"/>
    </xf>
    <xf numFmtId="0" fontId="35" fillId="0" borderId="33" xfId="0" applyFont="1" applyFill="1" applyBorder="1" applyAlignment="1" applyProtection="1">
      <alignment horizontal="right" vertical="top"/>
      <protection locked="0"/>
    </xf>
    <xf numFmtId="0" fontId="38" fillId="0" borderId="131" xfId="0" applyFont="1" applyFill="1" applyBorder="1" applyAlignment="1" applyProtection="1">
      <alignment horizontal="center" vertical="top" wrapText="1"/>
      <protection locked="0"/>
    </xf>
    <xf numFmtId="0" fontId="22" fillId="0" borderId="157" xfId="0" applyFont="1" applyFill="1" applyBorder="1" applyAlignment="1" applyProtection="1">
      <alignment vertical="top" wrapText="1"/>
      <protection locked="0"/>
    </xf>
    <xf numFmtId="0" fontId="22" fillId="0" borderId="35" xfId="0" applyFont="1" applyFill="1" applyBorder="1" applyAlignment="1" applyProtection="1">
      <alignment vertical="top" wrapText="1"/>
      <protection locked="0"/>
    </xf>
    <xf numFmtId="0" fontId="22" fillId="0" borderId="36" xfId="0" applyFont="1" applyFill="1" applyBorder="1" applyAlignment="1" applyProtection="1">
      <alignment vertical="top" wrapText="1"/>
      <protection locked="0"/>
    </xf>
    <xf numFmtId="0" fontId="22" fillId="0" borderId="36" xfId="0" applyFont="1" applyFill="1" applyBorder="1" applyProtection="1">
      <protection locked="0"/>
    </xf>
    <xf numFmtId="0" fontId="35" fillId="0" borderId="37" xfId="0" applyFont="1" applyFill="1" applyBorder="1" applyAlignment="1" applyProtection="1">
      <alignment vertical="center"/>
      <protection locked="0"/>
    </xf>
    <xf numFmtId="0" fontId="35" fillId="0" borderId="38" xfId="0" applyFont="1" applyFill="1" applyBorder="1" applyAlignment="1" applyProtection="1">
      <alignment horizontal="center" vertical="center" wrapText="1"/>
      <protection locked="0"/>
    </xf>
    <xf numFmtId="0" fontId="0" fillId="0" borderId="38" xfId="0" applyFill="1" applyBorder="1"/>
    <xf numFmtId="0" fontId="38" fillId="0" borderId="111" xfId="1" applyFont="1" applyFill="1" applyBorder="1" applyAlignment="1" applyProtection="1">
      <alignment horizontal="left" vertical="top" wrapText="1"/>
      <protection locked="0"/>
    </xf>
    <xf numFmtId="0" fontId="38" fillId="0" borderId="139" xfId="0" applyFont="1" applyFill="1" applyBorder="1" applyAlignment="1" applyProtection="1">
      <alignment horizontal="center" vertical="top" wrapText="1"/>
      <protection locked="0"/>
    </xf>
    <xf numFmtId="0" fontId="22" fillId="0" borderId="38" xfId="0" applyFont="1" applyFill="1" applyBorder="1" applyAlignment="1" applyProtection="1">
      <alignment vertical="top" wrapText="1"/>
      <protection locked="0"/>
    </xf>
    <xf numFmtId="0" fontId="22" fillId="0" borderId="141" xfId="0" applyFont="1" applyFill="1" applyBorder="1" applyAlignment="1" applyProtection="1">
      <alignment vertical="top" wrapText="1"/>
      <protection locked="0"/>
    </xf>
    <xf numFmtId="0" fontId="22" fillId="0" borderId="39" xfId="0" applyFont="1" applyFill="1" applyBorder="1" applyAlignment="1" applyProtection="1">
      <alignment vertical="top" wrapText="1"/>
      <protection locked="0"/>
    </xf>
    <xf numFmtId="0" fontId="22" fillId="0" borderId="143" xfId="0" applyFont="1" applyFill="1" applyBorder="1" applyAlignment="1" applyProtection="1">
      <alignment vertical="top" wrapText="1"/>
      <protection locked="0"/>
    </xf>
    <xf numFmtId="0" fontId="22" fillId="0" borderId="143" xfId="0" applyFont="1" applyFill="1" applyBorder="1" applyProtection="1">
      <protection locked="0"/>
    </xf>
    <xf numFmtId="0" fontId="22" fillId="0" borderId="110" xfId="0" applyFont="1" applyBorder="1" applyAlignment="1">
      <alignment vertical="center" wrapText="1"/>
    </xf>
    <xf numFmtId="0" fontId="38" fillId="42" borderId="38" xfId="0" applyFont="1" applyFill="1" applyBorder="1" applyAlignment="1" applyProtection="1">
      <alignment vertical="top" wrapText="1"/>
    </xf>
    <xf numFmtId="0" fontId="22" fillId="0" borderId="38" xfId="0" applyFont="1" applyBorder="1" applyAlignment="1">
      <alignment horizontal="center" vertical="top" wrapText="1"/>
    </xf>
    <xf numFmtId="0" fontId="22" fillId="0" borderId="42" xfId="0" applyFont="1" applyFill="1" applyBorder="1" applyAlignment="1" applyProtection="1">
      <alignment vertical="top" wrapText="1"/>
      <protection locked="0"/>
    </xf>
    <xf numFmtId="0" fontId="38" fillId="0" borderId="133" xfId="84" applyFont="1" applyFill="1" applyBorder="1" applyAlignment="1" applyProtection="1">
      <alignment horizontal="center" vertical="top" wrapText="1"/>
      <protection locked="0"/>
    </xf>
    <xf numFmtId="0" fontId="56" fillId="2" borderId="179" xfId="84" applyFont="1" applyFill="1" applyBorder="1" applyAlignment="1" applyProtection="1">
      <alignment horizontal="center" vertical="top" wrapText="1"/>
      <protection locked="0"/>
    </xf>
    <xf numFmtId="0" fontId="56" fillId="2" borderId="148" xfId="84" applyFont="1" applyFill="1" applyBorder="1" applyAlignment="1" applyProtection="1">
      <alignment vertical="center" wrapText="1"/>
      <protection locked="0"/>
    </xf>
    <xf numFmtId="0" fontId="38" fillId="0" borderId="108" xfId="84" applyFont="1" applyFill="1" applyBorder="1" applyAlignment="1" applyProtection="1">
      <alignment vertical="center" wrapText="1"/>
      <protection locked="0"/>
    </xf>
    <xf numFmtId="0" fontId="38" fillId="0" borderId="180" xfId="84" applyFont="1" applyFill="1" applyBorder="1" applyAlignment="1" applyProtection="1">
      <alignment vertical="center" wrapText="1"/>
      <protection locked="0"/>
    </xf>
    <xf numFmtId="0" fontId="38" fillId="5" borderId="107" xfId="0" applyFont="1" applyFill="1" applyBorder="1" applyAlignment="1" applyProtection="1">
      <alignment horizontal="center" vertical="top" wrapText="1"/>
      <protection locked="0"/>
    </xf>
    <xf numFmtId="0" fontId="38" fillId="5" borderId="41" xfId="0" applyFont="1" applyFill="1" applyBorder="1" applyAlignment="1" applyProtection="1">
      <alignment horizontal="center" vertical="top" wrapText="1"/>
      <protection locked="0"/>
    </xf>
    <xf numFmtId="0" fontId="38" fillId="20" borderId="138" xfId="0" applyFont="1" applyFill="1" applyBorder="1" applyAlignment="1" applyProtection="1">
      <alignment horizontal="center" vertical="top" wrapText="1"/>
      <protection locked="0"/>
    </xf>
    <xf numFmtId="0" fontId="38" fillId="5" borderId="138" xfId="0" applyFont="1" applyFill="1" applyBorder="1" applyAlignment="1" applyProtection="1">
      <alignment horizontal="center" vertical="top" wrapText="1"/>
      <protection locked="0"/>
    </xf>
    <xf numFmtId="0" fontId="35" fillId="0" borderId="107" xfId="0" applyFont="1" applyFill="1" applyBorder="1" applyAlignment="1" applyProtection="1">
      <alignment horizontal="center" vertical="center" wrapText="1"/>
      <protection locked="0"/>
    </xf>
    <xf numFmtId="0" fontId="35" fillId="0" borderId="138" xfId="0" applyFont="1" applyFill="1" applyBorder="1" applyAlignment="1" applyProtection="1">
      <alignment horizontal="center" vertical="center" wrapText="1"/>
      <protection locked="0"/>
    </xf>
    <xf numFmtId="0" fontId="22" fillId="45" borderId="93" xfId="0" applyFont="1" applyFill="1" applyBorder="1" applyAlignment="1" applyProtection="1">
      <alignment vertical="top" wrapText="1"/>
      <protection locked="0"/>
    </xf>
    <xf numFmtId="0" fontId="22" fillId="45" borderId="28" xfId="0" applyFont="1" applyFill="1" applyBorder="1" applyAlignment="1" applyProtection="1">
      <alignment vertical="top" wrapText="1"/>
      <protection locked="0"/>
    </xf>
    <xf numFmtId="0" fontId="22" fillId="45" borderId="29" xfId="0" applyFont="1" applyFill="1" applyBorder="1" applyAlignment="1" applyProtection="1">
      <alignment vertical="top" wrapText="1"/>
      <protection locked="0"/>
    </xf>
    <xf numFmtId="0" fontId="38" fillId="0" borderId="141" xfId="0" applyFont="1" applyBorder="1" applyAlignment="1" applyProtection="1">
      <alignment vertical="top" wrapText="1"/>
      <protection locked="0"/>
    </xf>
    <xf numFmtId="0" fontId="38" fillId="0" borderId="39" xfId="0" applyFont="1" applyBorder="1" applyAlignment="1" applyProtection="1">
      <alignment vertical="top" wrapText="1"/>
      <protection locked="0"/>
    </xf>
    <xf numFmtId="0" fontId="22" fillId="20" borderId="39" xfId="0" applyFont="1" applyFill="1" applyBorder="1" applyAlignment="1" applyProtection="1">
      <alignment horizontal="center" vertical="center"/>
      <protection locked="0"/>
    </xf>
    <xf numFmtId="0" fontId="35" fillId="0" borderId="142" xfId="0" applyFont="1" applyFill="1" applyBorder="1" applyAlignment="1" applyProtection="1">
      <alignment horizontal="center" vertical="center" wrapText="1"/>
      <protection locked="0"/>
    </xf>
    <xf numFmtId="0" fontId="0" fillId="42" borderId="78" xfId="0" applyFill="1" applyBorder="1" applyProtection="1">
      <protection locked="0"/>
    </xf>
    <xf numFmtId="0" fontId="22" fillId="45" borderId="78" xfId="0" applyFont="1" applyFill="1" applyBorder="1" applyAlignment="1" applyProtection="1">
      <alignment vertical="top" wrapText="1"/>
      <protection locked="0"/>
    </xf>
    <xf numFmtId="0" fontId="22" fillId="20" borderId="78" xfId="0" applyFont="1" applyFill="1" applyBorder="1" applyProtection="1">
      <protection locked="0"/>
    </xf>
    <xf numFmtId="0" fontId="0" fillId="42" borderId="83" xfId="0" applyFill="1" applyBorder="1" applyProtection="1">
      <protection locked="0"/>
    </xf>
    <xf numFmtId="0" fontId="0" fillId="42" borderId="84" xfId="0" applyFill="1" applyBorder="1" applyProtection="1">
      <protection locked="0"/>
    </xf>
    <xf numFmtId="0" fontId="0" fillId="20" borderId="78" xfId="0" applyFill="1" applyBorder="1" applyProtection="1">
      <protection locked="0"/>
    </xf>
    <xf numFmtId="0" fontId="0" fillId="20" borderId="84" xfId="0" applyFill="1" applyBorder="1" applyProtection="1">
      <protection locked="0"/>
    </xf>
    <xf numFmtId="0" fontId="35" fillId="34" borderId="78" xfId="0" applyFont="1" applyFill="1" applyBorder="1" applyAlignment="1" applyProtection="1">
      <alignment horizontal="center" vertical="center" wrapText="1"/>
      <protection locked="0"/>
    </xf>
    <xf numFmtId="0" fontId="22" fillId="20" borderId="83" xfId="0" applyFont="1" applyFill="1" applyBorder="1" applyProtection="1">
      <protection locked="0"/>
    </xf>
    <xf numFmtId="0" fontId="22" fillId="20" borderId="84" xfId="0" applyFont="1" applyFill="1" applyBorder="1" applyProtection="1">
      <protection locked="0"/>
    </xf>
    <xf numFmtId="0" fontId="35" fillId="5" borderId="30" xfId="0" applyFont="1" applyFill="1" applyBorder="1" applyAlignment="1" applyProtection="1">
      <alignment horizontal="right" vertical="top" wrapText="1"/>
      <protection locked="0"/>
    </xf>
    <xf numFmtId="0" fontId="35" fillId="5" borderId="31" xfId="0" applyFont="1" applyFill="1" applyBorder="1" applyAlignment="1" applyProtection="1">
      <alignment vertical="top" wrapText="1"/>
      <protection locked="0"/>
    </xf>
    <xf numFmtId="0" fontId="35" fillId="42" borderId="31" xfId="0" applyFont="1" applyFill="1" applyBorder="1" applyAlignment="1" applyProtection="1">
      <alignment horizontal="center" vertical="top" wrapText="1"/>
      <protection locked="0"/>
    </xf>
    <xf numFmtId="0" fontId="38" fillId="5" borderId="31" xfId="0" applyFont="1" applyFill="1" applyBorder="1" applyAlignment="1" applyProtection="1">
      <alignment horizontal="left" vertical="top" wrapText="1"/>
      <protection locked="0"/>
    </xf>
    <xf numFmtId="0" fontId="38" fillId="0" borderId="31" xfId="0" applyFont="1" applyBorder="1" applyAlignment="1" applyProtection="1">
      <alignment horizontal="center" vertical="top" wrapText="1"/>
      <protection locked="0"/>
    </xf>
    <xf numFmtId="0" fontId="22" fillId="0" borderId="31" xfId="0" applyFont="1" applyBorder="1" applyAlignment="1" applyProtection="1">
      <alignment horizontal="center" vertical="top" wrapText="1"/>
      <protection locked="0"/>
    </xf>
    <xf numFmtId="0" fontId="38" fillId="5" borderId="150" xfId="0" applyFont="1" applyFill="1" applyBorder="1" applyAlignment="1" applyProtection="1">
      <alignment horizontal="center" vertical="top" wrapText="1"/>
      <protection locked="0"/>
    </xf>
    <xf numFmtId="0" fontId="0" fillId="42" borderId="140" xfId="0" applyFill="1" applyBorder="1" applyProtection="1">
      <protection locked="0"/>
    </xf>
    <xf numFmtId="0" fontId="38" fillId="2" borderId="31" xfId="0" applyFont="1" applyFill="1" applyBorder="1" applyAlignment="1" applyProtection="1">
      <alignment vertical="top" wrapText="1"/>
      <protection locked="0"/>
    </xf>
    <xf numFmtId="0" fontId="22" fillId="0" borderId="58" xfId="0" applyFont="1" applyBorder="1" applyAlignment="1">
      <alignment vertical="center" wrapText="1"/>
    </xf>
    <xf numFmtId="0" fontId="22" fillId="0" borderId="137" xfId="0" applyFont="1" applyFill="1" applyBorder="1" applyAlignment="1" applyProtection="1">
      <alignment vertical="top" wrapText="1"/>
      <protection locked="0"/>
    </xf>
    <xf numFmtId="0" fontId="22" fillId="0" borderId="184" xfId="0" applyFont="1" applyFill="1" applyBorder="1" applyAlignment="1" applyProtection="1">
      <alignment vertical="top" wrapText="1"/>
      <protection locked="0"/>
    </xf>
    <xf numFmtId="0" fontId="22" fillId="20" borderId="184" xfId="0" applyFont="1" applyFill="1" applyBorder="1" applyAlignment="1" applyProtection="1">
      <alignment vertical="top" wrapText="1"/>
      <protection locked="0"/>
    </xf>
    <xf numFmtId="0" fontId="22" fillId="20" borderId="185" xfId="0" applyFont="1" applyFill="1" applyBorder="1" applyAlignment="1" applyProtection="1">
      <alignment vertical="top" wrapText="1"/>
      <protection locked="0"/>
    </xf>
    <xf numFmtId="0" fontId="38" fillId="0" borderId="116" xfId="84" applyFont="1" applyFill="1" applyBorder="1" applyAlignment="1">
      <alignment horizontal="center" vertical="top" wrapText="1"/>
    </xf>
    <xf numFmtId="0" fontId="38" fillId="0" borderId="44" xfId="84" applyFont="1" applyFill="1" applyBorder="1" applyAlignment="1">
      <alignment horizontal="center" vertical="top" wrapText="1"/>
    </xf>
    <xf numFmtId="0" fontId="38" fillId="2" borderId="182" xfId="84" applyFont="1" applyFill="1" applyBorder="1" applyAlignment="1" applyProtection="1">
      <alignment horizontal="center" vertical="center" wrapText="1"/>
      <protection locked="0"/>
    </xf>
    <xf numFmtId="0" fontId="38" fillId="0" borderId="183" xfId="84" applyFont="1" applyFill="1" applyBorder="1" applyAlignment="1">
      <alignment horizontal="center" vertical="top" wrapText="1"/>
    </xf>
    <xf numFmtId="0" fontId="38" fillId="2" borderId="186" xfId="84" applyFont="1" applyFill="1" applyBorder="1" applyAlignment="1" applyProtection="1">
      <alignment vertical="center" wrapText="1"/>
      <protection locked="0"/>
    </xf>
    <xf numFmtId="0" fontId="56" fillId="0" borderId="184" xfId="0" applyFont="1" applyFill="1" applyBorder="1" applyAlignment="1" applyProtection="1">
      <alignment vertical="center" wrapText="1"/>
      <protection locked="0"/>
    </xf>
    <xf numFmtId="0" fontId="56" fillId="0" borderId="185" xfId="0" applyFont="1" applyFill="1" applyBorder="1" applyAlignment="1" applyProtection="1">
      <alignment vertical="center" wrapText="1"/>
      <protection locked="0"/>
    </xf>
    <xf numFmtId="0" fontId="0" fillId="20" borderId="113" xfId="0" applyFill="1" applyBorder="1"/>
    <xf numFmtId="0" fontId="38" fillId="42" borderId="34" xfId="0" applyFont="1" applyFill="1" applyBorder="1" applyAlignment="1" applyProtection="1">
      <alignment horizontal="left" vertical="top" wrapText="1"/>
      <protection locked="0"/>
    </xf>
    <xf numFmtId="0" fontId="35" fillId="0" borderId="38" xfId="0" applyFont="1" applyFill="1" applyBorder="1" applyAlignment="1" applyProtection="1">
      <alignment horizontal="left" vertical="top" wrapText="1"/>
      <protection locked="0"/>
    </xf>
    <xf numFmtId="0" fontId="38" fillId="0" borderId="138" xfId="0" applyFont="1" applyFill="1" applyBorder="1" applyAlignment="1" applyProtection="1">
      <alignment horizontal="center" vertical="top" wrapText="1"/>
      <protection locked="0"/>
    </xf>
    <xf numFmtId="0" fontId="35" fillId="20" borderId="37" xfId="0" applyFont="1" applyFill="1" applyBorder="1" applyAlignment="1" applyProtection="1">
      <alignment horizontal="right" vertical="top"/>
      <protection locked="0"/>
    </xf>
    <xf numFmtId="0" fontId="22" fillId="20" borderId="74" xfId="0" applyFont="1" applyFill="1" applyBorder="1" applyAlignment="1">
      <alignment vertical="top" wrapText="1"/>
    </xf>
    <xf numFmtId="0" fontId="35" fillId="20" borderId="39" xfId="0" applyFont="1" applyFill="1" applyBorder="1" applyAlignment="1" applyProtection="1">
      <alignment horizontal="center" vertical="center" wrapText="1"/>
      <protection locked="0"/>
    </xf>
    <xf numFmtId="0" fontId="35" fillId="20" borderId="38" xfId="0" applyFont="1" applyFill="1" applyBorder="1" applyAlignment="1" applyProtection="1">
      <alignment horizontal="left" vertical="top" wrapText="1"/>
      <protection locked="0"/>
    </xf>
    <xf numFmtId="0" fontId="69" fillId="0" borderId="190" xfId="84" applyFont="1" applyBorder="1" applyAlignment="1" applyProtection="1">
      <alignment vertical="top" wrapText="1"/>
      <protection locked="0"/>
    </xf>
    <xf numFmtId="0" fontId="69" fillId="0" borderId="191" xfId="84" applyFont="1" applyBorder="1" applyAlignment="1" applyProtection="1">
      <alignment vertical="top" wrapText="1"/>
      <protection locked="0"/>
    </xf>
    <xf numFmtId="0" fontId="69" fillId="0" borderId="192" xfId="84" applyFont="1" applyBorder="1" applyAlignment="1" applyProtection="1">
      <alignment vertical="top" wrapText="1"/>
      <protection locked="0"/>
    </xf>
    <xf numFmtId="0" fontId="38" fillId="42" borderId="31" xfId="0" applyFont="1" applyFill="1" applyBorder="1" applyAlignment="1" applyProtection="1">
      <alignment horizontal="left" vertical="top" wrapText="1"/>
      <protection locked="0"/>
    </xf>
    <xf numFmtId="0" fontId="22" fillId="0" borderId="58" xfId="0" applyFont="1" applyFill="1" applyBorder="1" applyAlignment="1" applyProtection="1">
      <alignment vertical="top" wrapText="1"/>
      <protection locked="0"/>
    </xf>
    <xf numFmtId="0" fontId="35" fillId="20" borderId="41" xfId="0" applyFont="1" applyFill="1" applyBorder="1" applyAlignment="1" applyProtection="1">
      <alignment horizontal="center" vertical="center" wrapText="1"/>
      <protection locked="0"/>
    </xf>
    <xf numFmtId="0" fontId="35" fillId="20" borderId="0" xfId="58" applyFont="1" applyFill="1" applyBorder="1" applyAlignment="1" applyProtection="1">
      <alignment horizontal="center" vertical="center" wrapText="1"/>
      <protection locked="0"/>
    </xf>
    <xf numFmtId="0" fontId="35" fillId="8" borderId="196" xfId="84" applyFont="1" applyFill="1" applyBorder="1" applyAlignment="1" applyProtection="1">
      <alignment horizontal="center" vertical="center" wrapText="1"/>
      <protection locked="0"/>
    </xf>
    <xf numFmtId="0" fontId="35" fillId="42" borderId="34" xfId="58" applyFont="1" applyFill="1" applyBorder="1" applyAlignment="1" applyProtection="1">
      <alignment horizontal="center" vertical="center" wrapText="1"/>
      <protection locked="0"/>
    </xf>
    <xf numFmtId="0" fontId="0" fillId="42" borderId="31" xfId="0" applyFill="1" applyBorder="1" applyProtection="1">
      <protection locked="0"/>
    </xf>
    <xf numFmtId="0" fontId="35" fillId="0" borderId="37" xfId="0" applyFont="1" applyFill="1" applyBorder="1" applyAlignment="1" applyProtection="1">
      <alignment horizontal="right" vertical="top" wrapText="1"/>
      <protection locked="0"/>
    </xf>
    <xf numFmtId="0" fontId="38" fillId="42" borderId="145" xfId="0" applyFont="1" applyFill="1" applyBorder="1" applyAlignment="1" applyProtection="1">
      <alignment horizontal="center" vertical="top" wrapText="1"/>
      <protection locked="0"/>
    </xf>
    <xf numFmtId="0" fontId="38" fillId="42" borderId="38" xfId="0" applyFont="1" applyFill="1" applyBorder="1" applyAlignment="1" applyProtection="1">
      <alignment vertical="top" wrapText="1"/>
      <protection locked="0"/>
    </xf>
    <xf numFmtId="0" fontId="76" fillId="39" borderId="201" xfId="0" applyFont="1" applyFill="1" applyBorder="1" applyAlignment="1">
      <alignment horizontal="center" vertical="center" wrapText="1"/>
    </xf>
    <xf numFmtId="0" fontId="35" fillId="20" borderId="38" xfId="58" applyFont="1" applyFill="1" applyBorder="1" applyAlignment="1" applyProtection="1">
      <alignment horizontal="center" vertical="center" wrapText="1"/>
      <protection locked="0"/>
    </xf>
    <xf numFmtId="0" fontId="35" fillId="20" borderId="33" xfId="0" applyFont="1" applyFill="1" applyBorder="1" applyAlignment="1" applyProtection="1">
      <alignment horizontal="right" vertical="top" wrapText="1"/>
      <protection locked="0"/>
    </xf>
    <xf numFmtId="0" fontId="38" fillId="20" borderId="34" xfId="0" applyFont="1" applyFill="1" applyBorder="1" applyAlignment="1" applyProtection="1">
      <alignment horizontal="left" vertical="top" wrapText="1"/>
      <protection locked="0"/>
    </xf>
    <xf numFmtId="0" fontId="38" fillId="42" borderId="34" xfId="0" applyFont="1" applyFill="1" applyBorder="1" applyAlignment="1" applyProtection="1">
      <alignment vertical="top" wrapText="1"/>
      <protection locked="0"/>
    </xf>
    <xf numFmtId="0" fontId="38" fillId="20" borderId="34" xfId="0" applyFont="1" applyFill="1" applyBorder="1" applyAlignment="1" applyProtection="1">
      <alignment horizontal="center" vertical="top" wrapText="1"/>
      <protection locked="0"/>
    </xf>
    <xf numFmtId="0" fontId="38" fillId="20" borderId="34" xfId="0" applyFont="1" applyFill="1" applyBorder="1" applyAlignment="1" applyProtection="1">
      <alignment vertical="top" wrapText="1"/>
      <protection locked="0"/>
    </xf>
    <xf numFmtId="0" fontId="27" fillId="20" borderId="142" xfId="0" applyFont="1" applyFill="1" applyBorder="1" applyAlignment="1" applyProtection="1">
      <alignment horizontal="center" vertical="center"/>
      <protection locked="0"/>
    </xf>
    <xf numFmtId="0" fontId="38" fillId="20" borderId="157" xfId="0" applyFont="1" applyFill="1" applyBorder="1" applyAlignment="1" applyProtection="1">
      <alignment vertical="top" wrapText="1"/>
      <protection locked="0"/>
    </xf>
    <xf numFmtId="0" fontId="38" fillId="20" borderId="35" xfId="0" applyFont="1" applyFill="1" applyBorder="1" applyAlignment="1" applyProtection="1">
      <alignment vertical="top" wrapText="1"/>
      <protection locked="0"/>
    </xf>
    <xf numFmtId="0" fontId="22" fillId="20" borderId="35" xfId="0" applyFont="1" applyFill="1" applyBorder="1" applyAlignment="1" applyProtection="1">
      <alignment horizontal="center" vertical="center"/>
      <protection locked="0"/>
    </xf>
    <xf numFmtId="0" fontId="38" fillId="20" borderId="36" xfId="0" applyFont="1" applyFill="1" applyBorder="1" applyAlignment="1" applyProtection="1">
      <alignment vertical="top" wrapText="1"/>
      <protection locked="0"/>
    </xf>
    <xf numFmtId="0" fontId="35" fillId="20" borderId="34" xfId="58" applyFont="1" applyFill="1" applyBorder="1" applyAlignment="1" applyProtection="1">
      <alignment horizontal="center" vertical="center" wrapText="1"/>
      <protection locked="0"/>
    </xf>
    <xf numFmtId="0" fontId="38" fillId="0" borderId="31" xfId="0" applyFont="1" applyFill="1" applyBorder="1" applyAlignment="1">
      <alignment horizontal="center" vertical="top" wrapText="1"/>
    </xf>
    <xf numFmtId="0" fontId="38" fillId="0" borderId="150" xfId="0" applyFont="1" applyFill="1" applyBorder="1" applyAlignment="1" applyProtection="1">
      <alignment horizontal="center" vertical="top" wrapText="1"/>
    </xf>
    <xf numFmtId="0" fontId="35" fillId="8" borderId="198" xfId="84" applyFont="1" applyFill="1" applyBorder="1" applyAlignment="1" applyProtection="1">
      <alignment horizontal="center" vertical="center" wrapText="1"/>
      <protection locked="0"/>
    </xf>
    <xf numFmtId="0" fontId="38" fillId="20" borderId="107" xfId="0" applyFont="1" applyFill="1" applyBorder="1" applyAlignment="1" applyProtection="1">
      <alignment horizontal="center" vertical="top" wrapText="1"/>
      <protection locked="0"/>
    </xf>
    <xf numFmtId="0" fontId="56" fillId="2" borderId="199" xfId="84" applyFont="1" applyFill="1" applyBorder="1" applyAlignment="1" applyProtection="1">
      <alignment vertical="center" wrapText="1"/>
      <protection locked="0"/>
    </xf>
    <xf numFmtId="0" fontId="75" fillId="38" borderId="111" xfId="0" applyFont="1" applyFill="1" applyBorder="1" applyAlignment="1">
      <alignment horizontal="center" vertical="top"/>
    </xf>
    <xf numFmtId="0" fontId="35" fillId="0" borderId="83" xfId="58" applyFont="1" applyFill="1" applyBorder="1" applyAlignment="1" applyProtection="1">
      <alignment horizontal="center" vertical="center" wrapText="1"/>
      <protection locked="0"/>
    </xf>
    <xf numFmtId="0" fontId="27" fillId="0" borderId="35" xfId="0" applyFont="1" applyBorder="1" applyAlignment="1" applyProtection="1">
      <alignment horizontal="center" vertical="center"/>
      <protection locked="0"/>
    </xf>
    <xf numFmtId="0" fontId="27" fillId="0" borderId="28" xfId="0" applyFont="1" applyBorder="1" applyAlignment="1" applyProtection="1">
      <alignment horizontal="center" vertical="center"/>
      <protection locked="0"/>
    </xf>
    <xf numFmtId="0" fontId="27" fillId="0" borderId="39" xfId="0" applyFont="1" applyBorder="1" applyAlignment="1" applyProtection="1">
      <alignment horizontal="center" vertical="center"/>
      <protection locked="0"/>
    </xf>
    <xf numFmtId="0" fontId="35" fillId="2" borderId="20" xfId="0" applyFont="1" applyFill="1" applyBorder="1" applyAlignment="1" applyProtection="1">
      <alignment horizontal="center" vertical="center" wrapText="1"/>
      <protection locked="0"/>
    </xf>
    <xf numFmtId="0" fontId="38" fillId="0" borderId="0" xfId="0" applyFont="1" applyFill="1" applyBorder="1" applyAlignment="1" applyProtection="1">
      <alignment horizontal="left" vertical="top" wrapText="1"/>
    </xf>
    <xf numFmtId="0" fontId="35" fillId="0" borderId="33" xfId="0" applyFont="1" applyFill="1" applyBorder="1" applyAlignment="1">
      <alignment horizontal="right" vertical="top" wrapText="1"/>
    </xf>
    <xf numFmtId="0" fontId="35" fillId="0" borderId="27" xfId="0" applyFont="1" applyFill="1" applyBorder="1" applyAlignment="1">
      <alignment horizontal="right" vertical="top" wrapText="1"/>
    </xf>
    <xf numFmtId="0" fontId="33" fillId="0" borderId="0" xfId="0" applyFont="1" applyFill="1" applyBorder="1" applyAlignment="1" applyProtection="1">
      <alignment horizontal="center" vertical="top" wrapText="1"/>
    </xf>
    <xf numFmtId="0" fontId="38" fillId="0" borderId="107" xfId="0" applyFont="1" applyFill="1" applyBorder="1" applyAlignment="1" applyProtection="1">
      <alignment horizontal="center" vertical="top" wrapText="1"/>
    </xf>
    <xf numFmtId="0" fontId="38" fillId="0" borderId="41" xfId="0" applyFont="1" applyFill="1" applyBorder="1" applyAlignment="1" applyProtection="1">
      <alignment horizontal="center" vertical="top" wrapText="1"/>
    </xf>
    <xf numFmtId="0" fontId="38" fillId="20" borderId="0" xfId="0" applyFont="1" applyFill="1" applyBorder="1" applyAlignment="1" applyProtection="1">
      <alignment vertical="top" wrapText="1"/>
      <protection locked="0"/>
    </xf>
    <xf numFmtId="0" fontId="38" fillId="0" borderId="34" xfId="0" applyFont="1" applyFill="1" applyBorder="1" applyAlignment="1" applyProtection="1">
      <alignment vertical="top" wrapText="1"/>
      <protection locked="0"/>
    </xf>
    <xf numFmtId="0" fontId="38" fillId="0" borderId="0" xfId="0" applyFont="1" applyFill="1" applyBorder="1" applyAlignment="1" applyProtection="1">
      <alignment vertical="top" wrapText="1"/>
      <protection locked="0"/>
    </xf>
    <xf numFmtId="0" fontId="22" fillId="20" borderId="0" xfId="0" applyFont="1" applyFill="1" applyBorder="1" applyAlignment="1" applyProtection="1">
      <alignment horizontal="left" vertical="top" wrapText="1"/>
      <protection locked="0"/>
    </xf>
    <xf numFmtId="0" fontId="22" fillId="20" borderId="38" xfId="0" applyFont="1" applyFill="1" applyBorder="1" applyAlignment="1" applyProtection="1">
      <alignment horizontal="left" vertical="top" wrapText="1"/>
      <protection locked="0"/>
    </xf>
    <xf numFmtId="0" fontId="38" fillId="42" borderId="34" xfId="0" applyFont="1" applyFill="1" applyBorder="1" applyAlignment="1" applyProtection="1">
      <alignment horizontal="center" vertical="top" wrapText="1"/>
      <protection locked="0"/>
    </xf>
    <xf numFmtId="0" fontId="38" fillId="5" borderId="107" xfId="0" applyFont="1" applyFill="1" applyBorder="1" applyAlignment="1" applyProtection="1">
      <alignment horizontal="center" vertical="top" wrapText="1"/>
      <protection locked="0"/>
    </xf>
    <xf numFmtId="0" fontId="22" fillId="0" borderId="34"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8" fillId="0" borderId="34" xfId="0" applyFont="1" applyFill="1" applyBorder="1" applyAlignment="1" applyProtection="1">
      <alignment horizontal="center" vertical="top" wrapText="1"/>
      <protection locked="0"/>
    </xf>
    <xf numFmtId="0" fontId="38" fillId="0" borderId="0" xfId="0" applyFont="1" applyFill="1" applyBorder="1" applyAlignment="1" applyProtection="1">
      <alignment horizontal="center" vertical="top" wrapText="1"/>
      <protection locked="0"/>
    </xf>
    <xf numFmtId="0" fontId="38" fillId="42" borderId="0" xfId="0" applyFont="1" applyFill="1" applyBorder="1" applyAlignment="1" applyProtection="1">
      <alignment vertical="top" wrapText="1"/>
      <protection locked="0"/>
    </xf>
    <xf numFmtId="0" fontId="0" fillId="0" borderId="45" xfId="0" applyBorder="1" applyAlignment="1">
      <alignment horizontal="center"/>
    </xf>
    <xf numFmtId="0" fontId="0" fillId="0" borderId="57" xfId="0" applyBorder="1" applyAlignment="1">
      <alignment horizontal="center"/>
    </xf>
    <xf numFmtId="0" fontId="22" fillId="0" borderId="0" xfId="0" applyFont="1" applyFill="1" applyBorder="1" applyAlignment="1">
      <alignment horizontal="left" vertical="top" wrapText="1"/>
    </xf>
    <xf numFmtId="0" fontId="38" fillId="42" borderId="34" xfId="0" applyFont="1" applyFill="1" applyBorder="1" applyAlignment="1" applyProtection="1">
      <alignment vertical="top" wrapText="1"/>
      <protection locked="0"/>
    </xf>
    <xf numFmtId="0" fontId="38" fillId="4" borderId="31" xfId="0" applyFont="1" applyFill="1" applyBorder="1" applyAlignment="1">
      <alignment vertical="top" wrapText="1"/>
    </xf>
    <xf numFmtId="0" fontId="38" fillId="4" borderId="0" xfId="0" applyFont="1" applyFill="1" applyAlignment="1">
      <alignment vertical="top" wrapText="1"/>
    </xf>
    <xf numFmtId="0" fontId="75" fillId="38" borderId="117" xfId="0" applyFont="1" applyFill="1" applyBorder="1" applyAlignment="1">
      <alignment horizontal="center" vertical="top"/>
    </xf>
    <xf numFmtId="0" fontId="76" fillId="39" borderId="207" xfId="0" applyFont="1" applyFill="1" applyBorder="1" applyAlignment="1">
      <alignment horizontal="center" vertical="center" wrapText="1"/>
    </xf>
    <xf numFmtId="0" fontId="0" fillId="0" borderId="151" xfId="0" applyBorder="1" applyProtection="1">
      <protection locked="0"/>
    </xf>
    <xf numFmtId="0" fontId="38" fillId="20" borderId="209" xfId="84" applyFont="1" applyFill="1" applyBorder="1" applyAlignment="1" applyProtection="1">
      <alignment horizontal="left" vertical="top"/>
      <protection locked="0"/>
    </xf>
    <xf numFmtId="0" fontId="38" fillId="20" borderId="209" xfId="84" applyFont="1" applyFill="1" applyBorder="1" applyAlignment="1" applyProtection="1">
      <alignment vertical="top"/>
      <protection locked="0"/>
    </xf>
    <xf numFmtId="0" fontId="22" fillId="20" borderId="209" xfId="84" applyFont="1" applyFill="1" applyBorder="1" applyAlignment="1" applyProtection="1">
      <alignment horizontal="left" vertical="top"/>
      <protection locked="0"/>
    </xf>
    <xf numFmtId="0" fontId="22" fillId="20" borderId="209" xfId="84" applyFont="1" applyFill="1" applyBorder="1" applyAlignment="1" applyProtection="1">
      <alignment vertical="top"/>
      <protection locked="0"/>
    </xf>
    <xf numFmtId="0" fontId="22" fillId="20" borderId="212" xfId="84" applyFont="1" applyFill="1" applyBorder="1" applyAlignment="1" applyProtection="1">
      <alignment vertical="top"/>
      <protection locked="0"/>
    </xf>
    <xf numFmtId="0" fontId="27" fillId="20" borderId="39" xfId="0" applyFont="1" applyFill="1" applyBorder="1" applyAlignment="1" applyProtection="1">
      <alignment horizontal="center" vertical="center"/>
      <protection locked="0"/>
    </xf>
    <xf numFmtId="0" fontId="35" fillId="34" borderId="31" xfId="0" applyFont="1" applyFill="1" applyBorder="1" applyAlignment="1" applyProtection="1">
      <alignment vertical="center" wrapText="1"/>
      <protection locked="0"/>
    </xf>
    <xf numFmtId="0" fontId="35" fillId="34" borderId="42" xfId="0" applyFont="1" applyFill="1" applyBorder="1" applyAlignment="1" applyProtection="1">
      <alignment horizontal="center" vertical="center" wrapText="1"/>
      <protection locked="0"/>
    </xf>
    <xf numFmtId="0" fontId="35" fillId="34" borderId="30" xfId="0" applyFont="1" applyFill="1" applyBorder="1" applyAlignment="1" applyProtection="1">
      <alignment horizontal="center" vertical="center" wrapText="1"/>
      <protection locked="0"/>
    </xf>
    <xf numFmtId="0" fontId="22" fillId="45" borderId="31" xfId="0" applyFont="1" applyFill="1" applyBorder="1" applyAlignment="1" applyProtection="1">
      <alignment vertical="top" wrapText="1"/>
      <protection locked="0"/>
    </xf>
    <xf numFmtId="0" fontId="38" fillId="45" borderId="42" xfId="1" applyFont="1" applyFill="1" applyBorder="1" applyAlignment="1" applyProtection="1">
      <alignment vertical="top" wrapText="1"/>
      <protection locked="0"/>
    </xf>
    <xf numFmtId="0" fontId="72" fillId="45" borderId="30" xfId="83" applyFont="1" applyFill="1" applyBorder="1" applyAlignment="1" applyProtection="1">
      <alignment vertical="top" wrapText="1"/>
      <protection locked="0"/>
    </xf>
    <xf numFmtId="0" fontId="22" fillId="45" borderId="31" xfId="0" applyFont="1" applyFill="1" applyBorder="1" applyAlignment="1" applyProtection="1">
      <alignment horizontal="left" vertical="top" wrapText="1"/>
      <protection locked="0"/>
    </xf>
    <xf numFmtId="0" fontId="75" fillId="38" borderId="74" xfId="0" applyFont="1" applyFill="1" applyBorder="1" applyAlignment="1">
      <alignment horizontal="center" vertical="top"/>
    </xf>
    <xf numFmtId="0" fontId="76" fillId="39" borderId="178" xfId="0" applyFont="1" applyFill="1" applyBorder="1" applyAlignment="1">
      <alignment horizontal="center" vertical="center" wrapText="1"/>
    </xf>
    <xf numFmtId="0" fontId="22" fillId="20" borderId="0" xfId="0" applyFont="1" applyFill="1" applyBorder="1" applyAlignment="1">
      <alignment horizontal="center" vertical="center" wrapText="1"/>
    </xf>
    <xf numFmtId="0" fontId="22" fillId="20" borderId="214" xfId="0" applyFont="1" applyFill="1" applyBorder="1" applyAlignment="1">
      <alignment horizontal="center" vertical="center" wrapText="1"/>
    </xf>
    <xf numFmtId="0" fontId="27" fillId="20" borderId="35" xfId="0" applyFont="1" applyFill="1" applyBorder="1" applyAlignment="1" applyProtection="1">
      <alignment horizontal="center" vertical="center"/>
      <protection locked="0"/>
    </xf>
    <xf numFmtId="0" fontId="38" fillId="0" borderId="217" xfId="0" applyFont="1" applyBorder="1" applyAlignment="1" applyProtection="1">
      <alignment horizontal="left" vertical="top" wrapText="1"/>
      <protection locked="0"/>
    </xf>
    <xf numFmtId="0" fontId="0" fillId="0" borderId="204" xfId="0" applyBorder="1"/>
    <xf numFmtId="0" fontId="22" fillId="0" borderId="193" xfId="0" applyFont="1" applyBorder="1" applyAlignment="1">
      <alignment vertical="center" wrapText="1"/>
    </xf>
    <xf numFmtId="0" fontId="22" fillId="0" borderId="218" xfId="0" applyFont="1" applyBorder="1" applyAlignment="1">
      <alignment vertical="center" wrapText="1"/>
    </xf>
    <xf numFmtId="0" fontId="38" fillId="0" borderId="107" xfId="0" applyFont="1" applyFill="1" applyBorder="1" applyAlignment="1" applyProtection="1">
      <alignment horizontal="center" vertical="center" wrapText="1"/>
      <protection locked="0"/>
    </xf>
    <xf numFmtId="0" fontId="27" fillId="0" borderId="220" xfId="0" applyFont="1" applyFill="1" applyBorder="1" applyAlignment="1">
      <alignment vertical="center" wrapText="1"/>
    </xf>
    <xf numFmtId="0" fontId="35" fillId="0" borderId="146" xfId="0" applyFont="1" applyFill="1" applyBorder="1" applyAlignment="1" applyProtection="1">
      <alignment vertical="top" wrapText="1"/>
      <protection locked="0"/>
    </xf>
    <xf numFmtId="0" fontId="35" fillId="0" borderId="72" xfId="0" applyFont="1" applyFill="1" applyBorder="1" applyAlignment="1" applyProtection="1">
      <alignment vertical="top" wrapText="1"/>
      <protection locked="0"/>
    </xf>
    <xf numFmtId="0" fontId="0" fillId="0" borderId="116" xfId="0" applyBorder="1" applyAlignment="1">
      <alignment horizontal="center"/>
    </xf>
    <xf numFmtId="0" fontId="0" fillId="0" borderId="44" xfId="0" applyBorder="1" applyAlignment="1">
      <alignment horizontal="center"/>
    </xf>
    <xf numFmtId="0" fontId="56" fillId="2" borderId="219" xfId="84" applyFont="1" applyFill="1" applyBorder="1" applyAlignment="1" applyProtection="1">
      <alignment horizontal="left" vertical="top" wrapText="1"/>
      <protection locked="0"/>
    </xf>
    <xf numFmtId="0" fontId="35" fillId="0" borderId="221" xfId="84" applyFont="1" applyFill="1" applyBorder="1" applyAlignment="1" applyProtection="1">
      <alignment horizontal="left" vertical="top" wrapText="1"/>
      <protection locked="0"/>
    </xf>
    <xf numFmtId="0" fontId="0" fillId="0" borderId="125" xfId="0" applyBorder="1" applyAlignment="1">
      <alignment horizontal="center"/>
    </xf>
    <xf numFmtId="0" fontId="0" fillId="0" borderId="123" xfId="0" applyBorder="1" applyAlignment="1">
      <alignment horizontal="center"/>
    </xf>
    <xf numFmtId="0" fontId="56" fillId="2" borderId="137" xfId="84" applyFont="1" applyFill="1" applyBorder="1" applyAlignment="1" applyProtection="1">
      <alignment horizontal="left" vertical="top" wrapText="1"/>
      <protection locked="0"/>
    </xf>
    <xf numFmtId="0" fontId="56" fillId="2" borderId="118" xfId="84" applyFont="1" applyFill="1" applyBorder="1" applyAlignment="1" applyProtection="1">
      <alignment horizontal="center" vertical="center" wrapText="1"/>
      <protection locked="0"/>
    </xf>
    <xf numFmtId="0" fontId="27" fillId="0" borderId="222" xfId="0" applyFont="1" applyFill="1" applyBorder="1" applyAlignment="1">
      <alignment vertical="center" wrapText="1"/>
    </xf>
    <xf numFmtId="0" fontId="56" fillId="2" borderId="194" xfId="84" applyFont="1" applyFill="1" applyBorder="1" applyAlignment="1" applyProtection="1">
      <alignment horizontal="left" vertical="top" wrapText="1"/>
      <protection locked="0"/>
    </xf>
    <xf numFmtId="0" fontId="33" fillId="0" borderId="137" xfId="0" applyFont="1" applyFill="1" applyBorder="1" applyAlignment="1" applyProtection="1">
      <alignment vertical="top" wrapText="1"/>
      <protection locked="0"/>
    </xf>
    <xf numFmtId="0" fontId="38" fillId="0" borderId="223" xfId="0" applyFont="1" applyFill="1" applyBorder="1" applyAlignment="1" applyProtection="1">
      <alignment vertical="top" wrapText="1"/>
      <protection locked="0"/>
    </xf>
    <xf numFmtId="0" fontId="0" fillId="0" borderId="224" xfId="0" applyBorder="1"/>
    <xf numFmtId="0" fontId="38" fillId="47" borderId="226" xfId="0" applyFont="1" applyFill="1" applyBorder="1" applyAlignment="1">
      <alignment horizontal="center" vertical="center" wrapText="1"/>
    </xf>
    <xf numFmtId="0" fontId="70" fillId="47" borderId="226" xfId="0" applyFont="1" applyFill="1" applyBorder="1" applyAlignment="1">
      <alignment horizontal="center" vertical="center" wrapText="1"/>
    </xf>
    <xf numFmtId="0" fontId="70" fillId="47" borderId="112" xfId="0" applyFont="1" applyFill="1" applyBorder="1" applyAlignment="1">
      <alignment horizontal="center" vertical="center" wrapText="1"/>
    </xf>
    <xf numFmtId="0" fontId="70" fillId="0" borderId="113" xfId="0" applyFont="1" applyFill="1" applyBorder="1" applyAlignment="1">
      <alignment horizontal="center" vertical="center" wrapText="1"/>
    </xf>
    <xf numFmtId="0" fontId="70" fillId="0" borderId="114" xfId="0" applyFont="1" applyFill="1" applyBorder="1" applyAlignment="1">
      <alignment horizontal="center" vertical="center" wrapText="1"/>
    </xf>
    <xf numFmtId="0" fontId="70" fillId="0" borderId="195" xfId="0" applyFont="1" applyFill="1" applyBorder="1" applyAlignment="1">
      <alignment horizontal="center" vertical="center" wrapText="1"/>
    </xf>
    <xf numFmtId="0" fontId="22" fillId="0" borderId="28" xfId="0" applyFont="1" applyFill="1" applyBorder="1" applyAlignment="1" applyProtection="1">
      <alignment horizontal="center" vertical="center"/>
      <protection locked="0"/>
    </xf>
    <xf numFmtId="0" fontId="22" fillId="0" borderId="39" xfId="0" applyFont="1" applyFill="1" applyBorder="1" applyAlignment="1" applyProtection="1">
      <alignment horizontal="center" vertical="center"/>
      <protection locked="0"/>
    </xf>
    <xf numFmtId="0" fontId="38" fillId="20" borderId="45" xfId="84" applyFont="1" applyFill="1" applyBorder="1" applyAlignment="1" applyProtection="1">
      <alignment horizontal="center" vertical="center" wrapText="1"/>
      <protection locked="0"/>
    </xf>
    <xf numFmtId="0" fontId="38" fillId="0" borderId="45" xfId="84" applyFont="1" applyBorder="1" applyAlignment="1" applyProtection="1">
      <alignment horizontal="center" vertical="center" wrapText="1"/>
      <protection locked="0"/>
    </xf>
    <xf numFmtId="0" fontId="46" fillId="0" borderId="0" xfId="0" applyFont="1" applyFill="1"/>
    <xf numFmtId="0" fontId="18" fillId="0" borderId="0" xfId="84" applyFont="1" applyFill="1" applyAlignment="1">
      <alignment vertical="top"/>
    </xf>
    <xf numFmtId="0" fontId="18" fillId="0" borderId="2" xfId="84" applyFont="1" applyFill="1" applyBorder="1" applyAlignment="1">
      <alignment vertical="top" wrapText="1"/>
    </xf>
    <xf numFmtId="0" fontId="38" fillId="20" borderId="25" xfId="0" applyFont="1" applyFill="1" applyBorder="1" applyAlignment="1" applyProtection="1">
      <alignment horizontal="center" vertical="top" wrapText="1"/>
      <protection locked="0"/>
    </xf>
    <xf numFmtId="0" fontId="23" fillId="20" borderId="0" xfId="0" applyFont="1" applyFill="1" applyBorder="1"/>
    <xf numFmtId="0" fontId="23" fillId="20" borderId="0" xfId="0" applyFont="1" applyFill="1"/>
    <xf numFmtId="0" fontId="38" fillId="20" borderId="184" xfId="1" applyFont="1" applyFill="1" applyBorder="1" applyAlignment="1" applyProtection="1">
      <alignment horizontal="left" vertical="top" wrapText="1"/>
      <protection locked="0"/>
    </xf>
    <xf numFmtId="0" fontId="35" fillId="0" borderId="30" xfId="0" applyFont="1" applyFill="1" applyBorder="1" applyAlignment="1" applyProtection="1">
      <alignment horizontal="right" vertical="top" wrapText="1"/>
      <protection locked="0"/>
    </xf>
    <xf numFmtId="0" fontId="35" fillId="0" borderId="235" xfId="0" applyFont="1" applyFill="1" applyBorder="1" applyAlignment="1" applyProtection="1">
      <alignment vertical="top" wrapText="1"/>
      <protection locked="0"/>
    </xf>
    <xf numFmtId="0" fontId="38" fillId="0" borderId="32" xfId="0" applyFont="1" applyFill="1" applyBorder="1" applyAlignment="1" applyProtection="1">
      <alignment horizontal="center" vertical="top" wrapText="1"/>
      <protection locked="0"/>
    </xf>
    <xf numFmtId="0" fontId="35" fillId="0" borderId="31" xfId="58" applyFont="1" applyFill="1" applyBorder="1" applyAlignment="1" applyProtection="1">
      <alignment horizontal="center" vertical="center" wrapText="1"/>
      <protection locked="0"/>
    </xf>
    <xf numFmtId="0" fontId="38" fillId="20" borderId="185" xfId="1" applyFont="1" applyFill="1" applyBorder="1" applyAlignment="1" applyProtection="1">
      <alignment horizontal="left" vertical="top" wrapText="1"/>
      <protection locked="0"/>
    </xf>
    <xf numFmtId="0" fontId="38" fillId="20" borderId="91" xfId="84" applyFont="1" applyFill="1" applyBorder="1" applyAlignment="1" applyProtection="1">
      <alignment horizontal="center" vertical="center" wrapText="1"/>
      <protection locked="0"/>
    </xf>
    <xf numFmtId="0" fontId="80" fillId="0" borderId="91" xfId="84" applyFont="1" applyBorder="1"/>
    <xf numFmtId="0" fontId="77" fillId="39" borderId="213" xfId="0" applyFont="1" applyFill="1" applyBorder="1" applyAlignment="1">
      <alignment horizontal="center" vertical="center" wrapText="1"/>
    </xf>
    <xf numFmtId="0" fontId="35" fillId="20" borderId="184" xfId="84" applyFont="1" applyFill="1" applyBorder="1" applyAlignment="1" applyProtection="1">
      <alignment horizontal="left" vertical="center" wrapText="1"/>
      <protection locked="0"/>
    </xf>
    <xf numFmtId="0" fontId="21" fillId="38" borderId="40" xfId="0" applyFont="1" applyFill="1" applyBorder="1" applyAlignment="1">
      <alignment horizontal="center" vertical="top"/>
    </xf>
    <xf numFmtId="0" fontId="22" fillId="20" borderId="194" xfId="0" applyFont="1" applyFill="1" applyBorder="1"/>
    <xf numFmtId="0" fontId="22" fillId="20" borderId="184" xfId="0" applyFont="1" applyFill="1" applyBorder="1"/>
    <xf numFmtId="0" fontId="23" fillId="0" borderId="218" xfId="0" applyFont="1" applyBorder="1"/>
    <xf numFmtId="0" fontId="23" fillId="0" borderId="40" xfId="0" applyFont="1" applyBorder="1"/>
    <xf numFmtId="0" fontId="38" fillId="20" borderId="72" xfId="0" applyFont="1" applyFill="1" applyBorder="1" applyAlignment="1" applyProtection="1">
      <alignment vertical="top" wrapText="1"/>
      <protection locked="0"/>
    </xf>
    <xf numFmtId="0" fontId="38" fillId="20" borderId="144" xfId="0" applyFont="1" applyFill="1" applyBorder="1" applyAlignment="1" applyProtection="1">
      <alignment vertical="top" wrapText="1"/>
      <protection locked="0"/>
    </xf>
    <xf numFmtId="0" fontId="22" fillId="0" borderId="38" xfId="0" applyFont="1" applyFill="1" applyBorder="1" applyAlignment="1" applyProtection="1">
      <alignment horizontal="center" vertical="top" wrapText="1"/>
      <protection locked="0"/>
    </xf>
    <xf numFmtId="0" fontId="38" fillId="0" borderId="41" xfId="0" applyFont="1" applyFill="1" applyBorder="1" applyAlignment="1" applyProtection="1">
      <alignment horizontal="center" vertical="top" wrapText="1"/>
      <protection locked="0"/>
    </xf>
    <xf numFmtId="0" fontId="38" fillId="0" borderId="138" xfId="0" applyFont="1" applyFill="1" applyBorder="1" applyAlignment="1" applyProtection="1">
      <alignment horizontal="center" vertical="top" wrapText="1"/>
      <protection locked="0"/>
    </xf>
    <xf numFmtId="0" fontId="38" fillId="0" borderId="38" xfId="0" applyFont="1" applyFill="1" applyBorder="1" applyAlignment="1" applyProtection="1">
      <alignment horizontal="center" vertical="top" wrapText="1"/>
      <protection locked="0"/>
    </xf>
    <xf numFmtId="0" fontId="38" fillId="0" borderId="38" xfId="0" applyFont="1" applyFill="1" applyBorder="1" applyAlignment="1" applyProtection="1">
      <alignment vertical="top" wrapText="1"/>
      <protection locked="0"/>
    </xf>
    <xf numFmtId="0" fontId="23" fillId="0" borderId="151" xfId="0" applyFont="1" applyBorder="1"/>
    <xf numFmtId="0" fontId="23" fillId="0" borderId="224" xfId="0" applyFont="1" applyBorder="1"/>
    <xf numFmtId="0" fontId="22" fillId="0" borderId="35" xfId="0" applyFont="1" applyFill="1" applyBorder="1" applyAlignment="1" applyProtection="1">
      <alignment horizontal="center" vertical="center"/>
      <protection locked="0"/>
    </xf>
    <xf numFmtId="0" fontId="38" fillId="0" borderId="0" xfId="0" applyFont="1" applyBorder="1" applyAlignment="1">
      <alignment horizontal="center" vertical="top" wrapText="1"/>
    </xf>
    <xf numFmtId="0" fontId="38" fillId="0" borderId="0" xfId="0" applyFont="1" applyFill="1" applyBorder="1" applyAlignment="1" applyProtection="1">
      <alignment vertical="top" wrapText="1"/>
      <protection locked="0"/>
    </xf>
    <xf numFmtId="0" fontId="38" fillId="0" borderId="0" xfId="0" applyFont="1" applyFill="1" applyBorder="1" applyAlignment="1" applyProtection="1">
      <alignment horizontal="center" vertical="top" wrapText="1"/>
      <protection locked="0"/>
    </xf>
    <xf numFmtId="0" fontId="38" fillId="0" borderId="41" xfId="0" applyFont="1" applyFill="1" applyBorder="1" applyAlignment="1" applyProtection="1">
      <alignment horizontal="center" vertical="top" wrapText="1"/>
    </xf>
    <xf numFmtId="0" fontId="22" fillId="0" borderId="118" xfId="0" applyFont="1" applyBorder="1"/>
    <xf numFmtId="0" fontId="38" fillId="8" borderId="45" xfId="1" applyFont="1" applyFill="1" applyBorder="1" applyAlignment="1" applyProtection="1">
      <alignment horizontal="center" vertical="center" wrapText="1"/>
      <protection locked="0"/>
    </xf>
    <xf numFmtId="0" fontId="70" fillId="0" borderId="45" xfId="0" applyFont="1" applyBorder="1" applyAlignment="1">
      <alignment horizontal="center" vertical="center" wrapText="1"/>
    </xf>
    <xf numFmtId="0" fontId="70" fillId="0" borderId="45" xfId="0" applyFont="1" applyBorder="1" applyAlignment="1">
      <alignment vertical="center" wrapText="1"/>
    </xf>
    <xf numFmtId="0" fontId="22" fillId="20" borderId="0" xfId="0" applyFont="1" applyFill="1"/>
    <xf numFmtId="0" fontId="38" fillId="20" borderId="193" xfId="1" applyFont="1" applyFill="1" applyBorder="1" applyAlignment="1" applyProtection="1">
      <alignment horizontal="left" vertical="top" wrapText="1"/>
      <protection locked="0"/>
    </xf>
    <xf numFmtId="0" fontId="27" fillId="0" borderId="142" xfId="0" applyFont="1" applyFill="1" applyBorder="1" applyAlignment="1" applyProtection="1">
      <alignment horizontal="center" vertical="center"/>
      <protection locked="0"/>
    </xf>
    <xf numFmtId="0" fontId="38" fillId="20" borderId="238" xfId="1" applyFont="1" applyFill="1" applyBorder="1" applyAlignment="1" applyProtection="1">
      <alignment horizontal="left" vertical="top" wrapText="1"/>
      <protection locked="0"/>
    </xf>
    <xf numFmtId="0" fontId="22" fillId="0" borderId="113" xfId="0" applyFont="1" applyBorder="1" applyAlignment="1">
      <alignment vertical="top" wrapText="1"/>
    </xf>
    <xf numFmtId="0" fontId="22" fillId="0" borderId="42" xfId="0" applyFont="1" applyFill="1" applyBorder="1" applyAlignment="1">
      <alignment vertical="top" wrapText="1"/>
    </xf>
    <xf numFmtId="0" fontId="0" fillId="0" borderId="31" xfId="0" applyFill="1" applyBorder="1" applyProtection="1">
      <protection locked="0"/>
    </xf>
    <xf numFmtId="0" fontId="33" fillId="0" borderId="0" xfId="0" applyFont="1" applyFill="1" applyBorder="1" applyAlignment="1" applyProtection="1">
      <alignment vertical="top" wrapText="1"/>
    </xf>
    <xf numFmtId="0" fontId="33" fillId="0" borderId="195" xfId="0" applyFont="1" applyFill="1" applyBorder="1" applyAlignment="1" applyProtection="1">
      <alignment vertical="top" wrapText="1"/>
    </xf>
    <xf numFmtId="0" fontId="33" fillId="2" borderId="118" xfId="0" applyFont="1" applyFill="1" applyBorder="1" applyAlignment="1" applyProtection="1">
      <alignment vertical="top" wrapText="1"/>
    </xf>
    <xf numFmtId="0" fontId="35" fillId="2" borderId="205" xfId="84" applyFont="1" applyFill="1" applyBorder="1" applyAlignment="1" applyProtection="1">
      <alignment vertical="center" wrapText="1"/>
      <protection locked="0"/>
    </xf>
    <xf numFmtId="0" fontId="33" fillId="2" borderId="113" xfId="0" applyFont="1" applyFill="1" applyBorder="1" applyAlignment="1" applyProtection="1">
      <alignment vertical="top" wrapText="1"/>
    </xf>
    <xf numFmtId="0" fontId="27" fillId="2" borderId="206" xfId="84" applyFont="1" applyFill="1" applyBorder="1" applyAlignment="1" applyProtection="1">
      <alignment vertical="center" wrapText="1"/>
      <protection locked="0"/>
    </xf>
    <xf numFmtId="0" fontId="33" fillId="0" borderId="131" xfId="0" applyFont="1" applyFill="1" applyBorder="1" applyAlignment="1" applyProtection="1">
      <alignment vertical="top" wrapText="1"/>
      <protection locked="0"/>
    </xf>
    <xf numFmtId="0" fontId="22" fillId="0" borderId="45" xfId="0" applyFont="1" applyBorder="1"/>
    <xf numFmtId="0" fontId="33" fillId="0" borderId="45" xfId="0" applyFont="1" applyFill="1" applyBorder="1" applyAlignment="1" applyProtection="1">
      <alignment vertical="top" wrapText="1"/>
      <protection locked="0"/>
    </xf>
    <xf numFmtId="0" fontId="22" fillId="0" borderId="57" xfId="0" applyFont="1" applyBorder="1"/>
    <xf numFmtId="0" fontId="33" fillId="0" borderId="57" xfId="0" applyFont="1" applyFill="1" applyBorder="1" applyAlignment="1" applyProtection="1">
      <alignment vertical="top" wrapText="1"/>
      <protection locked="0"/>
    </xf>
    <xf numFmtId="0" fontId="38" fillId="0" borderId="137" xfId="84" applyFont="1" applyFill="1" applyBorder="1" applyAlignment="1" applyProtection="1">
      <alignment horizontal="center" vertical="top" wrapText="1"/>
      <protection locked="0"/>
    </xf>
    <xf numFmtId="0" fontId="22" fillId="45" borderId="34" xfId="0" applyFont="1" applyFill="1" applyBorder="1" applyAlignment="1" applyProtection="1">
      <alignment vertical="top" wrapText="1"/>
      <protection locked="0"/>
    </xf>
    <xf numFmtId="0" fontId="58" fillId="0" borderId="0" xfId="0" applyFont="1" applyAlignment="1">
      <alignment vertical="top" wrapText="1"/>
    </xf>
    <xf numFmtId="49" fontId="22" fillId="43" borderId="0" xfId="0" applyNumberFormat="1" applyFont="1" applyFill="1" applyAlignment="1">
      <alignment horizontal="left" vertical="top" wrapText="1"/>
    </xf>
    <xf numFmtId="0" fontId="40" fillId="35" borderId="0" xfId="0" applyFont="1" applyFill="1" applyAlignment="1">
      <alignment vertical="top" wrapText="1"/>
    </xf>
    <xf numFmtId="0" fontId="22" fillId="49" borderId="0" xfId="0" applyFont="1" applyFill="1" applyAlignment="1">
      <alignment horizontal="center" vertical="top" wrapText="1"/>
    </xf>
    <xf numFmtId="0" fontId="22" fillId="49" borderId="0" xfId="0" applyFont="1" applyFill="1" applyAlignment="1">
      <alignment vertical="top" wrapText="1"/>
    </xf>
    <xf numFmtId="0" fontId="38" fillId="49" borderId="0" xfId="1" applyFont="1" applyFill="1" applyAlignment="1">
      <alignment vertical="top" wrapText="1"/>
    </xf>
    <xf numFmtId="0" fontId="27" fillId="49" borderId="27" xfId="0" applyFont="1" applyFill="1" applyBorder="1" applyAlignment="1">
      <alignment horizontal="left" vertical="top" wrapText="1"/>
    </xf>
    <xf numFmtId="0" fontId="36" fillId="45" borderId="34" xfId="0" applyFont="1" applyFill="1" applyBorder="1" applyAlignment="1" applyProtection="1">
      <alignment horizontal="left" vertical="top"/>
      <protection locked="0"/>
    </xf>
    <xf numFmtId="0" fontId="27" fillId="49" borderId="38" xfId="0" applyFont="1" applyFill="1" applyBorder="1" applyAlignment="1">
      <alignment horizontal="left" vertical="top"/>
    </xf>
    <xf numFmtId="0" fontId="27" fillId="49" borderId="38" xfId="0" applyFont="1" applyFill="1" applyBorder="1" applyAlignment="1">
      <alignment horizontal="left" vertical="top" wrapText="1"/>
    </xf>
    <xf numFmtId="0" fontId="22" fillId="49" borderId="38" xfId="0" applyFont="1" applyFill="1" applyBorder="1" applyAlignment="1">
      <alignment horizontal="center" vertical="top" wrapText="1"/>
    </xf>
    <xf numFmtId="0" fontId="38" fillId="46" borderId="45" xfId="1" applyFont="1" applyFill="1" applyBorder="1" applyAlignment="1" applyProtection="1">
      <alignment horizontal="center" vertical="center" wrapText="1"/>
      <protection locked="0"/>
    </xf>
    <xf numFmtId="0" fontId="38" fillId="0" borderId="244" xfId="1" applyFont="1" applyFill="1" applyBorder="1" applyAlignment="1" applyProtection="1">
      <alignment horizontal="center" vertical="center" wrapText="1"/>
      <protection locked="0"/>
    </xf>
    <xf numFmtId="0" fontId="38" fillId="0" borderId="246" xfId="1" applyFont="1" applyFill="1" applyBorder="1" applyAlignment="1" applyProtection="1">
      <alignment horizontal="center" vertical="center" wrapText="1"/>
      <protection locked="0"/>
    </xf>
    <xf numFmtId="0" fontId="35" fillId="20" borderId="224" xfId="84" applyFont="1" applyFill="1" applyBorder="1" applyAlignment="1" applyProtection="1">
      <alignment horizontal="center" vertical="center" wrapText="1"/>
      <protection locked="0"/>
    </xf>
    <xf numFmtId="0" fontId="22" fillId="20" borderId="40" xfId="0" applyFont="1" applyFill="1" applyBorder="1" applyAlignment="1">
      <alignment horizontal="center" vertical="center" wrapText="1"/>
    </xf>
    <xf numFmtId="0" fontId="22" fillId="0" borderId="218" xfId="0" applyFont="1" applyFill="1" applyBorder="1" applyAlignment="1" applyProtection="1">
      <alignment vertical="top" wrapText="1"/>
      <protection locked="0"/>
    </xf>
    <xf numFmtId="0" fontId="0" fillId="0" borderId="204" xfId="0" applyBorder="1" applyProtection="1">
      <protection locked="0"/>
    </xf>
    <xf numFmtId="0" fontId="35" fillId="34" borderId="34" xfId="0" applyFont="1" applyFill="1" applyBorder="1" applyAlignment="1" applyProtection="1">
      <alignment horizontal="center" vertical="center" wrapText="1"/>
      <protection locked="0"/>
    </xf>
    <xf numFmtId="0" fontId="22" fillId="0" borderId="34" xfId="0" applyFont="1" applyBorder="1" applyAlignment="1">
      <alignment vertical="top" wrapText="1"/>
    </xf>
    <xf numFmtId="0" fontId="70" fillId="0" borderId="134" xfId="0" applyFont="1" applyFill="1" applyBorder="1" applyAlignment="1">
      <alignment horizontal="center" vertical="center" wrapText="1"/>
    </xf>
    <xf numFmtId="0" fontId="36" fillId="4" borderId="85" xfId="0" applyFont="1" applyFill="1" applyBorder="1" applyAlignment="1" applyProtection="1">
      <alignment horizontal="center" vertical="center" wrapText="1"/>
      <protection locked="0"/>
    </xf>
    <xf numFmtId="0" fontId="36" fillId="4" borderId="17" xfId="0" applyFont="1" applyFill="1" applyBorder="1" applyAlignment="1" applyProtection="1">
      <alignment horizontal="center" vertical="center" wrapText="1"/>
      <protection locked="0"/>
    </xf>
    <xf numFmtId="0" fontId="35" fillId="20" borderId="83" xfId="58" applyFont="1" applyFill="1" applyBorder="1" applyAlignment="1" applyProtection="1">
      <alignment horizontal="center" vertical="center" wrapText="1"/>
      <protection locked="0"/>
    </xf>
    <xf numFmtId="0" fontId="70" fillId="8" borderId="87" xfId="0" applyFont="1" applyFill="1" applyBorder="1" applyAlignment="1">
      <alignment horizontal="center" vertical="center" wrapText="1"/>
    </xf>
    <xf numFmtId="0" fontId="70" fillId="0" borderId="87" xfId="0" applyFont="1" applyBorder="1" applyAlignment="1">
      <alignment horizontal="center" vertical="center" wrapText="1"/>
    </xf>
    <xf numFmtId="0" fontId="22" fillId="49" borderId="38" xfId="0" applyFont="1" applyFill="1" applyBorder="1" applyAlignment="1">
      <alignment horizontal="left" vertical="top" wrapText="1"/>
    </xf>
    <xf numFmtId="0" fontId="22" fillId="49" borderId="38" xfId="0" applyFont="1" applyFill="1" applyBorder="1" applyAlignment="1">
      <alignment vertical="top" wrapText="1"/>
    </xf>
    <xf numFmtId="0" fontId="22" fillId="49" borderId="38" xfId="0" applyFont="1" applyFill="1" applyBorder="1"/>
    <xf numFmtId="0" fontId="22" fillId="49" borderId="0" xfId="0" applyFont="1" applyFill="1" applyBorder="1" applyAlignment="1">
      <alignment horizontal="left" vertical="top" wrapText="1"/>
    </xf>
    <xf numFmtId="0" fontId="22" fillId="49" borderId="0" xfId="0" applyFont="1" applyFill="1" applyBorder="1" applyAlignment="1">
      <alignment vertical="top" wrapText="1"/>
    </xf>
    <xf numFmtId="0" fontId="22" fillId="49" borderId="0" xfId="0" applyFont="1" applyFill="1" applyBorder="1"/>
    <xf numFmtId="0" fontId="22" fillId="0" borderId="26" xfId="0" applyFont="1" applyBorder="1" applyAlignment="1">
      <alignment vertical="center" wrapText="1"/>
    </xf>
    <xf numFmtId="0" fontId="69" fillId="0" borderId="255" xfId="84" applyFont="1" applyBorder="1" applyAlignment="1" applyProtection="1">
      <alignment vertical="center" wrapText="1"/>
      <protection locked="0"/>
    </xf>
    <xf numFmtId="0" fontId="69" fillId="0" borderId="257" xfId="84" applyFont="1" applyBorder="1" applyAlignment="1" applyProtection="1">
      <alignment horizontal="center" vertical="center" wrapText="1"/>
      <protection locked="0"/>
    </xf>
    <xf numFmtId="0" fontId="38" fillId="0" borderId="102" xfId="84" applyFont="1" applyFill="1" applyBorder="1" applyAlignment="1">
      <alignment horizontal="center" vertical="top" wrapText="1"/>
    </xf>
    <xf numFmtId="0" fontId="36" fillId="45" borderId="0" xfId="0" applyFont="1" applyFill="1" applyBorder="1" applyAlignment="1" applyProtection="1">
      <alignment horizontal="left" vertical="top"/>
      <protection locked="0"/>
    </xf>
    <xf numFmtId="0" fontId="22" fillId="45" borderId="0" xfId="0" applyFont="1" applyFill="1" applyBorder="1" applyAlignment="1" applyProtection="1">
      <alignment vertical="top" wrapText="1"/>
      <protection locked="0"/>
    </xf>
    <xf numFmtId="0" fontId="22" fillId="45" borderId="0" xfId="0" applyFont="1" applyFill="1" applyBorder="1" applyAlignment="1" applyProtection="1">
      <alignment horizontal="left" vertical="top" wrapText="1"/>
      <protection locked="0"/>
    </xf>
    <xf numFmtId="0" fontId="38" fillId="0" borderId="184" xfId="84" applyFont="1" applyFill="1" applyBorder="1" applyAlignment="1" applyProtection="1">
      <alignment vertical="top" wrapText="1"/>
      <protection locked="0"/>
    </xf>
    <xf numFmtId="0" fontId="56" fillId="2" borderId="118" xfId="84" applyFont="1" applyFill="1" applyBorder="1" applyAlignment="1" applyProtection="1">
      <alignment horizontal="center" vertical="top" wrapText="1"/>
      <protection locked="0"/>
    </xf>
    <xf numFmtId="0" fontId="38" fillId="20" borderId="113" xfId="0" applyFont="1" applyFill="1" applyBorder="1" applyAlignment="1" applyProtection="1">
      <alignment horizontal="center" vertical="top" wrapText="1"/>
      <protection locked="0"/>
    </xf>
    <xf numFmtId="0" fontId="38" fillId="20" borderId="134" xfId="0" applyFont="1" applyFill="1" applyBorder="1" applyAlignment="1" applyProtection="1">
      <alignment horizontal="center" vertical="top" wrapText="1"/>
      <protection locked="0"/>
    </xf>
    <xf numFmtId="0" fontId="72" fillId="45" borderId="258" xfId="83" applyFont="1" applyFill="1" applyBorder="1" applyAlignment="1" applyProtection="1">
      <alignment vertical="top" wrapText="1"/>
      <protection locked="0"/>
    </xf>
    <xf numFmtId="0" fontId="22" fillId="45" borderId="92" xfId="0" applyFont="1" applyFill="1" applyBorder="1" applyAlignment="1" applyProtection="1">
      <alignment horizontal="left" vertical="top" wrapText="1"/>
      <protection locked="0"/>
    </xf>
    <xf numFmtId="0" fontId="22" fillId="45" borderId="92" xfId="0" applyFont="1" applyFill="1" applyBorder="1" applyAlignment="1" applyProtection="1">
      <alignment vertical="top" wrapText="1"/>
      <protection locked="0"/>
    </xf>
    <xf numFmtId="0" fontId="72" fillId="45" borderId="37" xfId="83" applyFont="1" applyFill="1" applyBorder="1" applyAlignment="1" applyProtection="1">
      <alignment vertical="top" wrapText="1"/>
      <protection locked="0"/>
    </xf>
    <xf numFmtId="0" fontId="22" fillId="45" borderId="38" xfId="0" applyFont="1" applyFill="1" applyBorder="1" applyAlignment="1" applyProtection="1">
      <alignment horizontal="left" vertical="top" wrapText="1"/>
      <protection locked="0"/>
    </xf>
    <xf numFmtId="0" fontId="22" fillId="45" borderId="38" xfId="0" applyFont="1" applyFill="1" applyBorder="1" applyAlignment="1" applyProtection="1">
      <alignment vertical="top" wrapText="1"/>
      <protection locked="0"/>
    </xf>
    <xf numFmtId="0" fontId="38" fillId="45" borderId="74" xfId="1" applyFont="1" applyFill="1" applyBorder="1" applyAlignment="1" applyProtection="1">
      <alignment vertical="top" wrapText="1"/>
      <protection locked="0"/>
    </xf>
    <xf numFmtId="0" fontId="38" fillId="45" borderId="108" xfId="1" applyFont="1" applyFill="1" applyBorder="1" applyAlignment="1" applyProtection="1">
      <alignment vertical="top" wrapText="1"/>
      <protection locked="0"/>
    </xf>
    <xf numFmtId="0" fontId="35" fillId="34" borderId="38" xfId="0" applyFont="1" applyFill="1" applyBorder="1" applyAlignment="1" applyProtection="1">
      <alignment horizontal="center" vertical="center" wrapText="1"/>
      <protection locked="0"/>
    </xf>
    <xf numFmtId="0" fontId="35" fillId="34" borderId="31" xfId="0" applyFont="1" applyFill="1" applyBorder="1" applyAlignment="1" applyProtection="1">
      <alignment vertical="center"/>
      <protection locked="0"/>
    </xf>
    <xf numFmtId="0" fontId="35" fillId="34" borderId="32" xfId="0" applyFont="1" applyFill="1" applyBorder="1" applyAlignment="1" applyProtection="1">
      <alignment horizontal="center" vertical="center" wrapText="1"/>
      <protection locked="0"/>
    </xf>
    <xf numFmtId="0" fontId="36" fillId="38" borderId="259" xfId="0" applyFont="1" applyFill="1" applyBorder="1" applyAlignment="1">
      <alignment horizontal="center" vertical="top"/>
    </xf>
    <xf numFmtId="0" fontId="76" fillId="0" borderId="113" xfId="0" applyFont="1" applyBorder="1" applyAlignment="1">
      <alignment horizontal="center" vertical="center" wrapText="1"/>
    </xf>
    <xf numFmtId="0" fontId="70" fillId="0" borderId="113" xfId="0" applyFont="1" applyBorder="1" applyAlignment="1">
      <alignment horizontal="center" vertical="center" wrapText="1"/>
    </xf>
    <xf numFmtId="0" fontId="22" fillId="2" borderId="184" xfId="0" applyFont="1" applyFill="1" applyBorder="1" applyAlignment="1">
      <alignment vertical="top" wrapText="1"/>
    </xf>
    <xf numFmtId="0" fontId="22" fillId="2" borderId="193" xfId="0" applyFont="1" applyFill="1" applyBorder="1" applyAlignment="1">
      <alignment vertical="top" wrapText="1"/>
    </xf>
    <xf numFmtId="0" fontId="38" fillId="20" borderId="194" xfId="1" applyFont="1" applyFill="1" applyBorder="1" applyAlignment="1" applyProtection="1">
      <alignment horizontal="left" vertical="top" wrapText="1"/>
      <protection locked="0"/>
    </xf>
    <xf numFmtId="0" fontId="22" fillId="20" borderId="0" xfId="0" applyFont="1" applyFill="1" applyBorder="1"/>
    <xf numFmtId="0" fontId="38" fillId="0" borderId="113" xfId="84" applyFont="1" applyBorder="1" applyAlignment="1" applyProtection="1">
      <alignment vertical="center" wrapText="1"/>
      <protection locked="0"/>
    </xf>
    <xf numFmtId="0" fontId="70" fillId="0" borderId="87" xfId="0" applyFont="1" applyBorder="1" applyAlignment="1">
      <alignment vertical="center" wrapText="1"/>
    </xf>
    <xf numFmtId="0" fontId="38" fillId="0" borderId="45" xfId="1" applyFont="1" applyFill="1" applyBorder="1" applyAlignment="1" applyProtection="1">
      <alignment horizontal="center" vertical="center" wrapText="1"/>
      <protection locked="0"/>
    </xf>
    <xf numFmtId="0" fontId="70" fillId="0" borderId="87" xfId="0" applyFont="1" applyFill="1" applyBorder="1" applyAlignment="1">
      <alignment horizontal="center" vertical="center" wrapText="1"/>
    </xf>
    <xf numFmtId="0" fontId="38" fillId="0" borderId="260" xfId="84" applyFont="1" applyFill="1" applyBorder="1" applyAlignment="1" applyProtection="1">
      <alignment vertical="center" wrapText="1"/>
      <protection locked="0"/>
    </xf>
    <xf numFmtId="0" fontId="38" fillId="0" borderId="261" xfId="84" applyFont="1" applyFill="1" applyBorder="1" applyAlignment="1" applyProtection="1">
      <alignment vertical="center" wrapText="1"/>
      <protection locked="0"/>
    </xf>
    <xf numFmtId="0" fontId="27" fillId="2" borderId="34" xfId="0" applyFont="1" applyFill="1" applyBorder="1" applyAlignment="1">
      <alignment horizontal="center" vertical="top" wrapText="1"/>
    </xf>
    <xf numFmtId="0" fontId="27" fillId="2" borderId="0" xfId="0" applyFont="1" applyFill="1" applyBorder="1" applyAlignment="1">
      <alignment horizontal="center" vertical="top" wrapText="1"/>
    </xf>
    <xf numFmtId="0" fontId="22" fillId="2" borderId="0" xfId="0" applyFont="1" applyFill="1" applyBorder="1" applyAlignment="1">
      <alignment vertical="top" wrapText="1"/>
    </xf>
    <xf numFmtId="0" fontId="22" fillId="0" borderId="124" xfId="0" applyFont="1" applyFill="1" applyBorder="1" applyAlignment="1">
      <alignment vertical="top" wrapText="1"/>
    </xf>
    <xf numFmtId="0" fontId="22" fillId="0" borderId="108" xfId="0" applyFont="1" applyFill="1" applyBorder="1" applyAlignment="1">
      <alignment vertical="top" wrapText="1"/>
    </xf>
    <xf numFmtId="0" fontId="22" fillId="0" borderId="117" xfId="0" applyFont="1" applyFill="1" applyBorder="1" applyAlignment="1">
      <alignment vertical="top" wrapText="1"/>
    </xf>
    <xf numFmtId="0" fontId="70" fillId="0" borderId="171" xfId="0" applyFont="1" applyBorder="1" applyAlignment="1">
      <alignment horizontal="center" vertical="center" wrapText="1"/>
    </xf>
    <xf numFmtId="0" fontId="70" fillId="0" borderId="171" xfId="0" applyFont="1" applyBorder="1" applyAlignment="1">
      <alignment vertical="center" wrapText="1"/>
    </xf>
    <xf numFmtId="0" fontId="27" fillId="0" borderId="124" xfId="0" applyFont="1" applyBorder="1" applyAlignment="1">
      <alignment horizontal="left" vertical="top" wrapText="1"/>
    </xf>
    <xf numFmtId="0" fontId="27" fillId="0" borderId="108" xfId="0" applyFont="1" applyBorder="1" applyAlignment="1">
      <alignment horizontal="left" vertical="center" wrapText="1"/>
    </xf>
    <xf numFmtId="0" fontId="27" fillId="0" borderId="108" xfId="0" applyFont="1" applyBorder="1" applyAlignment="1">
      <alignment horizontal="left" vertical="top" wrapText="1"/>
    </xf>
    <xf numFmtId="0" fontId="27" fillId="0" borderId="117" xfId="0" applyFont="1" applyBorder="1" applyAlignment="1">
      <alignment horizontal="left" vertical="top" wrapText="1"/>
    </xf>
    <xf numFmtId="0" fontId="27" fillId="0" borderId="124" xfId="0" applyFont="1" applyFill="1" applyBorder="1" applyAlignment="1">
      <alignment horizontal="left" vertical="top" wrapText="1"/>
    </xf>
    <xf numFmtId="0" fontId="27" fillId="0" borderId="108" xfId="0" applyFont="1" applyFill="1" applyBorder="1" applyAlignment="1">
      <alignment horizontal="left" vertical="center" wrapText="1"/>
    </xf>
    <xf numFmtId="0" fontId="27" fillId="0" borderId="108" xfId="0" applyFont="1" applyFill="1" applyBorder="1" applyAlignment="1">
      <alignment horizontal="left" vertical="top" wrapText="1"/>
    </xf>
    <xf numFmtId="0" fontId="27" fillId="0" borderId="117" xfId="0" applyFont="1" applyFill="1" applyBorder="1" applyAlignment="1">
      <alignment horizontal="left" vertical="top" wrapText="1"/>
    </xf>
    <xf numFmtId="0" fontId="79" fillId="2" borderId="58" xfId="0" applyFont="1" applyFill="1" applyBorder="1" applyAlignment="1">
      <alignment horizontal="center" vertical="center" wrapText="1"/>
    </xf>
    <xf numFmtId="0" fontId="38" fillId="20" borderId="145" xfId="0" applyFont="1" applyFill="1" applyBorder="1" applyAlignment="1" applyProtection="1">
      <alignment horizontal="center" vertical="top" wrapText="1"/>
      <protection locked="0"/>
    </xf>
    <xf numFmtId="0" fontId="22" fillId="20" borderId="38" xfId="0" applyFont="1" applyFill="1" applyBorder="1"/>
    <xf numFmtId="0" fontId="22" fillId="20" borderId="38" xfId="0" applyFont="1" applyFill="1" applyBorder="1" applyAlignment="1">
      <alignment horizontal="left" vertical="top" wrapText="1"/>
    </xf>
    <xf numFmtId="0" fontId="38" fillId="20" borderId="262" xfId="1" applyFont="1" applyFill="1" applyBorder="1" applyAlignment="1" applyProtection="1">
      <alignment horizontal="left" vertical="top" wrapText="1"/>
      <protection locked="0"/>
    </xf>
    <xf numFmtId="0" fontId="22" fillId="20" borderId="134" xfId="0" applyFont="1" applyFill="1" applyBorder="1"/>
    <xf numFmtId="0" fontId="79" fillId="2" borderId="118" xfId="0" applyFont="1" applyFill="1" applyBorder="1" applyAlignment="1">
      <alignment horizontal="center" vertical="center" wrapText="1"/>
    </xf>
    <xf numFmtId="0" fontId="75" fillId="38" borderId="29" xfId="0" applyFont="1" applyFill="1" applyBorder="1" applyAlignment="1">
      <alignment horizontal="center" vertical="top"/>
    </xf>
    <xf numFmtId="0" fontId="22" fillId="20" borderId="44" xfId="0" applyFont="1" applyFill="1" applyBorder="1"/>
    <xf numFmtId="0" fontId="22" fillId="20" borderId="168" xfId="0" applyFont="1" applyFill="1" applyBorder="1"/>
    <xf numFmtId="0" fontId="22" fillId="20" borderId="93" xfId="0" applyFont="1" applyFill="1" applyBorder="1"/>
    <xf numFmtId="0" fontId="81" fillId="42" borderId="38" xfId="0" applyFont="1" applyFill="1" applyBorder="1" applyAlignment="1">
      <alignment horizontal="left" vertical="top" wrapText="1"/>
    </xf>
    <xf numFmtId="0" fontId="81" fillId="42" borderId="34" xfId="0" applyFont="1" applyFill="1" applyBorder="1" applyAlignment="1">
      <alignment horizontal="left" vertical="top" wrapText="1"/>
    </xf>
    <xf numFmtId="0" fontId="35" fillId="42" borderId="0" xfId="0" applyFont="1" applyFill="1" applyBorder="1" applyAlignment="1">
      <alignment vertical="top" wrapText="1"/>
    </xf>
    <xf numFmtId="0" fontId="35" fillId="42" borderId="38" xfId="0" applyFont="1" applyFill="1" applyBorder="1" applyAlignment="1">
      <alignment vertical="top" wrapText="1"/>
    </xf>
    <xf numFmtId="0" fontId="81" fillId="42" borderId="34" xfId="0" applyFont="1" applyFill="1" applyBorder="1" applyAlignment="1">
      <alignment vertical="top" wrapText="1"/>
    </xf>
    <xf numFmtId="0" fontId="38" fillId="0" borderId="31" xfId="84" applyFont="1" applyFill="1" applyBorder="1" applyAlignment="1" applyProtection="1">
      <alignment horizontal="center" vertical="center" wrapText="1"/>
      <protection locked="0"/>
    </xf>
    <xf numFmtId="0" fontId="81" fillId="42" borderId="31" xfId="0" applyFont="1" applyFill="1" applyBorder="1" applyAlignment="1">
      <alignment vertical="top" wrapText="1"/>
    </xf>
    <xf numFmtId="0" fontId="38" fillId="42" borderId="31" xfId="84" applyFont="1" applyFill="1" applyBorder="1" applyAlignment="1" applyProtection="1">
      <alignment horizontal="center" vertical="center" wrapText="1"/>
      <protection locked="0"/>
    </xf>
    <xf numFmtId="0" fontId="35" fillId="42" borderId="35" xfId="0" applyFont="1" applyFill="1" applyBorder="1" applyAlignment="1" applyProtection="1">
      <alignment horizontal="center" vertical="center" wrapText="1"/>
      <protection locked="0"/>
    </xf>
    <xf numFmtId="0" fontId="35" fillId="42" borderId="39" xfId="0" applyFont="1" applyFill="1" applyBorder="1" applyAlignment="1" applyProtection="1">
      <alignment horizontal="center" vertical="center" wrapText="1"/>
      <protection locked="0"/>
    </xf>
    <xf numFmtId="0" fontId="27" fillId="0" borderId="140" xfId="0" applyFont="1" applyFill="1" applyBorder="1" applyAlignment="1" applyProtection="1">
      <alignment horizontal="center" vertical="center"/>
      <protection locked="0"/>
    </xf>
    <xf numFmtId="0" fontId="27" fillId="5" borderId="0" xfId="0" applyFont="1" applyFill="1" applyAlignment="1">
      <alignment vertical="top" wrapText="1"/>
    </xf>
    <xf numFmtId="49" fontId="33" fillId="5" borderId="0" xfId="0" applyNumberFormat="1" applyFont="1" applyFill="1" applyAlignment="1">
      <alignment vertical="top" wrapText="1"/>
    </xf>
    <xf numFmtId="0" fontId="33" fillId="5" borderId="0" xfId="0" applyFont="1" applyFill="1" applyAlignment="1">
      <alignment vertical="top" wrapText="1"/>
    </xf>
    <xf numFmtId="0" fontId="33" fillId="5" borderId="0" xfId="0" applyFont="1" applyFill="1" applyAlignment="1">
      <alignment horizontal="center" vertical="top" wrapText="1"/>
    </xf>
    <xf numFmtId="0" fontId="34" fillId="5" borderId="0" xfId="0" applyFont="1" applyFill="1" applyAlignment="1">
      <alignment horizontal="center" vertical="center" wrapText="1"/>
    </xf>
    <xf numFmtId="0" fontId="22" fillId="5" borderId="0" xfId="0" applyFont="1" applyFill="1" applyAlignment="1">
      <alignment horizontal="center" vertical="top" wrapText="1"/>
    </xf>
    <xf numFmtId="0" fontId="29" fillId="7" borderId="0" xfId="0" applyFont="1" applyFill="1" applyAlignment="1">
      <alignment horizontal="left" vertical="center"/>
    </xf>
    <xf numFmtId="0" fontId="25" fillId="8" borderId="8" xfId="0" applyFont="1" applyFill="1" applyBorder="1" applyAlignment="1">
      <alignment horizontal="center"/>
    </xf>
    <xf numFmtId="0" fontId="25" fillId="8" borderId="70" xfId="0" applyFont="1" applyFill="1" applyBorder="1" applyAlignment="1">
      <alignment horizontal="center" vertical="center"/>
    </xf>
    <xf numFmtId="0" fontId="25" fillId="8" borderId="3" xfId="0" applyFont="1" applyFill="1" applyBorder="1" applyAlignment="1">
      <alignment horizontal="center" vertical="center"/>
    </xf>
    <xf numFmtId="0" fontId="25" fillId="8" borderId="6" xfId="0" applyFont="1" applyFill="1" applyBorder="1" applyAlignment="1">
      <alignment horizontal="center" vertical="center"/>
    </xf>
    <xf numFmtId="0" fontId="24" fillId="17" borderId="0" xfId="0" applyFont="1" applyFill="1"/>
    <xf numFmtId="0" fontId="25" fillId="0" borderId="4" xfId="0" applyFont="1" applyBorder="1" applyAlignment="1">
      <alignment horizontal="center" vertical="center"/>
    </xf>
    <xf numFmtId="1" fontId="23" fillId="0" borderId="4" xfId="0" applyNumberFormat="1" applyFont="1" applyBorder="1" applyAlignment="1">
      <alignment horizontal="center" vertical="center"/>
    </xf>
    <xf numFmtId="0" fontId="23" fillId="2" borderId="0" xfId="0" applyFont="1" applyFill="1"/>
    <xf numFmtId="0" fontId="25" fillId="0" borderId="0" xfId="0" applyFont="1" applyAlignment="1">
      <alignment horizontal="center" vertical="center"/>
    </xf>
    <xf numFmtId="0" fontId="25" fillId="0" borderId="68" xfId="0" applyFont="1" applyBorder="1" applyAlignment="1">
      <alignment horizontal="center" vertical="center"/>
    </xf>
    <xf numFmtId="1" fontId="23" fillId="0" borderId="68" xfId="0" applyNumberFormat="1" applyFont="1" applyBorder="1" applyAlignment="1">
      <alignment horizontal="center" vertical="center"/>
    </xf>
    <xf numFmtId="0" fontId="25" fillId="0" borderId="0" xfId="0" applyFont="1" applyAlignment="1">
      <alignment horizontal="center"/>
    </xf>
    <xf numFmtId="1" fontId="23" fillId="0" borderId="0" xfId="0" applyNumberFormat="1" applyFont="1"/>
    <xf numFmtId="0" fontId="21" fillId="7" borderId="0" xfId="0" applyFont="1" applyFill="1" applyAlignment="1">
      <alignment vertical="center"/>
    </xf>
    <xf numFmtId="0" fontId="21" fillId="9" borderId="9" xfId="0" applyFont="1" applyFill="1" applyBorder="1"/>
    <xf numFmtId="0" fontId="21" fillId="9" borderId="4" xfId="0" applyFont="1" applyFill="1" applyBorder="1"/>
    <xf numFmtId="0" fontId="21" fillId="9" borderId="7" xfId="0" applyFont="1" applyFill="1" applyBorder="1"/>
    <xf numFmtId="0" fontId="26" fillId="0" borderId="4" xfId="85" applyFont="1" applyFill="1" applyBorder="1" applyAlignment="1">
      <alignment horizontal="center" vertical="center" wrapText="1"/>
    </xf>
    <xf numFmtId="0" fontId="32" fillId="0" borderId="0" xfId="0" applyFont="1" applyAlignment="1">
      <alignment vertical="top"/>
    </xf>
    <xf numFmtId="0" fontId="21" fillId="0" borderId="0" xfId="0" applyFont="1"/>
    <xf numFmtId="0" fontId="26" fillId="0" borderId="0" xfId="85" applyFont="1" applyFill="1" applyBorder="1" applyAlignment="1">
      <alignment horizontal="center" vertical="center" wrapText="1"/>
    </xf>
    <xf numFmtId="0" fontId="40" fillId="0" borderId="0" xfId="0" applyFont="1" applyAlignment="1">
      <alignment vertical="top" wrapText="1"/>
    </xf>
    <xf numFmtId="49" fontId="40" fillId="0" borderId="0" xfId="0" applyNumberFormat="1" applyFont="1" applyAlignment="1">
      <alignment vertical="top" wrapText="1"/>
    </xf>
    <xf numFmtId="0" fontId="58" fillId="0" borderId="0" xfId="0" applyFont="1" applyAlignment="1">
      <alignment horizontal="left" vertical="top" wrapText="1"/>
    </xf>
    <xf numFmtId="0" fontId="82" fillId="0" borderId="0" xfId="0" applyFont="1" applyAlignment="1">
      <alignment vertical="top" wrapText="1"/>
    </xf>
    <xf numFmtId="49" fontId="40" fillId="0" borderId="0" xfId="0" applyNumberFormat="1" applyFont="1" applyAlignment="1">
      <alignment horizontal="right" vertical="top" wrapText="1"/>
    </xf>
    <xf numFmtId="0" fontId="84" fillId="0" borderId="0" xfId="0" applyFont="1" applyAlignment="1">
      <alignment horizontal="left" vertical="top" wrapText="1"/>
    </xf>
    <xf numFmtId="0" fontId="84" fillId="0" borderId="0" xfId="0" applyFont="1"/>
    <xf numFmtId="49" fontId="84" fillId="0" borderId="0" xfId="0" applyNumberFormat="1" applyFont="1" applyAlignment="1">
      <alignment horizontal="right" vertical="top"/>
    </xf>
    <xf numFmtId="0" fontId="33" fillId="0" borderId="0" xfId="0" applyFont="1" applyAlignment="1">
      <alignment vertical="top" wrapText="1"/>
    </xf>
    <xf numFmtId="0" fontId="33" fillId="4" borderId="0" xfId="0" applyFont="1" applyFill="1" applyAlignment="1">
      <alignment vertical="top" wrapText="1"/>
    </xf>
    <xf numFmtId="0" fontId="23" fillId="4" borderId="0" xfId="0" applyFont="1" applyFill="1"/>
    <xf numFmtId="0" fontId="28" fillId="4" borderId="2" xfId="1" applyFont="1" applyFill="1" applyBorder="1" applyAlignment="1">
      <alignment horizontal="right" vertical="top"/>
    </xf>
    <xf numFmtId="0" fontId="28" fillId="4" borderId="2" xfId="1" applyFont="1" applyFill="1" applyBorder="1" applyAlignment="1">
      <alignment horizontal="left" vertical="top"/>
    </xf>
    <xf numFmtId="0" fontId="28" fillId="4" borderId="2" xfId="1" applyFont="1" applyFill="1" applyBorder="1" applyAlignment="1">
      <alignment vertical="top"/>
    </xf>
    <xf numFmtId="0" fontId="58" fillId="4" borderId="0" xfId="0" applyFont="1" applyFill="1" applyAlignment="1">
      <alignment horizontal="left" vertical="top" wrapText="1"/>
    </xf>
    <xf numFmtId="0" fontId="28" fillId="4" borderId="0" xfId="1" applyFont="1" applyFill="1" applyAlignment="1">
      <alignment horizontal="right" vertical="top"/>
    </xf>
    <xf numFmtId="0" fontId="28" fillId="4" borderId="0" xfId="1" applyFont="1" applyFill="1" applyAlignment="1">
      <alignment horizontal="left" vertical="top"/>
    </xf>
    <xf numFmtId="0" fontId="28" fillId="4" borderId="0" xfId="1" applyFont="1" applyFill="1" applyAlignment="1">
      <alignment vertical="top"/>
    </xf>
    <xf numFmtId="0" fontId="28" fillId="4" borderId="1" xfId="1" applyFont="1" applyFill="1" applyBorder="1" applyAlignment="1">
      <alignment horizontal="right" vertical="top"/>
    </xf>
    <xf numFmtId="0" fontId="28" fillId="4" borderId="1" xfId="1" applyFont="1" applyFill="1" applyBorder="1" applyAlignment="1">
      <alignment horizontal="left" vertical="top"/>
    </xf>
    <xf numFmtId="0" fontId="85" fillId="0" borderId="0" xfId="0" applyFont="1"/>
    <xf numFmtId="0" fontId="85" fillId="43" borderId="0" xfId="0" applyFont="1" applyFill="1"/>
    <xf numFmtId="0" fontId="85" fillId="51" borderId="0" xfId="0" applyFont="1" applyFill="1"/>
    <xf numFmtId="0" fontId="87" fillId="51" borderId="0" xfId="0" applyFont="1" applyFill="1" applyAlignment="1">
      <alignment vertical="center"/>
    </xf>
    <xf numFmtId="0" fontId="87" fillId="51" borderId="0" xfId="0" applyFont="1" applyFill="1" applyAlignment="1">
      <alignment vertical="center" wrapText="1"/>
    </xf>
    <xf numFmtId="0" fontId="85" fillId="51" borderId="0" xfId="0" applyFont="1" applyFill="1" applyAlignment="1">
      <alignment vertical="center"/>
    </xf>
    <xf numFmtId="49" fontId="91" fillId="34" borderId="0" xfId="0" applyNumberFormat="1" applyFont="1" applyFill="1" applyAlignment="1">
      <alignment horizontal="right" vertical="top" wrapText="1"/>
    </xf>
    <xf numFmtId="0" fontId="92" fillId="0" borderId="0" xfId="0" applyFont="1" applyAlignment="1">
      <alignment vertical="center" wrapText="1"/>
    </xf>
    <xf numFmtId="0" fontId="33" fillId="0" borderId="0" xfId="0" applyFont="1" applyAlignment="1">
      <alignment vertical="center" wrapText="1"/>
    </xf>
    <xf numFmtId="0" fontId="34" fillId="0" borderId="0" xfId="0" applyFont="1" applyFill="1" applyAlignment="1" applyProtection="1">
      <alignment horizontal="center" vertical="center" wrapText="1"/>
      <protection locked="0"/>
    </xf>
    <xf numFmtId="0" fontId="22" fillId="0" borderId="0" xfId="0" applyFont="1" applyFill="1" applyBorder="1" applyAlignment="1" applyProtection="1">
      <alignment horizontal="center" vertical="center" wrapText="1"/>
      <protection locked="0"/>
    </xf>
    <xf numFmtId="49" fontId="33" fillId="0" borderId="0" xfId="0" applyNumberFormat="1" applyFont="1" applyFill="1" applyAlignment="1" applyProtection="1">
      <alignment vertical="top" wrapText="1"/>
      <protection locked="0"/>
    </xf>
    <xf numFmtId="49" fontId="33" fillId="0" borderId="0" xfId="0" applyNumberFormat="1" applyFont="1" applyFill="1" applyAlignment="1" applyProtection="1">
      <alignment vertical="top" wrapText="1"/>
    </xf>
    <xf numFmtId="0" fontId="34" fillId="0" borderId="0" xfId="0" applyFont="1" applyFill="1" applyAlignment="1" applyProtection="1">
      <alignment horizontal="center" vertical="center" wrapText="1"/>
    </xf>
    <xf numFmtId="0" fontId="22" fillId="53" borderId="113" xfId="0" applyFont="1" applyFill="1" applyBorder="1" applyAlignment="1" applyProtection="1">
      <alignment horizontal="center" vertical="top" wrapText="1"/>
      <protection locked="0"/>
    </xf>
    <xf numFmtId="0" fontId="22" fillId="53" borderId="118" xfId="0" applyFont="1" applyFill="1" applyBorder="1" applyAlignment="1">
      <alignment horizontal="center" vertical="center" wrapText="1"/>
    </xf>
    <xf numFmtId="0" fontId="0" fillId="53" borderId="118" xfId="0" applyFill="1" applyBorder="1" applyProtection="1">
      <protection locked="0"/>
    </xf>
    <xf numFmtId="0" fontId="0" fillId="53" borderId="134" xfId="0" applyFill="1" applyBorder="1" applyProtection="1">
      <protection locked="0"/>
    </xf>
    <xf numFmtId="0" fontId="35" fillId="42" borderId="142" xfId="0" applyFont="1" applyFill="1" applyBorder="1" applyAlignment="1" applyProtection="1">
      <alignment horizontal="center" vertical="center" wrapText="1"/>
      <protection locked="0"/>
    </xf>
    <xf numFmtId="0" fontId="22" fillId="42" borderId="140" xfId="0" applyFont="1" applyFill="1" applyBorder="1" applyProtection="1">
      <protection locked="0"/>
    </xf>
    <xf numFmtId="0" fontId="22" fillId="42" borderId="83" xfId="0" applyFont="1" applyFill="1" applyBorder="1" applyProtection="1">
      <protection locked="0"/>
    </xf>
    <xf numFmtId="0" fontId="22" fillId="42" borderId="84" xfId="0" applyFont="1" applyFill="1" applyBorder="1" applyProtection="1">
      <protection locked="0"/>
    </xf>
    <xf numFmtId="0" fontId="0" fillId="53" borderId="151" xfId="0" applyFill="1" applyBorder="1" applyProtection="1">
      <protection locked="0"/>
    </xf>
    <xf numFmtId="0" fontId="0" fillId="53" borderId="204" xfId="0" applyFill="1" applyBorder="1"/>
    <xf numFmtId="0" fontId="0" fillId="53" borderId="118" xfId="0" applyFill="1" applyBorder="1"/>
    <xf numFmtId="0" fontId="0" fillId="53" borderId="113" xfId="0" applyFill="1" applyBorder="1"/>
    <xf numFmtId="0" fontId="0" fillId="53" borderId="114" xfId="0" applyFill="1" applyBorder="1"/>
    <xf numFmtId="0" fontId="0" fillId="53" borderId="134" xfId="0" applyFill="1" applyBorder="1"/>
    <xf numFmtId="0" fontId="0" fillId="53" borderId="112" xfId="0" applyFill="1" applyBorder="1"/>
    <xf numFmtId="0" fontId="0" fillId="53" borderId="155" xfId="0" applyFill="1" applyBorder="1"/>
    <xf numFmtId="0" fontId="22" fillId="53" borderId="118" xfId="0" applyFont="1" applyFill="1" applyBorder="1"/>
    <xf numFmtId="0" fontId="38" fillId="53" borderId="45" xfId="84" applyFont="1" applyFill="1" applyBorder="1" applyAlignment="1" applyProtection="1">
      <alignment horizontal="center" vertical="center" wrapText="1"/>
      <protection locked="0"/>
    </xf>
    <xf numFmtId="0" fontId="0" fillId="53" borderId="31" xfId="0" applyFill="1" applyBorder="1" applyProtection="1">
      <protection locked="0"/>
    </xf>
    <xf numFmtId="0" fontId="22" fillId="0" borderId="123" xfId="0" applyFont="1" applyBorder="1" applyAlignment="1">
      <alignment vertical="top" wrapText="1"/>
    </xf>
    <xf numFmtId="0" fontId="38" fillId="0" borderId="112" xfId="0" applyFont="1" applyBorder="1" applyAlignment="1" applyProtection="1">
      <alignment horizontal="left" vertical="top" wrapText="1"/>
      <protection locked="0"/>
    </xf>
    <xf numFmtId="0" fontId="38" fillId="0" borderId="125" xfId="84" applyFont="1" applyFill="1" applyBorder="1" applyAlignment="1">
      <alignment horizontal="center" vertical="top" wrapText="1"/>
    </xf>
    <xf numFmtId="0" fontId="38" fillId="0" borderId="123" xfId="84" applyFont="1" applyFill="1" applyBorder="1" applyAlignment="1">
      <alignment horizontal="center" vertical="top" wrapText="1"/>
    </xf>
    <xf numFmtId="0" fontId="38" fillId="0" borderId="170" xfId="84" applyFont="1" applyFill="1" applyBorder="1" applyAlignment="1">
      <alignment horizontal="center" vertical="top" wrapText="1"/>
    </xf>
    <xf numFmtId="0" fontId="22" fillId="0" borderId="269" xfId="0" applyFont="1" applyBorder="1" applyAlignment="1">
      <alignment vertical="center" wrapText="1"/>
    </xf>
    <xf numFmtId="0" fontId="35" fillId="5" borderId="33" xfId="0" applyFont="1" applyFill="1" applyBorder="1" applyAlignment="1" applyProtection="1">
      <alignment horizontal="right" vertical="top" wrapText="1"/>
      <protection locked="0"/>
    </xf>
    <xf numFmtId="0" fontId="88" fillId="20" borderId="0" xfId="0" applyFont="1" applyFill="1" applyAlignment="1">
      <alignment horizontal="center" vertical="center" wrapText="1"/>
    </xf>
    <xf numFmtId="0" fontId="33" fillId="20" borderId="0" xfId="0" applyFont="1" applyFill="1" applyAlignment="1">
      <alignment horizontal="center" vertical="center" wrapText="1"/>
    </xf>
    <xf numFmtId="0" fontId="90" fillId="4" borderId="0" xfId="0" applyFont="1" applyFill="1" applyAlignment="1">
      <alignment horizontal="center" vertical="center" wrapText="1"/>
    </xf>
    <xf numFmtId="0" fontId="88" fillId="20" borderId="0" xfId="0" applyFont="1" applyFill="1" applyAlignment="1">
      <alignment horizontal="center" vertical="center"/>
    </xf>
    <xf numFmtId="0" fontId="86" fillId="52" borderId="0" xfId="0" applyFont="1" applyFill="1" applyAlignment="1">
      <alignment horizontal="center" vertical="center"/>
    </xf>
    <xf numFmtId="0" fontId="89" fillId="52" borderId="0" xfId="0" applyFont="1" applyFill="1" applyAlignment="1">
      <alignment horizontal="right" vertical="center"/>
    </xf>
    <xf numFmtId="0" fontId="85" fillId="0" borderId="265" xfId="0" applyFont="1" applyBorder="1" applyAlignment="1" applyProtection="1">
      <alignment horizontal="center"/>
      <protection locked="0"/>
    </xf>
    <xf numFmtId="0" fontId="85" fillId="0" borderId="264" xfId="0" applyFont="1" applyBorder="1" applyAlignment="1" applyProtection="1">
      <alignment horizontal="center"/>
      <protection locked="0"/>
    </xf>
    <xf numFmtId="0" fontId="85" fillId="0" borderId="263" xfId="0" applyFont="1" applyBorder="1" applyAlignment="1" applyProtection="1">
      <alignment horizontal="center"/>
      <protection locked="0"/>
    </xf>
    <xf numFmtId="0" fontId="89" fillId="52" borderId="0" xfId="0" applyFont="1" applyFill="1" applyAlignment="1" applyProtection="1">
      <alignment horizontal="right" vertical="center"/>
      <protection locked="0"/>
    </xf>
    <xf numFmtId="0" fontId="86" fillId="51" borderId="0" xfId="0" applyFont="1" applyFill="1" applyAlignment="1">
      <alignment horizontal="left" vertical="center"/>
    </xf>
    <xf numFmtId="0" fontId="85" fillId="0" borderId="268" xfId="0" applyFont="1" applyBorder="1" applyAlignment="1" applyProtection="1">
      <alignment horizontal="center"/>
      <protection locked="0"/>
    </xf>
    <xf numFmtId="0" fontId="85" fillId="0" borderId="267" xfId="0" applyFont="1" applyBorder="1" applyAlignment="1" applyProtection="1">
      <alignment horizontal="center"/>
      <protection locked="0"/>
    </xf>
    <xf numFmtId="0" fontId="85" fillId="0" borderId="266" xfId="0" applyFont="1" applyBorder="1" applyAlignment="1" applyProtection="1">
      <alignment horizontal="center"/>
      <protection locked="0"/>
    </xf>
    <xf numFmtId="0" fontId="85" fillId="0" borderId="0" xfId="0" applyFont="1" applyAlignment="1">
      <alignment horizontal="left" vertical="top" wrapText="1"/>
    </xf>
    <xf numFmtId="0" fontId="27" fillId="0" borderId="35" xfId="0" applyFont="1" applyBorder="1" applyAlignment="1" applyProtection="1">
      <alignment horizontal="center" vertical="center"/>
      <protection locked="0"/>
    </xf>
    <xf numFmtId="0" fontId="27" fillId="0" borderId="28" xfId="0" applyFont="1" applyBorder="1" applyAlignment="1" applyProtection="1">
      <alignment horizontal="center" vertical="center"/>
      <protection locked="0"/>
    </xf>
    <xf numFmtId="0" fontId="27" fillId="0" borderId="39" xfId="0" applyFont="1" applyBorder="1" applyAlignment="1" applyProtection="1">
      <alignment horizontal="center" vertical="center"/>
      <protection locked="0"/>
    </xf>
    <xf numFmtId="0" fontId="35" fillId="0" borderId="83" xfId="58" applyFont="1" applyFill="1" applyBorder="1" applyAlignment="1" applyProtection="1">
      <alignment horizontal="center" vertical="center" wrapText="1"/>
      <protection locked="0"/>
    </xf>
    <xf numFmtId="0" fontId="35" fillId="0" borderId="78" xfId="58" applyFont="1" applyFill="1" applyBorder="1" applyAlignment="1" applyProtection="1">
      <alignment horizontal="center" vertical="center" wrapText="1"/>
      <protection locked="0"/>
    </xf>
    <xf numFmtId="0" fontId="35" fillId="0" borderId="84" xfId="58" applyFont="1" applyFill="1" applyBorder="1" applyAlignment="1" applyProtection="1">
      <alignment horizontal="center" vertical="center" wrapText="1"/>
      <protection locked="0"/>
    </xf>
    <xf numFmtId="0" fontId="38" fillId="20" borderId="135" xfId="84" applyFont="1" applyFill="1" applyBorder="1" applyAlignment="1">
      <alignment horizontal="center" vertical="top" wrapText="1"/>
    </xf>
    <xf numFmtId="0" fontId="38" fillId="20" borderId="172" xfId="84" applyFont="1" applyFill="1" applyBorder="1" applyAlignment="1">
      <alignment horizontal="center" vertical="top" wrapText="1"/>
    </xf>
    <xf numFmtId="0" fontId="38" fillId="0" borderId="154" xfId="84" applyFont="1" applyFill="1" applyBorder="1" applyAlignment="1">
      <alignment horizontal="center" vertical="top" wrapText="1"/>
    </xf>
    <xf numFmtId="0" fontId="38" fillId="0" borderId="31" xfId="84" applyFont="1" applyFill="1" applyBorder="1" applyAlignment="1">
      <alignment horizontal="center" vertical="top" wrapText="1"/>
    </xf>
    <xf numFmtId="0" fontId="38" fillId="0" borderId="158" xfId="84" applyFont="1" applyFill="1" applyBorder="1" applyAlignment="1">
      <alignment horizontal="center" vertical="top" wrapText="1"/>
    </xf>
    <xf numFmtId="0" fontId="38" fillId="0" borderId="152" xfId="84" applyFont="1" applyFill="1" applyBorder="1" applyAlignment="1">
      <alignment horizontal="center" vertical="top" wrapText="1"/>
    </xf>
    <xf numFmtId="0" fontId="38" fillId="0" borderId="174" xfId="84" applyFont="1" applyFill="1" applyBorder="1" applyAlignment="1">
      <alignment horizontal="center" vertical="top" wrapText="1"/>
    </xf>
    <xf numFmtId="0" fontId="38" fillId="0" borderId="136" xfId="84" applyFont="1" applyFill="1" applyBorder="1" applyAlignment="1">
      <alignment horizontal="center" vertical="top" wrapText="1"/>
    </xf>
    <xf numFmtId="0" fontId="38" fillId="0" borderId="133" xfId="84" applyFont="1" applyFill="1" applyBorder="1" applyAlignment="1">
      <alignment horizontal="center" vertical="top" wrapText="1"/>
    </xf>
    <xf numFmtId="0" fontId="38" fillId="0" borderId="173" xfId="84" applyFont="1" applyFill="1" applyBorder="1" applyAlignment="1">
      <alignment horizontal="center" vertical="top" wrapText="1"/>
    </xf>
    <xf numFmtId="0" fontId="38" fillId="0" borderId="87" xfId="84" applyFont="1" applyFill="1" applyBorder="1" applyAlignment="1">
      <alignment horizontal="center" vertical="top" wrapText="1"/>
    </xf>
    <xf numFmtId="0" fontId="38" fillId="0" borderId="92" xfId="84" applyFont="1" applyFill="1" applyBorder="1" applyAlignment="1">
      <alignment horizontal="center" vertical="top" wrapText="1"/>
    </xf>
    <xf numFmtId="0" fontId="38" fillId="0" borderId="165" xfId="84" applyFont="1" applyFill="1" applyBorder="1" applyAlignment="1">
      <alignment horizontal="center" vertical="top" wrapText="1"/>
    </xf>
    <xf numFmtId="0" fontId="38" fillId="0" borderId="119" xfId="84" applyFont="1" applyFill="1" applyBorder="1" applyAlignment="1">
      <alignment horizontal="center" vertical="top" wrapText="1"/>
    </xf>
    <xf numFmtId="0" fontId="38" fillId="0" borderId="167" xfId="84" applyFont="1" applyFill="1" applyBorder="1" applyAlignment="1">
      <alignment horizontal="center" vertical="top" wrapText="1"/>
    </xf>
    <xf numFmtId="0" fontId="55" fillId="2" borderId="122" xfId="0" applyFont="1" applyFill="1" applyBorder="1" applyAlignment="1">
      <alignment horizontal="center" vertical="center"/>
    </xf>
    <xf numFmtId="0" fontId="55" fillId="2" borderId="123" xfId="0" applyFont="1" applyFill="1" applyBorder="1" applyAlignment="1">
      <alignment horizontal="center" vertical="center"/>
    </xf>
    <xf numFmtId="0" fontId="55" fillId="2" borderId="170" xfId="0" applyFont="1" applyFill="1" applyBorder="1" applyAlignment="1">
      <alignment horizontal="center" vertical="center"/>
    </xf>
    <xf numFmtId="0" fontId="35" fillId="0" borderId="33" xfId="0" applyFont="1" applyFill="1" applyBorder="1" applyAlignment="1">
      <alignment horizontal="right" vertical="top" wrapText="1"/>
    </xf>
    <xf numFmtId="0" fontId="35" fillId="0" borderId="27" xfId="0" applyFont="1" applyFill="1" applyBorder="1" applyAlignment="1">
      <alignment horizontal="right" vertical="top" wrapText="1"/>
    </xf>
    <xf numFmtId="0" fontId="35" fillId="0" borderId="146" xfId="0" applyFont="1" applyFill="1" applyBorder="1" applyAlignment="1">
      <alignment horizontal="left" vertical="top" wrapText="1"/>
    </xf>
    <xf numFmtId="0" fontId="35" fillId="0" borderId="72" xfId="0" applyFont="1" applyFill="1" applyBorder="1" applyAlignment="1">
      <alignment horizontal="left" vertical="top" wrapText="1"/>
    </xf>
    <xf numFmtId="0" fontId="38" fillId="42" borderId="34" xfId="0" applyFont="1" applyFill="1" applyBorder="1" applyAlignment="1" applyProtection="1">
      <alignment horizontal="left" vertical="top" wrapText="1"/>
    </xf>
    <xf numFmtId="0" fontId="38" fillId="42" borderId="0" xfId="0" applyFont="1" applyFill="1" applyBorder="1" applyAlignment="1" applyProtection="1">
      <alignment horizontal="left" vertical="top" wrapText="1"/>
    </xf>
    <xf numFmtId="0" fontId="22" fillId="0" borderId="34" xfId="0" applyFont="1" applyBorder="1" applyAlignment="1">
      <alignment horizontal="center" vertical="top" wrapText="1"/>
    </xf>
    <xf numFmtId="0" fontId="22" fillId="0" borderId="0" xfId="0" applyFont="1" applyBorder="1" applyAlignment="1">
      <alignment horizontal="center" vertical="top" wrapText="1"/>
    </xf>
    <xf numFmtId="0" fontId="38" fillId="0" borderId="34" xfId="0" applyFont="1" applyFill="1" applyBorder="1" applyAlignment="1" applyProtection="1">
      <alignment horizontal="left" vertical="top" wrapText="1"/>
    </xf>
    <xf numFmtId="0" fontId="38" fillId="0" borderId="0" xfId="0" applyFont="1" applyFill="1" applyBorder="1" applyAlignment="1" applyProtection="1">
      <alignment horizontal="left" vertical="top" wrapText="1"/>
    </xf>
    <xf numFmtId="0" fontId="33" fillId="0" borderId="132" xfId="0" applyFont="1" applyFill="1" applyBorder="1" applyAlignment="1" applyProtection="1">
      <alignment horizontal="center" vertical="top" wrapText="1"/>
    </xf>
    <xf numFmtId="0" fontId="33" fillId="0" borderId="34" xfId="0" applyFont="1" applyFill="1" applyBorder="1" applyAlignment="1" applyProtection="1">
      <alignment horizontal="center" vertical="top" wrapText="1"/>
    </xf>
    <xf numFmtId="0" fontId="33" fillId="0" borderId="157" xfId="0" applyFont="1" applyFill="1" applyBorder="1" applyAlignment="1" applyProtection="1">
      <alignment horizontal="center" vertical="top" wrapText="1"/>
    </xf>
    <xf numFmtId="0" fontId="33" fillId="0" borderId="120" xfId="0" applyFont="1" applyFill="1" applyBorder="1" applyAlignment="1" applyProtection="1">
      <alignment horizontal="center" vertical="top" wrapText="1"/>
    </xf>
    <xf numFmtId="0" fontId="33" fillId="0" borderId="0" xfId="0" applyFont="1" applyFill="1" applyBorder="1" applyAlignment="1" applyProtection="1">
      <alignment horizontal="center" vertical="top" wrapText="1"/>
    </xf>
    <xf numFmtId="0" fontId="33" fillId="0" borderId="93" xfId="0" applyFont="1" applyFill="1" applyBorder="1" applyAlignment="1" applyProtection="1">
      <alignment horizontal="center" vertical="top" wrapText="1"/>
    </xf>
    <xf numFmtId="0" fontId="33" fillId="0" borderId="149" xfId="0" applyFont="1" applyFill="1" applyBorder="1" applyAlignment="1" applyProtection="1">
      <alignment horizontal="center" vertical="top" wrapText="1"/>
    </xf>
    <xf numFmtId="0" fontId="33" fillId="0" borderId="38" xfId="0" applyFont="1" applyFill="1" applyBorder="1" applyAlignment="1" applyProtection="1">
      <alignment horizontal="center" vertical="top" wrapText="1"/>
    </xf>
    <xf numFmtId="0" fontId="33" fillId="0" borderId="141" xfId="0" applyFont="1" applyFill="1" applyBorder="1" applyAlignment="1" applyProtection="1">
      <alignment horizontal="center" vertical="top" wrapText="1"/>
    </xf>
    <xf numFmtId="0" fontId="38" fillId="0" borderId="38" xfId="0" applyFont="1" applyFill="1" applyBorder="1" applyAlignment="1" applyProtection="1">
      <alignment horizontal="left" vertical="top" wrapText="1"/>
    </xf>
    <xf numFmtId="0" fontId="38" fillId="0" borderId="152" xfId="0" applyFont="1" applyBorder="1" applyAlignment="1" applyProtection="1">
      <alignment horizontal="center" vertical="top" wrapText="1"/>
      <protection locked="0"/>
    </xf>
    <xf numFmtId="0" fontId="38" fillId="0" borderId="174" xfId="0" applyFont="1" applyBorder="1" applyAlignment="1" applyProtection="1">
      <alignment horizontal="center" vertical="top" wrapText="1"/>
      <protection locked="0"/>
    </xf>
    <xf numFmtId="0" fontId="38" fillId="20" borderId="45" xfId="84" applyFont="1" applyFill="1" applyBorder="1" applyAlignment="1">
      <alignment horizontal="center" vertical="top" wrapText="1"/>
    </xf>
    <xf numFmtId="0" fontId="38" fillId="20" borderId="171" xfId="84" applyFont="1" applyFill="1" applyBorder="1" applyAlignment="1">
      <alignment horizontal="center" vertical="top" wrapText="1"/>
    </xf>
    <xf numFmtId="0" fontId="38" fillId="0" borderId="45" xfId="0" applyFont="1" applyBorder="1" applyAlignment="1" applyProtection="1">
      <alignment horizontal="center" vertical="top" wrapText="1"/>
      <protection locked="0"/>
    </xf>
    <xf numFmtId="0" fontId="38" fillId="0" borderId="135" xfId="0" applyFont="1" applyBorder="1" applyAlignment="1" applyProtection="1">
      <alignment horizontal="center" vertical="top" wrapText="1"/>
      <protection locked="0"/>
    </xf>
    <xf numFmtId="0" fontId="56" fillId="2" borderId="126" xfId="84" applyFont="1" applyFill="1" applyBorder="1" applyAlignment="1" applyProtection="1">
      <alignment horizontal="center" vertical="top" wrapText="1"/>
      <protection locked="0"/>
    </xf>
    <xf numFmtId="0" fontId="56" fillId="2" borderId="131" xfId="84" applyFont="1" applyFill="1" applyBorder="1" applyAlignment="1" applyProtection="1">
      <alignment horizontal="center" vertical="top" wrapText="1"/>
      <protection locked="0"/>
    </xf>
    <xf numFmtId="0" fontId="38" fillId="0" borderId="115" xfId="0" applyFont="1" applyBorder="1" applyAlignment="1" applyProtection="1">
      <alignment horizontal="center" vertical="top" wrapText="1"/>
      <protection locked="0"/>
    </xf>
    <xf numFmtId="0" fontId="35" fillId="0" borderId="144" xfId="0" applyFont="1" applyFill="1" applyBorder="1" applyAlignment="1">
      <alignment horizontal="left" vertical="top" wrapText="1"/>
    </xf>
    <xf numFmtId="0" fontId="38" fillId="42" borderId="38" xfId="0" applyFont="1" applyFill="1" applyBorder="1" applyAlignment="1" applyProtection="1">
      <alignment horizontal="left" vertical="top" wrapText="1"/>
    </xf>
    <xf numFmtId="0" fontId="58" fillId="0" borderId="0" xfId="0" applyFont="1" applyFill="1" applyAlignment="1" applyProtection="1">
      <alignment horizontal="left" vertical="top" wrapText="1"/>
    </xf>
    <xf numFmtId="0" fontId="35" fillId="20" borderId="27" xfId="0" applyFont="1" applyFill="1" applyBorder="1" applyAlignment="1">
      <alignment horizontal="center" vertical="top" wrapText="1"/>
    </xf>
    <xf numFmtId="0" fontId="35" fillId="20" borderId="37" xfId="0" applyFont="1" applyFill="1" applyBorder="1" applyAlignment="1">
      <alignment horizontal="center" vertical="top" wrapText="1"/>
    </xf>
    <xf numFmtId="0" fontId="38" fillId="20" borderId="72" xfId="0" applyFont="1" applyFill="1" applyBorder="1" applyAlignment="1">
      <alignment horizontal="left" vertical="top" wrapText="1"/>
    </xf>
    <xf numFmtId="0" fontId="38" fillId="20" borderId="144" xfId="0" applyFont="1" applyFill="1" applyBorder="1" applyAlignment="1">
      <alignment horizontal="left" vertical="top" wrapText="1"/>
    </xf>
    <xf numFmtId="0" fontId="38" fillId="42" borderId="25" xfId="0" applyFont="1" applyFill="1" applyBorder="1" applyAlignment="1" applyProtection="1">
      <alignment horizontal="center" vertical="top" wrapText="1"/>
    </xf>
    <xf numFmtId="0" fontId="38" fillId="42" borderId="145" xfId="0" applyFont="1" applyFill="1" applyBorder="1" applyAlignment="1" applyProtection="1">
      <alignment horizontal="center" vertical="top" wrapText="1"/>
    </xf>
    <xf numFmtId="0" fontId="38" fillId="20" borderId="0" xfId="0" applyFont="1" applyFill="1" applyBorder="1" applyAlignment="1" applyProtection="1">
      <alignment horizontal="left" vertical="top" wrapText="1"/>
    </xf>
    <xf numFmtId="0" fontId="38" fillId="20" borderId="38" xfId="0" applyFont="1" applyFill="1" applyBorder="1" applyAlignment="1" applyProtection="1">
      <alignment horizontal="left" vertical="top" wrapText="1"/>
    </xf>
    <xf numFmtId="0" fontId="38" fillId="20" borderId="34" xfId="0" applyFont="1" applyFill="1" applyBorder="1" applyAlignment="1">
      <alignment horizontal="center" vertical="top" wrapText="1"/>
    </xf>
    <xf numFmtId="0" fontId="38" fillId="20" borderId="0" xfId="0" applyFont="1" applyFill="1" applyBorder="1" applyAlignment="1">
      <alignment horizontal="center" vertical="top" wrapText="1"/>
    </xf>
    <xf numFmtId="0" fontId="38" fillId="20" borderId="38" xfId="0" applyFont="1" applyFill="1" applyBorder="1" applyAlignment="1">
      <alignment horizontal="center" vertical="top" wrapText="1"/>
    </xf>
    <xf numFmtId="0" fontId="22" fillId="20" borderId="0" xfId="0" applyFont="1" applyFill="1" applyBorder="1" applyAlignment="1">
      <alignment horizontal="center" vertical="top" wrapText="1"/>
    </xf>
    <xf numFmtId="0" fontId="22" fillId="20" borderId="38" xfId="0" applyFont="1" applyFill="1" applyBorder="1" applyAlignment="1">
      <alignment horizontal="center" vertical="top" wrapText="1"/>
    </xf>
    <xf numFmtId="0" fontId="38" fillId="20" borderId="41" xfId="0" applyFont="1" applyFill="1" applyBorder="1" applyAlignment="1" applyProtection="1">
      <alignment horizontal="center" vertical="top" wrapText="1"/>
    </xf>
    <xf numFmtId="0" fontId="38" fillId="20" borderId="138" xfId="0" applyFont="1" applyFill="1" applyBorder="1" applyAlignment="1" applyProtection="1">
      <alignment horizontal="center" vertical="top" wrapText="1"/>
    </xf>
    <xf numFmtId="0" fontId="33" fillId="0" borderId="156" xfId="0" applyFont="1" applyFill="1" applyBorder="1" applyAlignment="1" applyProtection="1">
      <alignment horizontal="center" vertical="top" wrapText="1"/>
    </xf>
    <xf numFmtId="0" fontId="33" fillId="0" borderId="169" xfId="0" applyFont="1" applyFill="1" applyBorder="1" applyAlignment="1" applyProtection="1">
      <alignment horizontal="center" vertical="top" wrapText="1"/>
    </xf>
    <xf numFmtId="0" fontId="38" fillId="20" borderId="109" xfId="84" applyFont="1" applyFill="1" applyBorder="1" applyAlignment="1">
      <alignment horizontal="center" vertical="top" wrapText="1"/>
    </xf>
    <xf numFmtId="0" fontId="38" fillId="20" borderId="139" xfId="84" applyFont="1" applyFill="1" applyBorder="1" applyAlignment="1">
      <alignment horizontal="center" vertical="top" wrapText="1"/>
    </xf>
    <xf numFmtId="0" fontId="38" fillId="20" borderId="87" xfId="84" applyFont="1" applyFill="1" applyBorder="1" applyAlignment="1">
      <alignment horizontal="center" vertical="top" wrapText="1"/>
    </xf>
    <xf numFmtId="0" fontId="38" fillId="20" borderId="91" xfId="84" applyFont="1" applyFill="1" applyBorder="1" applyAlignment="1">
      <alignment horizontal="center" vertical="top" wrapText="1"/>
    </xf>
    <xf numFmtId="0" fontId="38" fillId="20" borderId="165" xfId="84" applyFont="1" applyFill="1" applyBorder="1" applyAlignment="1">
      <alignment horizontal="center" vertical="top" wrapText="1"/>
    </xf>
    <xf numFmtId="0" fontId="38" fillId="20" borderId="166" xfId="84" applyFont="1" applyFill="1" applyBorder="1" applyAlignment="1">
      <alignment horizontal="center" vertical="top" wrapText="1"/>
    </xf>
    <xf numFmtId="0" fontId="38" fillId="0" borderId="87" xfId="0" applyFont="1" applyBorder="1" applyAlignment="1" applyProtection="1">
      <alignment horizontal="center" vertical="top" wrapText="1"/>
      <protection locked="0"/>
    </xf>
    <xf numFmtId="0" fontId="38" fillId="0" borderId="92" xfId="0" applyFont="1" applyBorder="1" applyAlignment="1" applyProtection="1">
      <alignment horizontal="center" vertical="top" wrapText="1"/>
      <protection locked="0"/>
    </xf>
    <xf numFmtId="0" fontId="38" fillId="0" borderId="165" xfId="0" applyFont="1" applyBorder="1" applyAlignment="1" applyProtection="1">
      <alignment horizontal="center" vertical="top" wrapText="1"/>
      <protection locked="0"/>
    </xf>
    <xf numFmtId="0" fontId="35" fillId="5" borderId="34" xfId="0" applyFont="1" applyFill="1" applyBorder="1" applyAlignment="1">
      <alignment vertical="top" wrapText="1"/>
    </xf>
    <xf numFmtId="0" fontId="35" fillId="5" borderId="0" xfId="0" applyFont="1" applyFill="1" applyBorder="1" applyAlignment="1">
      <alignment vertical="top" wrapText="1"/>
    </xf>
    <xf numFmtId="0" fontId="35" fillId="5" borderId="33" xfId="0" applyFont="1" applyFill="1" applyBorder="1" applyAlignment="1">
      <alignment horizontal="center" vertical="top" wrapText="1"/>
    </xf>
    <xf numFmtId="0" fontId="35" fillId="5" borderId="27" xfId="0" applyFont="1" applyFill="1" applyBorder="1" applyAlignment="1">
      <alignment horizontal="center" vertical="top" wrapText="1"/>
    </xf>
    <xf numFmtId="0" fontId="38" fillId="5" borderId="34" xfId="0" applyFont="1" applyFill="1" applyBorder="1" applyAlignment="1">
      <alignment horizontal="left" vertical="top" wrapText="1"/>
    </xf>
    <xf numFmtId="0" fontId="38" fillId="5" borderId="0" xfId="0" applyFont="1" applyFill="1" applyBorder="1" applyAlignment="1">
      <alignment horizontal="left" vertical="top" wrapText="1"/>
    </xf>
    <xf numFmtId="0" fontId="81" fillId="42" borderId="34" xfId="0" applyFont="1" applyFill="1" applyBorder="1" applyAlignment="1">
      <alignment horizontal="center" vertical="top" wrapText="1"/>
    </xf>
    <xf numFmtId="0" fontId="81" fillId="42" borderId="0" xfId="0" applyFont="1" applyFill="1" applyBorder="1" applyAlignment="1">
      <alignment horizontal="center" vertical="top" wrapText="1"/>
    </xf>
    <xf numFmtId="0" fontId="35" fillId="2" borderId="27" xfId="0" applyFont="1" applyFill="1" applyBorder="1" applyAlignment="1" applyProtection="1">
      <alignment horizontal="center" vertical="center" wrapText="1"/>
      <protection locked="0"/>
    </xf>
    <xf numFmtId="0" fontId="35" fillId="2" borderId="73" xfId="0" applyFont="1" applyFill="1" applyBorder="1" applyAlignment="1" applyProtection="1">
      <alignment horizontal="center" vertical="center" wrapText="1"/>
      <protection locked="0"/>
    </xf>
    <xf numFmtId="0" fontId="35" fillId="2" borderId="17"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wrapText="1"/>
      <protection locked="0"/>
    </xf>
    <xf numFmtId="0" fontId="35" fillId="2" borderId="20" xfId="0" applyFont="1" applyFill="1" applyBorder="1" applyAlignment="1" applyProtection="1">
      <alignment horizontal="center" vertical="center" wrapText="1"/>
      <protection locked="0"/>
    </xf>
    <xf numFmtId="0" fontId="35" fillId="2" borderId="16" xfId="0" applyFont="1" applyFill="1" applyBorder="1" applyAlignment="1" applyProtection="1">
      <alignment horizontal="center" vertical="center" wrapText="1"/>
      <protection locked="0"/>
    </xf>
    <xf numFmtId="0" fontId="35" fillId="2" borderId="23" xfId="0" applyFont="1" applyFill="1" applyBorder="1" applyAlignment="1" applyProtection="1">
      <alignment horizontal="center" vertical="center" wrapText="1"/>
      <protection locked="0"/>
    </xf>
    <xf numFmtId="0" fontId="35" fillId="2" borderId="59" xfId="0" applyFont="1" applyFill="1" applyBorder="1" applyAlignment="1" applyProtection="1">
      <alignment horizontal="center" vertical="center" wrapText="1"/>
      <protection locked="0"/>
    </xf>
    <xf numFmtId="0" fontId="35" fillId="2" borderId="13" xfId="0" applyFont="1" applyFill="1" applyBorder="1" applyAlignment="1" applyProtection="1">
      <alignment horizontal="center" vertical="center" wrapText="1"/>
      <protection locked="0"/>
    </xf>
    <xf numFmtId="0" fontId="36" fillId="17" borderId="16" xfId="0" applyFont="1" applyFill="1" applyBorder="1" applyAlignment="1" applyProtection="1">
      <alignment horizontal="center" vertical="center" wrapText="1"/>
      <protection locked="0"/>
    </xf>
    <xf numFmtId="0" fontId="36" fillId="17" borderId="23" xfId="0" applyFont="1" applyFill="1" applyBorder="1" applyAlignment="1" applyProtection="1">
      <alignment horizontal="center" vertical="center" wrapText="1"/>
      <protection locked="0"/>
    </xf>
    <xf numFmtId="0" fontId="35" fillId="2" borderId="15" xfId="0" applyFont="1" applyFill="1" applyBorder="1" applyAlignment="1" applyProtection="1">
      <alignment horizontal="center" vertical="center" wrapText="1"/>
      <protection locked="0"/>
    </xf>
    <xf numFmtId="0" fontId="36" fillId="41" borderId="85" xfId="0" applyFont="1" applyFill="1" applyBorder="1" applyAlignment="1" applyProtection="1">
      <alignment horizontal="center" vertical="center" wrapText="1"/>
      <protection locked="0"/>
    </xf>
    <xf numFmtId="0" fontId="36" fillId="41" borderId="86" xfId="0" applyFont="1" applyFill="1" applyBorder="1" applyAlignment="1" applyProtection="1">
      <alignment horizontal="center" vertical="center" wrapText="1"/>
      <protection locked="0"/>
    </xf>
    <xf numFmtId="0" fontId="22" fillId="0" borderId="53" xfId="0" applyFont="1" applyBorder="1" applyAlignment="1" applyProtection="1">
      <alignment horizontal="center" vertical="top" wrapText="1"/>
      <protection locked="0"/>
    </xf>
    <xf numFmtId="0" fontId="22" fillId="0" borderId="54" xfId="0" applyFont="1" applyBorder="1" applyAlignment="1" applyProtection="1">
      <alignment horizontal="center" vertical="top" wrapText="1"/>
      <protection locked="0"/>
    </xf>
    <xf numFmtId="0" fontId="22" fillId="0" borderId="164" xfId="0" applyFont="1" applyBorder="1" applyAlignment="1" applyProtection="1">
      <alignment horizontal="center" vertical="top" wrapText="1"/>
      <protection locked="0"/>
    </xf>
    <xf numFmtId="0" fontId="35" fillId="20" borderId="11" xfId="0" applyFont="1" applyFill="1" applyBorder="1" applyAlignment="1" applyProtection="1">
      <alignment horizontal="center" vertical="center" wrapText="1"/>
    </xf>
    <xf numFmtId="0" fontId="35" fillId="20" borderId="18" xfId="0" applyFont="1" applyFill="1" applyBorder="1" applyAlignment="1" applyProtection="1">
      <alignment horizontal="center" vertical="center" wrapText="1"/>
    </xf>
    <xf numFmtId="0" fontId="36" fillId="41" borderId="60" xfId="0" applyFont="1" applyFill="1" applyBorder="1" applyAlignment="1" applyProtection="1">
      <alignment horizontal="center" vertical="center" wrapText="1"/>
      <protection locked="0"/>
    </xf>
    <xf numFmtId="0" fontId="36" fillId="41" borderId="61" xfId="0" applyFont="1" applyFill="1" applyBorder="1" applyAlignment="1" applyProtection="1">
      <alignment horizontal="center" vertical="center" wrapText="1"/>
      <protection locked="0"/>
    </xf>
    <xf numFmtId="0" fontId="22" fillId="0" borderId="87" xfId="0" applyFont="1" applyBorder="1" applyAlignment="1" applyProtection="1">
      <alignment horizontal="center" vertical="top" wrapText="1"/>
      <protection locked="0"/>
    </xf>
    <xf numFmtId="0" fontId="22" fillId="0" borderId="92" xfId="0" applyFont="1" applyBorder="1" applyAlignment="1" applyProtection="1">
      <alignment horizontal="center" vertical="top" wrapText="1"/>
      <protection locked="0"/>
    </xf>
    <xf numFmtId="0" fontId="22" fillId="0" borderId="165" xfId="0" applyFont="1" applyBorder="1" applyAlignment="1" applyProtection="1">
      <alignment horizontal="center" vertical="top" wrapText="1"/>
      <protection locked="0"/>
    </xf>
    <xf numFmtId="0" fontId="38" fillId="0" borderId="34" xfId="0" applyFont="1" applyBorder="1" applyAlignment="1">
      <alignment horizontal="center" vertical="top" wrapText="1"/>
    </xf>
    <xf numFmtId="0" fontId="38" fillId="0" borderId="0" xfId="0" applyFont="1" applyBorder="1" applyAlignment="1">
      <alignment horizontal="center" vertical="top" wrapText="1"/>
    </xf>
    <xf numFmtId="0" fontId="38" fillId="5" borderId="34" xfId="0" applyFont="1" applyFill="1" applyBorder="1" applyAlignment="1">
      <alignment horizontal="center" vertical="top" wrapText="1"/>
    </xf>
    <xf numFmtId="0" fontId="38" fillId="5" borderId="0" xfId="0" applyFont="1" applyFill="1" applyBorder="1" applyAlignment="1">
      <alignment horizontal="center" vertical="top" wrapText="1"/>
    </xf>
    <xf numFmtId="0" fontId="38" fillId="5" borderId="107" xfId="0" applyFont="1" applyFill="1" applyBorder="1" applyAlignment="1">
      <alignment horizontal="center" vertical="top" wrapText="1"/>
    </xf>
    <xf numFmtId="0" fontId="38" fillId="5" borderId="41" xfId="0" applyFont="1" applyFill="1" applyBorder="1" applyAlignment="1">
      <alignment horizontal="center" vertical="top" wrapText="1"/>
    </xf>
    <xf numFmtId="0" fontId="35" fillId="20" borderId="12" xfId="0" applyFont="1" applyFill="1" applyBorder="1" applyAlignment="1" applyProtection="1">
      <alignment horizontal="center" vertical="center" wrapText="1"/>
    </xf>
    <xf numFmtId="0" fontId="35" fillId="20" borderId="13" xfId="0" applyFont="1" applyFill="1" applyBorder="1" applyAlignment="1" applyProtection="1">
      <alignment horizontal="center" vertical="center" wrapText="1"/>
    </xf>
    <xf numFmtId="0" fontId="35" fillId="20" borderId="14" xfId="0" applyFont="1" applyFill="1" applyBorder="1" applyAlignment="1" applyProtection="1">
      <alignment horizontal="center" vertical="center" wrapText="1"/>
    </xf>
    <xf numFmtId="0" fontId="38" fillId="0" borderId="116" xfId="0" applyFont="1" applyBorder="1" applyAlignment="1" applyProtection="1">
      <alignment horizontal="center" vertical="top" wrapText="1"/>
      <protection locked="0"/>
    </xf>
    <xf numFmtId="0" fontId="38" fillId="0" borderId="44" xfId="0" applyFont="1" applyBorder="1" applyAlignment="1" applyProtection="1">
      <alignment horizontal="center" vertical="top" wrapText="1"/>
      <protection locked="0"/>
    </xf>
    <xf numFmtId="0" fontId="38" fillId="0" borderId="168" xfId="0" applyFont="1" applyBorder="1" applyAlignment="1" applyProtection="1">
      <alignment horizontal="center" vertical="top" wrapText="1"/>
      <protection locked="0"/>
    </xf>
    <xf numFmtId="0" fontId="38" fillId="5" borderId="34" xfId="0" applyFont="1" applyFill="1" applyBorder="1" applyAlignment="1">
      <alignment vertical="top" wrapText="1"/>
    </xf>
    <xf numFmtId="0" fontId="38" fillId="5" borderId="0" xfId="0" applyFont="1" applyFill="1" applyBorder="1" applyAlignment="1">
      <alignment vertical="top" wrapText="1"/>
    </xf>
    <xf numFmtId="0" fontId="38" fillId="42" borderId="34" xfId="0" applyFont="1" applyFill="1" applyBorder="1" applyAlignment="1">
      <alignment horizontal="center" vertical="center" wrapText="1"/>
    </xf>
    <xf numFmtId="0" fontId="38" fillId="42" borderId="0" xfId="0" applyFont="1" applyFill="1" applyBorder="1" applyAlignment="1">
      <alignment horizontal="center" vertical="center" wrapText="1"/>
    </xf>
    <xf numFmtId="0" fontId="38" fillId="42" borderId="38" xfId="0" applyFont="1" applyFill="1" applyBorder="1" applyAlignment="1">
      <alignment horizontal="center" vertical="center" wrapText="1"/>
    </xf>
    <xf numFmtId="0" fontId="10" fillId="35" borderId="30" xfId="83" applyFill="1" applyBorder="1" applyAlignment="1" applyProtection="1">
      <alignment horizontal="center" vertical="center" wrapText="1"/>
    </xf>
    <xf numFmtId="0" fontId="10" fillId="35" borderId="31" xfId="83" applyFill="1" applyBorder="1" applyAlignment="1" applyProtection="1">
      <alignment horizontal="center" vertical="center" wrapText="1"/>
    </xf>
    <xf numFmtId="0" fontId="10" fillId="35" borderId="42" xfId="83" applyFill="1" applyBorder="1" applyAlignment="1" applyProtection="1">
      <alignment horizontal="center" vertical="center" wrapText="1"/>
    </xf>
    <xf numFmtId="0" fontId="38" fillId="0" borderId="109" xfId="84" applyFont="1" applyFill="1" applyBorder="1" applyAlignment="1">
      <alignment horizontal="center" vertical="top" wrapText="1"/>
    </xf>
    <xf numFmtId="0" fontId="38" fillId="0" borderId="110" xfId="84" applyFont="1" applyFill="1" applyBorder="1" applyAlignment="1">
      <alignment horizontal="center" vertical="top" wrapText="1"/>
    </xf>
    <xf numFmtId="0" fontId="38" fillId="0" borderId="166" xfId="84" applyFont="1" applyFill="1" applyBorder="1" applyAlignment="1">
      <alignment horizontal="center" vertical="top" wrapText="1"/>
    </xf>
    <xf numFmtId="0" fontId="81" fillId="42" borderId="147" xfId="0" applyFont="1" applyFill="1" applyBorder="1" applyAlignment="1">
      <alignment horizontal="center" vertical="top" wrapText="1"/>
    </xf>
    <xf numFmtId="0" fontId="81" fillId="42" borderId="25" xfId="0" applyFont="1" applyFill="1" applyBorder="1" applyAlignment="1">
      <alignment horizontal="center" vertical="top" wrapText="1"/>
    </xf>
    <xf numFmtId="49" fontId="35" fillId="20" borderId="11" xfId="0" applyNumberFormat="1" applyFont="1" applyFill="1" applyBorder="1" applyAlignment="1" applyProtection="1">
      <alignment horizontal="center" vertical="center" wrapText="1"/>
    </xf>
    <xf numFmtId="49" fontId="35" fillId="20" borderId="18" xfId="0" applyNumberFormat="1" applyFont="1" applyFill="1" applyBorder="1" applyAlignment="1" applyProtection="1">
      <alignment horizontal="center" vertical="center" wrapText="1"/>
    </xf>
    <xf numFmtId="0" fontId="56" fillId="8" borderId="89" xfId="0" applyFont="1" applyFill="1" applyBorder="1" applyAlignment="1" applyProtection="1">
      <alignment horizontal="center" vertical="center"/>
      <protection locked="0"/>
    </xf>
    <xf numFmtId="0" fontId="56" fillId="8" borderId="90" xfId="0" applyFont="1" applyFill="1" applyBorder="1" applyAlignment="1" applyProtection="1">
      <alignment horizontal="center" vertical="center"/>
      <protection locked="0"/>
    </xf>
    <xf numFmtId="0" fontId="56" fillId="8" borderId="163" xfId="0" applyFont="1" applyFill="1" applyBorder="1" applyAlignment="1" applyProtection="1">
      <alignment horizontal="center" vertical="center"/>
      <protection locked="0"/>
    </xf>
    <xf numFmtId="0" fontId="38" fillId="20" borderId="87" xfId="0" applyFont="1" applyFill="1" applyBorder="1" applyAlignment="1" applyProtection="1">
      <alignment horizontal="center" vertical="top" wrapText="1"/>
      <protection locked="0"/>
    </xf>
    <xf numFmtId="0" fontId="38" fillId="20" borderId="92" xfId="0" applyFont="1" applyFill="1" applyBorder="1" applyAlignment="1" applyProtection="1">
      <alignment horizontal="center" vertical="top" wrapText="1"/>
      <protection locked="0"/>
    </xf>
    <xf numFmtId="0" fontId="38" fillId="20" borderId="165" xfId="0" applyFont="1" applyFill="1" applyBorder="1" applyAlignment="1" applyProtection="1">
      <alignment horizontal="center" vertical="top" wrapText="1"/>
      <protection locked="0"/>
    </xf>
    <xf numFmtId="0" fontId="38" fillId="20" borderId="109" xfId="0" applyFont="1" applyFill="1" applyBorder="1" applyAlignment="1" applyProtection="1">
      <alignment horizontal="center" vertical="top" wrapText="1"/>
      <protection locked="0"/>
    </xf>
    <xf numFmtId="0" fontId="38" fillId="20" borderId="110" xfId="0" applyFont="1" applyFill="1" applyBorder="1" applyAlignment="1" applyProtection="1">
      <alignment horizontal="center" vertical="top" wrapText="1"/>
      <protection locked="0"/>
    </xf>
    <xf numFmtId="0" fontId="38" fillId="20" borderId="166" xfId="0" applyFont="1" applyFill="1" applyBorder="1" applyAlignment="1" applyProtection="1">
      <alignment horizontal="center" vertical="top" wrapText="1"/>
      <protection locked="0"/>
    </xf>
    <xf numFmtId="0" fontId="38" fillId="0" borderId="119" xfId="0" applyFont="1" applyBorder="1" applyAlignment="1" applyProtection="1">
      <alignment horizontal="center" vertical="top" wrapText="1"/>
      <protection locked="0"/>
    </xf>
    <xf numFmtId="0" fontId="38" fillId="0" borderId="167" xfId="0" applyFont="1" applyBorder="1" applyAlignment="1" applyProtection="1">
      <alignment horizontal="center" vertical="top" wrapText="1"/>
      <protection locked="0"/>
    </xf>
    <xf numFmtId="0" fontId="22" fillId="0" borderId="109" xfId="0" applyFont="1" applyBorder="1" applyAlignment="1" applyProtection="1">
      <alignment horizontal="center" vertical="top" wrapText="1"/>
      <protection locked="0"/>
    </xf>
    <xf numFmtId="0" fontId="22" fillId="0" borderId="110" xfId="0" applyFont="1" applyBorder="1" applyAlignment="1" applyProtection="1">
      <alignment horizontal="center" vertical="top" wrapText="1"/>
      <protection locked="0"/>
    </xf>
    <xf numFmtId="0" fontId="22" fillId="0" borderId="166" xfId="0" applyFont="1" applyBorder="1" applyAlignment="1" applyProtection="1">
      <alignment horizontal="center" vertical="top" wrapText="1"/>
      <protection locked="0"/>
    </xf>
    <xf numFmtId="0" fontId="56" fillId="2" borderId="119" xfId="84" applyFont="1" applyFill="1" applyBorder="1" applyAlignment="1">
      <alignment horizontal="center" vertical="top" wrapText="1"/>
    </xf>
    <xf numFmtId="0" fontId="56" fillId="2" borderId="136" xfId="84" applyFont="1" applyFill="1" applyBorder="1" applyAlignment="1">
      <alignment horizontal="center" vertical="top" wrapText="1"/>
    </xf>
    <xf numFmtId="0" fontId="38" fillId="0" borderId="45" xfId="84" applyFont="1" applyFill="1" applyBorder="1" applyAlignment="1">
      <alignment horizontal="center" vertical="top" wrapText="1"/>
    </xf>
    <xf numFmtId="0" fontId="22" fillId="20" borderId="28" xfId="0" applyFont="1" applyFill="1" applyBorder="1" applyAlignment="1" applyProtection="1">
      <alignment horizontal="center" vertical="top" wrapText="1"/>
      <protection locked="0"/>
    </xf>
    <xf numFmtId="0" fontId="70" fillId="20" borderId="115" xfId="0" applyFont="1" applyFill="1" applyBorder="1" applyAlignment="1" applyProtection="1">
      <alignment horizontal="left" vertical="top" wrapText="1"/>
      <protection locked="0"/>
    </xf>
    <xf numFmtId="0" fontId="70" fillId="20" borderId="116" xfId="0" applyFont="1" applyFill="1" applyBorder="1" applyAlignment="1" applyProtection="1">
      <alignment horizontal="left" vertical="top" wrapText="1"/>
      <protection locked="0"/>
    </xf>
    <xf numFmtId="0" fontId="22" fillId="20" borderId="27" xfId="0" applyFont="1" applyFill="1" applyBorder="1" applyAlignment="1" applyProtection="1">
      <alignment horizontal="left" vertical="top" wrapText="1"/>
      <protection locked="0"/>
    </xf>
    <xf numFmtId="0" fontId="22" fillId="20" borderId="0" xfId="0" applyFont="1" applyFill="1" applyAlignment="1" applyProtection="1">
      <alignment horizontal="left" vertical="top" wrapText="1"/>
      <protection locked="0"/>
    </xf>
    <xf numFmtId="0" fontId="22" fillId="20" borderId="34" xfId="0" applyFont="1" applyFill="1" applyBorder="1" applyAlignment="1" applyProtection="1">
      <alignment horizontal="center" vertical="top" wrapText="1"/>
      <protection locked="0"/>
    </xf>
    <xf numFmtId="0" fontId="22" fillId="20" borderId="0" xfId="0" applyFont="1" applyFill="1" applyBorder="1" applyAlignment="1" applyProtection="1">
      <alignment horizontal="center" vertical="top" wrapText="1"/>
      <protection locked="0"/>
    </xf>
    <xf numFmtId="0" fontId="22" fillId="20" borderId="38" xfId="0" applyFont="1" applyFill="1" applyBorder="1" applyAlignment="1" applyProtection="1">
      <alignment horizontal="center" vertical="top" wrapText="1"/>
      <protection locked="0"/>
    </xf>
    <xf numFmtId="0" fontId="22" fillId="20" borderId="41" xfId="0" applyFont="1" applyFill="1" applyBorder="1" applyAlignment="1" applyProtection="1">
      <alignment horizontal="center" vertical="top" wrapText="1"/>
      <protection locked="0"/>
    </xf>
    <xf numFmtId="0" fontId="35" fillId="0" borderId="34" xfId="0" applyFont="1" applyFill="1" applyBorder="1" applyAlignment="1" applyProtection="1">
      <alignment vertical="top" wrapText="1"/>
      <protection locked="0"/>
    </xf>
    <xf numFmtId="0" fontId="35" fillId="0" borderId="38" xfId="0" applyFont="1" applyFill="1" applyBorder="1" applyAlignment="1" applyProtection="1">
      <alignment vertical="top" wrapText="1"/>
      <protection locked="0"/>
    </xf>
    <xf numFmtId="0" fontId="38" fillId="0" borderId="34" xfId="0" applyFont="1" applyFill="1" applyBorder="1" applyAlignment="1" applyProtection="1">
      <alignment vertical="top" wrapText="1"/>
      <protection locked="0"/>
    </xf>
    <xf numFmtId="0" fontId="38" fillId="0" borderId="0" xfId="0" applyFont="1" applyFill="1" applyBorder="1" applyAlignment="1" applyProtection="1">
      <alignment vertical="top" wrapText="1"/>
      <protection locked="0"/>
    </xf>
    <xf numFmtId="0" fontId="38" fillId="0" borderId="91" xfId="0" applyFont="1" applyBorder="1" applyAlignment="1" applyProtection="1">
      <alignment horizontal="center" vertical="top" wrapText="1"/>
      <protection locked="0"/>
    </xf>
    <xf numFmtId="0" fontId="33" fillId="0" borderId="132" xfId="0" applyFont="1" applyFill="1" applyBorder="1" applyAlignment="1" applyProtection="1">
      <alignment horizontal="center" vertical="top" wrapText="1"/>
      <protection locked="0"/>
    </xf>
    <xf numFmtId="0" fontId="33" fillId="0" borderId="34" xfId="0" applyFont="1" applyFill="1" applyBorder="1" applyAlignment="1" applyProtection="1">
      <alignment horizontal="center" vertical="top" wrapText="1"/>
      <protection locked="0"/>
    </xf>
    <xf numFmtId="0" fontId="33" fillId="0" borderId="120" xfId="0" applyFont="1" applyFill="1" applyBorder="1" applyAlignment="1" applyProtection="1">
      <alignment horizontal="center" vertical="top" wrapText="1"/>
      <protection locked="0"/>
    </xf>
    <xf numFmtId="0" fontId="33" fillId="0" borderId="0" xfId="0" applyFont="1" applyFill="1" applyBorder="1" applyAlignment="1" applyProtection="1">
      <alignment horizontal="center" vertical="top" wrapText="1"/>
      <protection locked="0"/>
    </xf>
    <xf numFmtId="0" fontId="33" fillId="0" borderId="125" xfId="0" applyFont="1" applyFill="1" applyBorder="1" applyAlignment="1" applyProtection="1">
      <alignment horizontal="center" vertical="top" wrapText="1"/>
      <protection locked="0"/>
    </xf>
    <xf numFmtId="0" fontId="33" fillId="0" borderId="123" xfId="0" applyFont="1" applyFill="1" applyBorder="1" applyAlignment="1" applyProtection="1">
      <alignment horizontal="center" vertical="top" wrapText="1"/>
      <protection locked="0"/>
    </xf>
    <xf numFmtId="0" fontId="38" fillId="2" borderId="182" xfId="84" applyFont="1" applyFill="1" applyBorder="1" applyAlignment="1" applyProtection="1">
      <alignment horizontal="center" vertical="center" wrapText="1"/>
      <protection locked="0"/>
    </xf>
    <xf numFmtId="0" fontId="74" fillId="0" borderId="257" xfId="84" applyFont="1" applyBorder="1" applyAlignment="1" applyProtection="1">
      <alignment horizontal="center" vertical="center" wrapText="1"/>
      <protection locked="0"/>
    </xf>
    <xf numFmtId="0" fontId="35" fillId="42" borderId="83" xfId="58" applyFont="1" applyFill="1" applyBorder="1" applyAlignment="1" applyProtection="1">
      <alignment horizontal="center" vertical="center" wrapText="1"/>
      <protection locked="0"/>
    </xf>
    <xf numFmtId="0" fontId="35" fillId="42" borderId="78" xfId="58" applyFont="1" applyFill="1" applyBorder="1" applyAlignment="1" applyProtection="1">
      <alignment horizontal="center" vertical="center" wrapText="1"/>
      <protection locked="0"/>
    </xf>
    <xf numFmtId="0" fontId="38" fillId="20" borderId="0" xfId="0" applyFont="1" applyFill="1" applyBorder="1" applyAlignment="1" applyProtection="1">
      <alignment vertical="top" wrapText="1"/>
      <protection locked="0"/>
    </xf>
    <xf numFmtId="0" fontId="56" fillId="2" borderId="121" xfId="84" applyFont="1" applyFill="1" applyBorder="1" applyAlignment="1" applyProtection="1">
      <alignment horizontal="center" vertical="top" wrapText="1"/>
      <protection locked="0"/>
    </xf>
    <xf numFmtId="0" fontId="56" fillId="2" borderId="0" xfId="84" applyFont="1" applyFill="1" applyBorder="1" applyAlignment="1" applyProtection="1">
      <alignment horizontal="center" vertical="top" wrapText="1"/>
      <protection locked="0"/>
    </xf>
    <xf numFmtId="0" fontId="38" fillId="20" borderId="91" xfId="0" applyFont="1" applyFill="1" applyBorder="1" applyAlignment="1" applyProtection="1">
      <alignment horizontal="center" vertical="top" wrapText="1"/>
      <protection locked="0"/>
    </xf>
    <xf numFmtId="0" fontId="22" fillId="20" borderId="34" xfId="0" applyFont="1" applyFill="1" applyBorder="1" applyAlignment="1" applyProtection="1">
      <alignment horizontal="left" vertical="top" wrapText="1"/>
      <protection locked="0"/>
    </xf>
    <xf numFmtId="0" fontId="22" fillId="20" borderId="0" xfId="0" applyFont="1" applyFill="1" applyBorder="1" applyAlignment="1" applyProtection="1">
      <alignment horizontal="left" vertical="top" wrapText="1"/>
      <protection locked="0"/>
    </xf>
    <xf numFmtId="0" fontId="22" fillId="20" borderId="38" xfId="0" applyFont="1" applyFill="1" applyBorder="1" applyAlignment="1" applyProtection="1">
      <alignment horizontal="left" vertical="top" wrapText="1"/>
      <protection locked="0"/>
    </xf>
    <xf numFmtId="0" fontId="0" fillId="0" borderId="136" xfId="0" applyBorder="1" applyAlignment="1" applyProtection="1">
      <alignment horizontal="center"/>
      <protection locked="0"/>
    </xf>
    <xf numFmtId="0" fontId="0" fillId="0" borderId="133" xfId="0" applyBorder="1" applyAlignment="1" applyProtection="1">
      <alignment horizontal="center"/>
      <protection locked="0"/>
    </xf>
    <xf numFmtId="0" fontId="0" fillId="0" borderId="132" xfId="0" applyBorder="1" applyAlignment="1" applyProtection="1">
      <alignment horizontal="center"/>
      <protection locked="0"/>
    </xf>
    <xf numFmtId="0" fontId="0" fillId="0" borderId="34" xfId="0" applyBorder="1" applyAlignment="1" applyProtection="1">
      <alignment horizontal="center"/>
      <protection locked="0"/>
    </xf>
    <xf numFmtId="0" fontId="22" fillId="20" borderId="107" xfId="0" applyFont="1" applyFill="1" applyBorder="1" applyAlignment="1" applyProtection="1">
      <alignment horizontal="center" vertical="top" wrapText="1"/>
      <protection locked="0"/>
    </xf>
    <xf numFmtId="0" fontId="22" fillId="20" borderId="138" xfId="0" applyFont="1" applyFill="1" applyBorder="1" applyAlignment="1" applyProtection="1">
      <alignment horizontal="center" vertical="top" wrapText="1"/>
      <protection locked="0"/>
    </xf>
    <xf numFmtId="0" fontId="35" fillId="5" borderId="34" xfId="0" applyFont="1" applyFill="1" applyBorder="1" applyAlignment="1" applyProtection="1">
      <alignment vertical="top" wrapText="1"/>
      <protection locked="0"/>
    </xf>
    <xf numFmtId="0" fontId="35" fillId="5" borderId="38" xfId="0" applyFont="1" applyFill="1" applyBorder="1" applyAlignment="1" applyProtection="1">
      <alignment vertical="top" wrapText="1"/>
      <protection locked="0"/>
    </xf>
    <xf numFmtId="0" fontId="22" fillId="20" borderId="35" xfId="0" applyFont="1" applyFill="1" applyBorder="1" applyAlignment="1" applyProtection="1">
      <alignment horizontal="center" vertical="top" wrapText="1"/>
      <protection locked="0"/>
    </xf>
    <xf numFmtId="0" fontId="22" fillId="20" borderId="39" xfId="0" applyFont="1" applyFill="1" applyBorder="1" applyAlignment="1" applyProtection="1">
      <alignment horizontal="center" vertical="top" wrapText="1"/>
      <protection locked="0"/>
    </xf>
    <xf numFmtId="0" fontId="70" fillId="20" borderId="45" xfId="0" applyFont="1" applyFill="1" applyBorder="1" applyAlignment="1" applyProtection="1">
      <alignment horizontal="left" vertical="top" wrapText="1"/>
      <protection locked="0"/>
    </xf>
    <xf numFmtId="0" fontId="70" fillId="20" borderId="87" xfId="0" applyFont="1" applyFill="1" applyBorder="1" applyAlignment="1" applyProtection="1">
      <alignment horizontal="left" vertical="top" wrapText="1"/>
      <protection locked="0"/>
    </xf>
    <xf numFmtId="0" fontId="70" fillId="20" borderId="135" xfId="0" applyFont="1" applyFill="1" applyBorder="1" applyAlignment="1" applyProtection="1">
      <alignment horizontal="left" vertical="top" wrapText="1"/>
      <protection locked="0"/>
    </xf>
    <xf numFmtId="0" fontId="70" fillId="20" borderId="109" xfId="0" applyFont="1" applyFill="1" applyBorder="1" applyAlignment="1" applyProtection="1">
      <alignment horizontal="left" vertical="top" wrapText="1"/>
      <protection locked="0"/>
    </xf>
    <xf numFmtId="0" fontId="0" fillId="20" borderId="87" xfId="0" applyFill="1" applyBorder="1" applyAlignment="1" applyProtection="1">
      <alignment horizontal="center"/>
      <protection locked="0"/>
    </xf>
    <xf numFmtId="0" fontId="0" fillId="20" borderId="92" xfId="0" applyFill="1" applyBorder="1" applyAlignment="1" applyProtection="1">
      <alignment horizontal="center"/>
      <protection locked="0"/>
    </xf>
    <xf numFmtId="0" fontId="0" fillId="20" borderId="109" xfId="0" applyFill="1" applyBorder="1" applyAlignment="1" applyProtection="1">
      <alignment horizontal="center"/>
      <protection locked="0"/>
    </xf>
    <xf numFmtId="0" fontId="0" fillId="20" borderId="110" xfId="0" applyFill="1" applyBorder="1" applyAlignment="1" applyProtection="1">
      <alignment horizontal="center"/>
      <protection locked="0"/>
    </xf>
    <xf numFmtId="0" fontId="81" fillId="42" borderId="34" xfId="0" applyFont="1" applyFill="1" applyBorder="1" applyAlignment="1" applyProtection="1">
      <alignment horizontal="center" vertical="top" wrapText="1"/>
      <protection locked="0"/>
    </xf>
    <xf numFmtId="0" fontId="81" fillId="42" borderId="0" xfId="0" applyFont="1" applyFill="1" applyBorder="1" applyAlignment="1" applyProtection="1">
      <alignment horizontal="center" vertical="top" wrapText="1"/>
      <protection locked="0"/>
    </xf>
    <xf numFmtId="0" fontId="38" fillId="5" borderId="107" xfId="0" applyFont="1" applyFill="1" applyBorder="1" applyAlignment="1" applyProtection="1">
      <alignment horizontal="center" vertical="top" wrapText="1"/>
      <protection locked="0"/>
    </xf>
    <xf numFmtId="0" fontId="38" fillId="5" borderId="138" xfId="0" applyFont="1" applyFill="1" applyBorder="1" applyAlignment="1" applyProtection="1">
      <alignment horizontal="center" vertical="top" wrapText="1"/>
      <protection locked="0"/>
    </xf>
    <xf numFmtId="0" fontId="38" fillId="0" borderId="34" xfId="0" applyFont="1" applyFill="1" applyBorder="1" applyAlignment="1" applyProtection="1">
      <alignment horizontal="left" vertical="top" wrapText="1"/>
      <protection locked="0"/>
    </xf>
    <xf numFmtId="0" fontId="38" fillId="0" borderId="38" xfId="0" applyFont="1" applyFill="1" applyBorder="1" applyAlignment="1" applyProtection="1">
      <alignment horizontal="left" vertical="top" wrapText="1"/>
      <protection locked="0"/>
    </xf>
    <xf numFmtId="0" fontId="38" fillId="5" borderId="34" xfId="0" applyFont="1" applyFill="1" applyBorder="1" applyAlignment="1" applyProtection="1">
      <alignment horizontal="left" vertical="top" wrapText="1"/>
      <protection locked="0"/>
    </xf>
    <xf numFmtId="0" fontId="38" fillId="5" borderId="38" xfId="0" applyFont="1" applyFill="1" applyBorder="1" applyAlignment="1" applyProtection="1">
      <alignment horizontal="left" vertical="top" wrapText="1"/>
      <protection locked="0"/>
    </xf>
    <xf numFmtId="0" fontId="38" fillId="42" borderId="34" xfId="0" applyFont="1" applyFill="1" applyBorder="1" applyAlignment="1" applyProtection="1">
      <alignment horizontal="center" vertical="top" wrapText="1"/>
      <protection locked="0"/>
    </xf>
    <xf numFmtId="0" fontId="38" fillId="42" borderId="38" xfId="0" applyFont="1" applyFill="1" applyBorder="1" applyAlignment="1" applyProtection="1">
      <alignment horizontal="center" vertical="top" wrapText="1"/>
      <protection locked="0"/>
    </xf>
    <xf numFmtId="0" fontId="22" fillId="20" borderId="37" xfId="0" applyFont="1" applyFill="1" applyBorder="1" applyAlignment="1" applyProtection="1">
      <alignment horizontal="left" vertical="top" wrapText="1"/>
      <protection locked="0"/>
    </xf>
    <xf numFmtId="0" fontId="71" fillId="42" borderId="34" xfId="0" applyFont="1" applyFill="1" applyBorder="1" applyAlignment="1" applyProtection="1">
      <alignment horizontal="left" vertical="top" wrapText="1"/>
      <protection locked="0"/>
    </xf>
    <xf numFmtId="0" fontId="71" fillId="42" borderId="0" xfId="0" applyFont="1" applyFill="1" applyBorder="1" applyAlignment="1" applyProtection="1">
      <alignment horizontal="left" vertical="top" wrapText="1"/>
      <protection locked="0"/>
    </xf>
    <xf numFmtId="49" fontId="35" fillId="20" borderId="11" xfId="0" applyNumberFormat="1" applyFont="1" applyFill="1" applyBorder="1" applyAlignment="1" applyProtection="1">
      <alignment horizontal="center" vertical="center" wrapText="1"/>
      <protection locked="0"/>
    </xf>
    <xf numFmtId="49" fontId="35" fillId="20" borderId="18" xfId="0" applyNumberFormat="1" applyFont="1" applyFill="1" applyBorder="1" applyAlignment="1" applyProtection="1">
      <alignment horizontal="center" vertical="center" wrapText="1"/>
      <protection locked="0"/>
    </xf>
    <xf numFmtId="0" fontId="35" fillId="20" borderId="11" xfId="0" applyFont="1" applyFill="1" applyBorder="1" applyAlignment="1" applyProtection="1">
      <alignment horizontal="center" vertical="center" wrapText="1"/>
      <protection locked="0"/>
    </xf>
    <xf numFmtId="0" fontId="35" fillId="20" borderId="18" xfId="0" applyFont="1" applyFill="1" applyBorder="1" applyAlignment="1" applyProtection="1">
      <alignment horizontal="center" vertical="center" wrapText="1"/>
      <protection locked="0"/>
    </xf>
    <xf numFmtId="0" fontId="35" fillId="20" borderId="12" xfId="0" applyFont="1" applyFill="1" applyBorder="1" applyAlignment="1" applyProtection="1">
      <alignment horizontal="center" vertical="center" wrapText="1"/>
      <protection locked="0"/>
    </xf>
    <xf numFmtId="0" fontId="35" fillId="20" borderId="13" xfId="0" applyFont="1" applyFill="1" applyBorder="1" applyAlignment="1" applyProtection="1">
      <alignment horizontal="center" vertical="center" wrapText="1"/>
      <protection locked="0"/>
    </xf>
    <xf numFmtId="0" fontId="35" fillId="20" borderId="14" xfId="0" applyFont="1" applyFill="1" applyBorder="1" applyAlignment="1" applyProtection="1">
      <alignment horizontal="center" vertical="center" wrapText="1"/>
      <protection locked="0"/>
    </xf>
    <xf numFmtId="0" fontId="35" fillId="5" borderId="33" xfId="0" applyFont="1" applyFill="1" applyBorder="1" applyAlignment="1" applyProtection="1">
      <alignment horizontal="right" vertical="top" wrapText="1"/>
      <protection locked="0"/>
    </xf>
    <xf numFmtId="0" fontId="35" fillId="5" borderId="37" xfId="0" applyFont="1" applyFill="1" applyBorder="1" applyAlignment="1" applyProtection="1">
      <alignment horizontal="right" vertical="top" wrapText="1"/>
      <protection locked="0"/>
    </xf>
    <xf numFmtId="0" fontId="38" fillId="0" borderId="0" xfId="0" applyFont="1" applyFill="1" applyBorder="1" applyAlignment="1" applyProtection="1">
      <alignment horizontal="left" vertical="top" wrapText="1"/>
      <protection locked="0"/>
    </xf>
    <xf numFmtId="0" fontId="56" fillId="2" borderId="119" xfId="84" applyFont="1" applyFill="1" applyBorder="1" applyAlignment="1" applyProtection="1">
      <alignment horizontal="center" vertical="top" wrapText="1"/>
      <protection locked="0"/>
    </xf>
    <xf numFmtId="0" fontId="33" fillId="0" borderId="119" xfId="0" applyFont="1" applyFill="1" applyBorder="1" applyAlignment="1" applyProtection="1">
      <alignment horizontal="center" vertical="top" wrapText="1"/>
      <protection locked="0"/>
    </xf>
    <xf numFmtId="0" fontId="33" fillId="0" borderId="167" xfId="0" applyFont="1" applyFill="1" applyBorder="1" applyAlignment="1" applyProtection="1">
      <alignment horizontal="center" vertical="top" wrapText="1"/>
      <protection locked="0"/>
    </xf>
    <xf numFmtId="0" fontId="33" fillId="0" borderId="45" xfId="0" applyFont="1" applyFill="1" applyBorder="1" applyAlignment="1" applyProtection="1">
      <alignment horizontal="center" vertical="top" wrapText="1"/>
      <protection locked="0"/>
    </xf>
    <xf numFmtId="0" fontId="33" fillId="0" borderId="171" xfId="0" applyFont="1" applyFill="1" applyBorder="1" applyAlignment="1" applyProtection="1">
      <alignment horizontal="center" vertical="top" wrapText="1"/>
      <protection locked="0"/>
    </xf>
    <xf numFmtId="0" fontId="70" fillId="0" borderId="119" xfId="0" applyFont="1" applyFill="1" applyBorder="1" applyAlignment="1" applyProtection="1">
      <alignment horizontal="left" vertical="top" wrapText="1"/>
      <protection locked="0"/>
    </xf>
    <xf numFmtId="0" fontId="70" fillId="0" borderId="136" xfId="0" applyFont="1" applyFill="1" applyBorder="1" applyAlignment="1" applyProtection="1">
      <alignment horizontal="left" vertical="top" wrapText="1"/>
      <protection locked="0"/>
    </xf>
    <xf numFmtId="0" fontId="70" fillId="0" borderId="135" xfId="0" applyFont="1" applyFill="1" applyBorder="1" applyAlignment="1" applyProtection="1">
      <alignment horizontal="left" vertical="top" wrapText="1"/>
      <protection locked="0"/>
    </xf>
    <xf numFmtId="0" fontId="70" fillId="0" borderId="109" xfId="0" applyFont="1" applyFill="1" applyBorder="1" applyAlignment="1" applyProtection="1">
      <alignment horizontal="left" vertical="top" wrapText="1"/>
      <protection locked="0"/>
    </xf>
    <xf numFmtId="0" fontId="38" fillId="0" borderId="116" xfId="84" applyFont="1" applyFill="1" applyBorder="1" applyAlignment="1">
      <alignment horizontal="center" vertical="top" wrapText="1"/>
    </xf>
    <xf numFmtId="0" fontId="38" fillId="0" borderId="44" xfId="84" applyFont="1" applyFill="1" applyBorder="1" applyAlignment="1">
      <alignment horizontal="center" vertical="top" wrapText="1"/>
    </xf>
    <xf numFmtId="0" fontId="0" fillId="0" borderId="87" xfId="0" applyBorder="1" applyAlignment="1" applyProtection="1">
      <alignment horizontal="center"/>
      <protection locked="0"/>
    </xf>
    <xf numFmtId="0" fontId="0" fillId="0" borderId="92" xfId="0" applyBorder="1" applyAlignment="1" applyProtection="1">
      <alignment horizontal="center"/>
      <protection locked="0"/>
    </xf>
    <xf numFmtId="0" fontId="22" fillId="20" borderId="0" xfId="0" applyFont="1" applyFill="1" applyAlignment="1" applyProtection="1">
      <alignment horizontal="center" vertical="top"/>
      <protection locked="0"/>
    </xf>
    <xf numFmtId="0" fontId="0" fillId="0" borderId="109" xfId="0" applyBorder="1" applyAlignment="1" applyProtection="1">
      <alignment horizontal="center"/>
      <protection locked="0"/>
    </xf>
    <xf numFmtId="0" fontId="0" fillId="0" borderId="110" xfId="0" applyBorder="1" applyAlignment="1" applyProtection="1">
      <alignment horizontal="center"/>
      <protection locked="0"/>
    </xf>
    <xf numFmtId="0" fontId="70" fillId="20" borderId="171" xfId="0" applyFont="1" applyFill="1" applyBorder="1" applyAlignment="1" applyProtection="1">
      <alignment horizontal="left" vertical="top" wrapText="1"/>
      <protection locked="0"/>
    </xf>
    <xf numFmtId="0" fontId="70" fillId="0" borderId="152" xfId="0" applyFont="1" applyFill="1" applyBorder="1" applyAlignment="1" applyProtection="1">
      <alignment horizontal="left" vertical="top" wrapText="1"/>
      <protection locked="0"/>
    </xf>
    <xf numFmtId="0" fontId="70" fillId="0" borderId="154" xfId="0" applyFont="1" applyFill="1" applyBorder="1" applyAlignment="1" applyProtection="1">
      <alignment horizontal="left" vertical="top" wrapText="1"/>
      <protection locked="0"/>
    </xf>
    <xf numFmtId="0" fontId="38" fillId="0" borderId="107" xfId="0" applyFont="1" applyFill="1" applyBorder="1" applyAlignment="1" applyProtection="1">
      <alignment horizontal="center" vertical="top" wrapText="1"/>
    </xf>
    <xf numFmtId="0" fontId="38" fillId="0" borderId="41" xfId="0" applyFont="1" applyFill="1" applyBorder="1" applyAlignment="1" applyProtection="1">
      <alignment horizontal="center" vertical="top" wrapText="1"/>
    </xf>
    <xf numFmtId="0" fontId="0" fillId="0" borderId="31" xfId="0" applyBorder="1" applyAlignment="1" applyProtection="1">
      <alignment horizontal="center"/>
      <protection locked="0"/>
    </xf>
    <xf numFmtId="0" fontId="38" fillId="2" borderId="181" xfId="84" applyFont="1" applyFill="1" applyBorder="1" applyAlignment="1" applyProtection="1">
      <alignment horizontal="center" vertical="center" wrapText="1"/>
      <protection locked="0"/>
    </xf>
    <xf numFmtId="0" fontId="69" fillId="0" borderId="256" xfId="84" applyFont="1" applyBorder="1" applyAlignment="1" applyProtection="1">
      <alignment horizontal="center" vertical="center" wrapText="1"/>
      <protection locked="0"/>
    </xf>
    <xf numFmtId="0" fontId="69" fillId="0" borderId="257" xfId="84" applyFont="1" applyBorder="1" applyAlignment="1" applyProtection="1">
      <alignment horizontal="center" vertical="center" wrapText="1"/>
      <protection locked="0"/>
    </xf>
    <xf numFmtId="0" fontId="0" fillId="0" borderId="149" xfId="0" applyBorder="1" applyAlignment="1" applyProtection="1">
      <alignment horizontal="center"/>
      <protection locked="0"/>
    </xf>
    <xf numFmtId="0" fontId="0" fillId="0" borderId="38" xfId="0" applyBorder="1" applyAlignment="1" applyProtection="1">
      <alignment horizontal="center"/>
      <protection locked="0"/>
    </xf>
    <xf numFmtId="0" fontId="70" fillId="20" borderId="119" xfId="0" applyFont="1" applyFill="1" applyBorder="1" applyAlignment="1" applyProtection="1">
      <alignment horizontal="left" vertical="top" wrapText="1"/>
      <protection locked="0"/>
    </xf>
    <xf numFmtId="0" fontId="70" fillId="20" borderId="136" xfId="0" applyFont="1" applyFill="1" applyBorder="1" applyAlignment="1" applyProtection="1">
      <alignment horizontal="left" vertical="top" wrapText="1"/>
      <protection locked="0"/>
    </xf>
    <xf numFmtId="0" fontId="40" fillId="39" borderId="149" xfId="0" applyFont="1" applyFill="1" applyBorder="1" applyAlignment="1">
      <alignment horizontal="center" vertical="top" wrapText="1"/>
    </xf>
    <xf numFmtId="0" fontId="40" fillId="39" borderId="38" xfId="0" applyFont="1" applyFill="1" applyBorder="1" applyAlignment="1">
      <alignment horizontal="center" vertical="top" wrapText="1"/>
    </xf>
    <xf numFmtId="0" fontId="70" fillId="20" borderId="172" xfId="0" applyFont="1" applyFill="1" applyBorder="1" applyAlignment="1" applyProtection="1">
      <alignment horizontal="left" vertical="top" wrapText="1"/>
      <protection locked="0"/>
    </xf>
    <xf numFmtId="0" fontId="71" fillId="42" borderId="34" xfId="0" applyFont="1" applyFill="1" applyBorder="1" applyAlignment="1" applyProtection="1">
      <alignment horizontal="center" vertical="top" wrapText="1"/>
      <protection locked="0"/>
    </xf>
    <xf numFmtId="0" fontId="71" fillId="42" borderId="38" xfId="0" applyFont="1" applyFill="1" applyBorder="1" applyAlignment="1" applyProtection="1">
      <alignment horizontal="center" vertical="top" wrapText="1"/>
      <protection locked="0"/>
    </xf>
    <xf numFmtId="0" fontId="22" fillId="20" borderId="33" xfId="0" applyFont="1" applyFill="1" applyBorder="1" applyAlignment="1" applyProtection="1">
      <alignment horizontal="left" vertical="top" wrapText="1"/>
      <protection locked="0"/>
    </xf>
    <xf numFmtId="0" fontId="81" fillId="42" borderId="38" xfId="0" applyFont="1" applyFill="1" applyBorder="1" applyAlignment="1" applyProtection="1">
      <alignment horizontal="center" vertical="top" wrapText="1"/>
      <protection locked="0"/>
    </xf>
    <xf numFmtId="0" fontId="35" fillId="0" borderId="0" xfId="0" applyFont="1" applyFill="1" applyBorder="1" applyAlignment="1" applyProtection="1">
      <alignment vertical="top" wrapText="1"/>
      <protection locked="0"/>
    </xf>
    <xf numFmtId="0" fontId="35" fillId="0" borderId="33" xfId="0" applyFont="1" applyFill="1" applyBorder="1" applyAlignment="1" applyProtection="1">
      <alignment horizontal="right" vertical="top" wrapText="1"/>
      <protection locked="0"/>
    </xf>
    <xf numFmtId="0" fontId="35" fillId="0" borderId="27" xfId="0" applyFont="1" applyFill="1" applyBorder="1" applyAlignment="1" applyProtection="1">
      <alignment horizontal="right" vertical="top" wrapText="1"/>
      <protection locked="0"/>
    </xf>
    <xf numFmtId="0" fontId="38" fillId="42" borderId="34" xfId="0" applyFont="1" applyFill="1" applyBorder="1" applyAlignment="1" applyProtection="1">
      <alignment horizontal="left" vertical="top" wrapText="1"/>
      <protection locked="0"/>
    </xf>
    <xf numFmtId="0" fontId="38" fillId="42" borderId="0" xfId="0" applyFont="1" applyFill="1" applyBorder="1" applyAlignment="1" applyProtection="1">
      <alignment horizontal="left" vertical="top" wrapText="1"/>
      <protection locked="0"/>
    </xf>
    <xf numFmtId="0" fontId="38" fillId="5" borderId="0" xfId="0" applyFont="1" applyFill="1" applyBorder="1" applyAlignment="1" applyProtection="1">
      <alignment horizontal="left" vertical="top" wrapText="1"/>
      <protection locked="0"/>
    </xf>
    <xf numFmtId="0" fontId="22" fillId="0" borderId="34"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8" fillId="0" borderId="34" xfId="0" applyFont="1" applyFill="1" applyBorder="1" applyAlignment="1" applyProtection="1">
      <alignment horizontal="center" vertical="top" wrapText="1"/>
      <protection locked="0"/>
    </xf>
    <xf numFmtId="0" fontId="38" fillId="0" borderId="0" xfId="0" applyFont="1" applyFill="1" applyBorder="1" applyAlignment="1" applyProtection="1">
      <alignment horizontal="center" vertical="top" wrapText="1"/>
      <protection locked="0"/>
    </xf>
    <xf numFmtId="0" fontId="27" fillId="20" borderId="35" xfId="0" applyFont="1" applyFill="1" applyBorder="1" applyAlignment="1" applyProtection="1">
      <alignment horizontal="center" vertical="center"/>
      <protection locked="0"/>
    </xf>
    <xf numFmtId="0" fontId="27" fillId="20" borderId="28" xfId="0" applyFont="1" applyFill="1" applyBorder="1" applyAlignment="1" applyProtection="1">
      <alignment horizontal="center" vertical="center"/>
      <protection locked="0"/>
    </xf>
    <xf numFmtId="0" fontId="27" fillId="20" borderId="39" xfId="0" applyFont="1" applyFill="1" applyBorder="1" applyAlignment="1" applyProtection="1">
      <alignment horizontal="center" vertical="center"/>
      <protection locked="0"/>
    </xf>
    <xf numFmtId="0" fontId="0" fillId="20" borderId="45" xfId="0" applyFill="1" applyBorder="1" applyAlignment="1">
      <alignment horizontal="center"/>
    </xf>
    <xf numFmtId="0" fontId="0" fillId="20" borderId="171" xfId="0" applyFill="1" applyBorder="1" applyAlignment="1">
      <alignment horizontal="center"/>
    </xf>
    <xf numFmtId="0" fontId="38" fillId="8" borderId="197" xfId="84" applyFont="1" applyFill="1" applyBorder="1" applyAlignment="1" applyProtection="1">
      <alignment horizontal="center" vertical="center" wrapText="1"/>
      <protection locked="0"/>
    </xf>
    <xf numFmtId="0" fontId="38" fillId="8" borderId="198" xfId="84" applyFont="1" applyFill="1" applyBorder="1" applyAlignment="1" applyProtection="1">
      <alignment horizontal="center" vertical="center" wrapText="1"/>
      <protection locked="0"/>
    </xf>
    <xf numFmtId="0" fontId="0" fillId="0" borderId="45" xfId="0" applyBorder="1" applyAlignment="1">
      <alignment horizontal="center"/>
    </xf>
    <xf numFmtId="0" fontId="0" fillId="20" borderId="135" xfId="0" applyFill="1" applyBorder="1" applyAlignment="1">
      <alignment horizontal="center"/>
    </xf>
    <xf numFmtId="0" fontId="0" fillId="20" borderId="172" xfId="0" applyFill="1" applyBorder="1" applyAlignment="1">
      <alignment horizontal="center"/>
    </xf>
    <xf numFmtId="0" fontId="27" fillId="2" borderId="117" xfId="0" applyFont="1" applyFill="1" applyBorder="1" applyAlignment="1">
      <alignment horizontal="left" vertical="center" wrapText="1"/>
    </xf>
    <xf numFmtId="0" fontId="27" fillId="2" borderId="26" xfId="0" applyFont="1" applyFill="1" applyBorder="1" applyAlignment="1">
      <alignment horizontal="left" vertical="center" wrapText="1"/>
    </xf>
    <xf numFmtId="0" fontId="27" fillId="2" borderId="124" xfId="0" applyFont="1" applyFill="1" applyBorder="1" applyAlignment="1">
      <alignment horizontal="left" vertical="center" wrapText="1"/>
    </xf>
    <xf numFmtId="0" fontId="40" fillId="39" borderId="202" xfId="0" applyFont="1" applyFill="1" applyBorder="1" applyAlignment="1">
      <alignment horizontal="center" vertical="top" wrapText="1"/>
    </xf>
    <xf numFmtId="0" fontId="40" fillId="39" borderId="203" xfId="0" applyFont="1" applyFill="1" applyBorder="1" applyAlignment="1">
      <alignment horizontal="center" vertical="top" wrapText="1"/>
    </xf>
    <xf numFmtId="0" fontId="70" fillId="20" borderId="189" xfId="0" applyFont="1" applyFill="1" applyBorder="1" applyAlignment="1" applyProtection="1">
      <alignment horizontal="left" vertical="top" wrapText="1"/>
      <protection locked="0"/>
    </xf>
    <xf numFmtId="0" fontId="70" fillId="20" borderId="149" xfId="0" applyFont="1" applyFill="1" applyBorder="1" applyAlignment="1" applyProtection="1">
      <alignment horizontal="left" vertical="top" wrapText="1"/>
      <protection locked="0"/>
    </xf>
    <xf numFmtId="0" fontId="38" fillId="0" borderId="45" xfId="84" applyFont="1" applyBorder="1" applyAlignment="1" applyProtection="1">
      <alignment horizontal="center" vertical="center" wrapText="1"/>
      <protection locked="0"/>
    </xf>
    <xf numFmtId="0" fontId="40" fillId="39" borderId="208" xfId="0" applyFont="1" applyFill="1" applyBorder="1" applyAlignment="1">
      <alignment horizontal="center" vertical="top" wrapText="1"/>
    </xf>
    <xf numFmtId="0" fontId="40" fillId="39" borderId="11" xfId="0" applyFont="1" applyFill="1" applyBorder="1" applyAlignment="1">
      <alignment horizontal="center" vertical="top" wrapText="1"/>
    </xf>
    <xf numFmtId="0" fontId="38" fillId="42" borderId="34" xfId="0" applyFont="1" applyFill="1" applyBorder="1" applyAlignment="1" applyProtection="1">
      <alignment vertical="top" wrapText="1"/>
      <protection locked="0"/>
    </xf>
    <xf numFmtId="0" fontId="38" fillId="42" borderId="0" xfId="0" applyFont="1" applyFill="1" applyBorder="1" applyAlignment="1" applyProtection="1">
      <alignment vertical="top" wrapText="1"/>
      <protection locked="0"/>
    </xf>
    <xf numFmtId="0" fontId="27" fillId="20" borderId="193" xfId="0" applyFont="1" applyFill="1" applyBorder="1" applyAlignment="1">
      <alignment horizontal="center" vertical="center" wrapText="1"/>
    </xf>
    <xf numFmtId="0" fontId="27" fillId="20" borderId="40" xfId="0" applyFont="1" applyFill="1" applyBorder="1" applyAlignment="1">
      <alignment horizontal="center" vertical="center" wrapText="1"/>
    </xf>
    <xf numFmtId="0" fontId="27" fillId="20" borderId="194" xfId="0" applyFont="1" applyFill="1" applyBorder="1" applyAlignment="1">
      <alignment horizontal="center" vertical="center" wrapText="1"/>
    </xf>
    <xf numFmtId="0" fontId="38" fillId="0" borderId="57" xfId="84" applyFont="1" applyBorder="1" applyAlignment="1" applyProtection="1">
      <alignment horizontal="center" vertical="center" wrapText="1"/>
      <protection locked="0"/>
    </xf>
    <xf numFmtId="0" fontId="56" fillId="2" borderId="119" xfId="84" applyFont="1" applyFill="1" applyBorder="1" applyAlignment="1" applyProtection="1">
      <alignment horizontal="center" vertical="center" wrapText="1"/>
      <protection locked="0"/>
    </xf>
    <xf numFmtId="0" fontId="38" fillId="0" borderId="45" xfId="84" applyFont="1" applyBorder="1" applyAlignment="1" applyProtection="1">
      <alignment horizontal="center" vertical="top"/>
      <protection locked="0"/>
    </xf>
    <xf numFmtId="0" fontId="38" fillId="0" borderId="57" xfId="84" applyFont="1" applyBorder="1" applyAlignment="1" applyProtection="1">
      <alignment horizontal="center" vertical="top"/>
      <protection locked="0"/>
    </xf>
    <xf numFmtId="0" fontId="38" fillId="0" borderId="45" xfId="84" applyFont="1" applyBorder="1" applyAlignment="1" applyProtection="1">
      <alignment horizontal="center" vertical="top" wrapText="1"/>
      <protection locked="0"/>
    </xf>
    <xf numFmtId="0" fontId="22" fillId="0" borderId="34" xfId="0" applyFont="1" applyFill="1" applyBorder="1" applyAlignment="1">
      <alignment horizontal="left" vertical="top" wrapText="1"/>
    </xf>
    <xf numFmtId="0" fontId="22" fillId="0" borderId="0" xfId="0" applyFont="1" applyFill="1" applyBorder="1" applyAlignment="1">
      <alignment horizontal="left" vertical="top" wrapText="1"/>
    </xf>
    <xf numFmtId="0" fontId="38" fillId="20" borderId="72" xfId="0" applyFont="1" applyFill="1" applyBorder="1" applyAlignment="1" applyProtection="1">
      <alignment horizontal="left" vertical="top" wrapText="1"/>
      <protection locked="0"/>
    </xf>
    <xf numFmtId="0" fontId="0" fillId="0" borderId="152" xfId="0" applyBorder="1" applyAlignment="1" applyProtection="1">
      <alignment horizontal="center"/>
      <protection locked="0"/>
    </xf>
    <xf numFmtId="0" fontId="0" fillId="0" borderId="174" xfId="0" applyBorder="1" applyAlignment="1" applyProtection="1">
      <alignment horizontal="center"/>
      <protection locked="0"/>
    </xf>
    <xf numFmtId="0" fontId="35" fillId="0" borderId="146" xfId="0" applyFont="1" applyFill="1" applyBorder="1" applyAlignment="1" applyProtection="1">
      <alignment horizontal="left" vertical="top" wrapText="1"/>
      <protection locked="0"/>
    </xf>
    <xf numFmtId="0" fontId="35" fillId="0" borderId="72" xfId="0" applyFont="1" applyFill="1" applyBorder="1" applyAlignment="1" applyProtection="1">
      <alignment horizontal="left" vertical="top" wrapText="1"/>
      <protection locked="0"/>
    </xf>
    <xf numFmtId="0" fontId="27" fillId="20" borderId="187" xfId="0" applyFont="1" applyFill="1" applyBorder="1" applyAlignment="1">
      <alignment horizontal="center" vertical="center" wrapText="1"/>
    </xf>
    <xf numFmtId="0" fontId="0" fillId="0" borderId="34" xfId="0" applyBorder="1" applyAlignment="1">
      <alignment horizontal="center"/>
    </xf>
    <xf numFmtId="0" fontId="0" fillId="0" borderId="157" xfId="0" applyBorder="1" applyAlignment="1">
      <alignment horizontal="center"/>
    </xf>
    <xf numFmtId="0" fontId="0" fillId="0" borderId="0" xfId="0" applyBorder="1" applyAlignment="1">
      <alignment horizontal="center"/>
    </xf>
    <xf numFmtId="0" fontId="0" fillId="0" borderId="93" xfId="0" applyBorder="1" applyAlignment="1">
      <alignment horizontal="center"/>
    </xf>
    <xf numFmtId="0" fontId="0" fillId="0" borderId="18" xfId="0" applyBorder="1" applyAlignment="1">
      <alignment horizontal="center"/>
    </xf>
    <xf numFmtId="0" fontId="0" fillId="0" borderId="245" xfId="0" applyBorder="1" applyAlignment="1">
      <alignment horizontal="center"/>
    </xf>
    <xf numFmtId="0" fontId="22" fillId="20" borderId="215" xfId="0" applyFont="1" applyFill="1" applyBorder="1" applyAlignment="1">
      <alignment horizontal="center" vertical="center" wrapText="1"/>
    </xf>
    <xf numFmtId="0" fontId="22" fillId="20" borderId="216" xfId="0" applyFont="1" applyFill="1" applyBorder="1" applyAlignment="1">
      <alignment horizontal="center" vertical="center" wrapText="1"/>
    </xf>
    <xf numFmtId="0" fontId="22" fillId="20" borderId="188" xfId="0" applyFont="1" applyFill="1" applyBorder="1" applyAlignment="1">
      <alignment horizontal="center" vertical="center" wrapText="1"/>
    </xf>
    <xf numFmtId="0" fontId="38" fillId="8" borderId="200" xfId="84" applyFont="1" applyFill="1" applyBorder="1" applyAlignment="1" applyProtection="1">
      <alignment horizontal="center" vertical="center" wrapText="1"/>
      <protection locked="0"/>
    </xf>
    <xf numFmtId="0" fontId="0" fillId="20" borderId="210" xfId="0" applyFill="1" applyBorder="1" applyAlignment="1">
      <alignment horizontal="center"/>
    </xf>
    <xf numFmtId="0" fontId="0" fillId="20" borderId="211" xfId="0" applyFill="1" applyBorder="1" applyAlignment="1">
      <alignment horizontal="center"/>
    </xf>
    <xf numFmtId="0" fontId="0" fillId="0" borderId="156" xfId="0" applyBorder="1" applyAlignment="1" applyProtection="1">
      <alignment horizontal="center"/>
      <protection locked="0"/>
    </xf>
    <xf numFmtId="0" fontId="0" fillId="0" borderId="169" xfId="0" applyBorder="1" applyAlignment="1" applyProtection="1">
      <alignment horizontal="center"/>
      <protection locked="0"/>
    </xf>
    <xf numFmtId="0" fontId="38" fillId="42" borderId="147" xfId="0" applyFont="1" applyFill="1" applyBorder="1" applyAlignment="1" applyProtection="1">
      <alignment horizontal="center" vertical="top" wrapText="1"/>
    </xf>
    <xf numFmtId="0" fontId="38" fillId="42" borderId="147" xfId="0" applyFont="1" applyFill="1" applyBorder="1" applyAlignment="1" applyProtection="1">
      <alignment horizontal="center" vertical="top" wrapText="1"/>
      <protection locked="0"/>
    </xf>
    <xf numFmtId="0" fontId="38" fillId="42" borderId="25" xfId="0" applyFont="1" applyFill="1" applyBorder="1" applyAlignment="1" applyProtection="1">
      <alignment horizontal="center" vertical="top" wrapText="1"/>
      <protection locked="0"/>
    </xf>
    <xf numFmtId="0" fontId="38" fillId="42" borderId="145" xfId="0" applyFont="1" applyFill="1" applyBorder="1" applyAlignment="1" applyProtection="1">
      <alignment horizontal="center" vertical="top" wrapText="1"/>
      <protection locked="0"/>
    </xf>
    <xf numFmtId="0" fontId="81" fillId="42" borderId="145" xfId="0" applyFont="1" applyFill="1" applyBorder="1" applyAlignment="1">
      <alignment horizontal="center" vertical="top" wrapText="1"/>
    </xf>
    <xf numFmtId="0" fontId="0" fillId="0" borderId="57" xfId="0" applyBorder="1" applyAlignment="1">
      <alignment horizontal="center"/>
    </xf>
    <xf numFmtId="0" fontId="56" fillId="2" borderId="136" xfId="84" applyFont="1" applyFill="1" applyBorder="1" applyAlignment="1" applyProtection="1">
      <alignment horizontal="center" vertical="top" wrapText="1"/>
      <protection locked="0"/>
    </xf>
    <xf numFmtId="0" fontId="33" fillId="2" borderId="114" xfId="0" applyFont="1" applyFill="1" applyBorder="1" applyAlignment="1" applyProtection="1">
      <alignment horizontal="center" vertical="top" wrapText="1"/>
      <protection locked="0"/>
    </xf>
    <xf numFmtId="0" fontId="33" fillId="2" borderId="244" xfId="0" applyFont="1" applyFill="1" applyBorder="1" applyAlignment="1" applyProtection="1">
      <alignment horizontal="center" vertical="top" wrapText="1"/>
      <protection locked="0"/>
    </xf>
    <xf numFmtId="0" fontId="33" fillId="2" borderId="112" xfId="0" applyFont="1" applyFill="1" applyBorder="1" applyAlignment="1" applyProtection="1">
      <alignment horizontal="center" vertical="top" wrapText="1"/>
      <protection locked="0"/>
    </xf>
    <xf numFmtId="0" fontId="33" fillId="0" borderId="114" xfId="0" applyFont="1" applyFill="1" applyBorder="1" applyAlignment="1" applyProtection="1">
      <alignment horizontal="center" vertical="top" wrapText="1"/>
      <protection locked="0"/>
    </xf>
    <xf numFmtId="0" fontId="33" fillId="0" borderId="244" xfId="0" applyFont="1" applyFill="1" applyBorder="1" applyAlignment="1" applyProtection="1">
      <alignment horizontal="center" vertical="top" wrapText="1"/>
      <protection locked="0"/>
    </xf>
    <xf numFmtId="0" fontId="33" fillId="0" borderId="112" xfId="0" applyFont="1" applyFill="1" applyBorder="1" applyAlignment="1" applyProtection="1">
      <alignment horizontal="center" vertical="top" wrapText="1"/>
      <protection locked="0"/>
    </xf>
    <xf numFmtId="0" fontId="38" fillId="0" borderId="57" xfId="84" applyFont="1" applyBorder="1" applyAlignment="1" applyProtection="1">
      <alignment horizontal="center" vertical="top" wrapText="1"/>
      <protection locked="0"/>
    </xf>
    <xf numFmtId="0" fontId="33" fillId="0" borderId="242" xfId="0" applyFont="1" applyFill="1" applyBorder="1" applyAlignment="1" applyProtection="1">
      <alignment horizontal="center" vertical="top" wrapText="1"/>
    </xf>
    <xf numFmtId="0" fontId="33" fillId="0" borderId="243" xfId="0" applyFont="1" applyFill="1" applyBorder="1" applyAlignment="1" applyProtection="1">
      <alignment horizontal="center" vertical="top" wrapText="1"/>
    </xf>
    <xf numFmtId="0" fontId="78" fillId="2" borderId="26" xfId="0" applyFont="1" applyFill="1" applyBorder="1" applyAlignment="1">
      <alignment horizontal="center" vertical="center" wrapText="1"/>
    </xf>
    <xf numFmtId="0" fontId="79" fillId="48" borderId="132" xfId="0" applyFont="1" applyFill="1" applyBorder="1" applyAlignment="1">
      <alignment horizontal="center" vertical="center" wrapText="1"/>
    </xf>
    <xf numFmtId="0" fontId="79" fillId="48" borderId="236" xfId="0" applyFont="1" applyFill="1" applyBorder="1" applyAlignment="1">
      <alignment horizontal="center" vertical="center" wrapText="1"/>
    </xf>
    <xf numFmtId="0" fontId="79" fillId="48" borderId="34" xfId="0" applyFont="1" applyFill="1" applyBorder="1" applyAlignment="1">
      <alignment horizontal="center" vertical="center" wrapText="1"/>
    </xf>
    <xf numFmtId="0" fontId="38" fillId="20" borderId="72" xfId="0" applyFont="1" applyFill="1" applyBorder="1" applyAlignment="1" applyProtection="1">
      <alignment vertical="top" wrapText="1"/>
      <protection locked="0"/>
    </xf>
    <xf numFmtId="0" fontId="38" fillId="20" borderId="144" xfId="0" applyFont="1" applyFill="1" applyBorder="1" applyAlignment="1" applyProtection="1">
      <alignment vertical="top" wrapText="1"/>
      <protection locked="0"/>
    </xf>
    <xf numFmtId="0" fontId="22" fillId="0" borderId="38" xfId="0" applyFont="1" applyFill="1" applyBorder="1" applyAlignment="1" applyProtection="1">
      <alignment horizontal="center" vertical="top" wrapText="1"/>
      <protection locked="0"/>
    </xf>
    <xf numFmtId="0" fontId="38" fillId="0" borderId="41" xfId="0" applyFont="1" applyFill="1" applyBorder="1" applyAlignment="1" applyProtection="1">
      <alignment horizontal="center" vertical="top" wrapText="1"/>
      <protection locked="0"/>
    </xf>
    <xf numFmtId="0" fontId="38" fillId="0" borderId="138" xfId="0" applyFont="1" applyFill="1" applyBorder="1" applyAlignment="1" applyProtection="1">
      <alignment horizontal="center" vertical="top" wrapText="1"/>
      <protection locked="0"/>
    </xf>
    <xf numFmtId="0" fontId="38" fillId="0" borderId="38" xfId="0" applyFont="1" applyFill="1" applyBorder="1" applyAlignment="1" applyProtection="1">
      <alignment horizontal="center" vertical="top" wrapText="1"/>
      <protection locked="0"/>
    </xf>
    <xf numFmtId="0" fontId="38" fillId="0" borderId="38" xfId="0" applyFont="1" applyFill="1" applyBorder="1" applyAlignment="1" applyProtection="1">
      <alignment vertical="top" wrapText="1"/>
      <protection locked="0"/>
    </xf>
    <xf numFmtId="0" fontId="80" fillId="2" borderId="194" xfId="84" applyFont="1" applyFill="1" applyBorder="1" applyAlignment="1">
      <alignment horizontal="center"/>
    </xf>
    <xf numFmtId="0" fontId="80" fillId="2" borderId="184" xfId="84" applyFont="1" applyFill="1" applyBorder="1" applyAlignment="1">
      <alignment horizontal="center"/>
    </xf>
    <xf numFmtId="0" fontId="35" fillId="2" borderId="248" xfId="84" applyFont="1" applyFill="1" applyBorder="1" applyAlignment="1" applyProtection="1">
      <alignment horizontal="center" vertical="center" wrapText="1"/>
      <protection locked="0"/>
    </xf>
    <xf numFmtId="0" fontId="35" fillId="2" borderId="210" xfId="84" applyFont="1" applyFill="1" applyBorder="1" applyAlignment="1" applyProtection="1">
      <alignment horizontal="center" vertical="center" wrapText="1"/>
      <protection locked="0"/>
    </xf>
    <xf numFmtId="0" fontId="38" fillId="0" borderId="234" xfId="0" applyFont="1" applyFill="1" applyBorder="1" applyAlignment="1" applyProtection="1">
      <alignment horizontal="left" vertical="top" wrapText="1"/>
      <protection locked="0"/>
    </xf>
    <xf numFmtId="0" fontId="38" fillId="0" borderId="237" xfId="0" applyFont="1" applyFill="1" applyBorder="1" applyAlignment="1" applyProtection="1">
      <alignment horizontal="left" vertical="top" wrapText="1"/>
      <protection locked="0"/>
    </xf>
    <xf numFmtId="0" fontId="33" fillId="39" borderId="120" xfId="0" applyFont="1" applyFill="1" applyBorder="1" applyAlignment="1">
      <alignment horizontal="center" vertical="top" wrapText="1"/>
    </xf>
    <xf numFmtId="0" fontId="33" fillId="39" borderId="0" xfId="0" applyFont="1" applyFill="1" applyBorder="1" applyAlignment="1">
      <alignment horizontal="center" vertical="top" wrapText="1"/>
    </xf>
    <xf numFmtId="0" fontId="38" fillId="20" borderId="115" xfId="84" applyFont="1" applyFill="1" applyBorder="1" applyAlignment="1" applyProtection="1">
      <alignment horizontal="center" vertical="center" wrapText="1"/>
      <protection locked="0"/>
    </xf>
    <xf numFmtId="0" fontId="38" fillId="20" borderId="116" xfId="84" applyFont="1" applyFill="1" applyBorder="1" applyAlignment="1" applyProtection="1">
      <alignment horizontal="center" vertical="center" wrapText="1"/>
      <protection locked="0"/>
    </xf>
    <xf numFmtId="0" fontId="38" fillId="0" borderId="87" xfId="84" applyFont="1" applyBorder="1" applyAlignment="1" applyProtection="1">
      <alignment horizontal="center" vertical="center" wrapText="1"/>
      <protection locked="0"/>
    </xf>
    <xf numFmtId="0" fontId="35" fillId="2" borderId="120" xfId="84" applyFont="1" applyFill="1" applyBorder="1" applyAlignment="1" applyProtection="1">
      <alignment horizontal="center" vertical="center" wrapText="1"/>
      <protection locked="0"/>
    </xf>
    <xf numFmtId="0" fontId="35" fillId="2" borderId="0" xfId="84" applyFont="1" applyFill="1" applyBorder="1" applyAlignment="1" applyProtection="1">
      <alignment horizontal="center" vertical="center" wrapText="1"/>
      <protection locked="0"/>
    </xf>
    <xf numFmtId="0" fontId="70" fillId="0" borderId="231" xfId="0" applyFont="1" applyBorder="1" applyAlignment="1">
      <alignment horizontal="center" vertical="top" wrapText="1"/>
    </xf>
    <xf numFmtId="0" fontId="70" fillId="0" borderId="232" xfId="0" applyFont="1" applyBorder="1" applyAlignment="1">
      <alignment horizontal="center" vertical="top" wrapText="1"/>
    </xf>
    <xf numFmtId="0" fontId="70" fillId="0" borderId="253" xfId="0" applyFont="1" applyBorder="1" applyAlignment="1">
      <alignment horizontal="center" vertical="top" wrapText="1"/>
    </xf>
    <xf numFmtId="0" fontId="70" fillId="0" borderId="229" xfId="0" applyFont="1" applyBorder="1" applyAlignment="1">
      <alignment horizontal="center" vertical="top" wrapText="1"/>
    </xf>
    <xf numFmtId="0" fontId="70" fillId="0" borderId="252" xfId="0" applyFont="1" applyBorder="1" applyAlignment="1">
      <alignment horizontal="center" vertical="top" wrapText="1"/>
    </xf>
    <xf numFmtId="0" fontId="70" fillId="53" borderId="227" xfId="0" applyFont="1" applyFill="1" applyBorder="1" applyAlignment="1">
      <alignment horizontal="center" vertical="top" wrapText="1"/>
    </xf>
    <xf numFmtId="0" fontId="70" fillId="53" borderId="228" xfId="0" applyFont="1" applyFill="1" applyBorder="1" applyAlignment="1">
      <alignment horizontal="center" vertical="top" wrapText="1"/>
    </xf>
    <xf numFmtId="0" fontId="0" fillId="0" borderId="136" xfId="0" applyBorder="1" applyAlignment="1">
      <alignment horizontal="center"/>
    </xf>
    <xf numFmtId="0" fontId="0" fillId="0" borderId="133" xfId="0" applyBorder="1" applyAlignment="1">
      <alignment horizontal="center"/>
    </xf>
    <xf numFmtId="0" fontId="0" fillId="0" borderId="87" xfId="0" applyBorder="1" applyAlignment="1">
      <alignment horizontal="center"/>
    </xf>
    <xf numFmtId="0" fontId="0" fillId="0" borderId="92" xfId="0" applyBorder="1" applyAlignment="1">
      <alignment horizontal="center"/>
    </xf>
    <xf numFmtId="0" fontId="0" fillId="0" borderId="109" xfId="0" applyBorder="1" applyAlignment="1">
      <alignment horizontal="center"/>
    </xf>
    <xf numFmtId="0" fontId="0" fillId="0" borderId="110" xfId="0" applyBorder="1" applyAlignment="1">
      <alignment horizontal="center"/>
    </xf>
    <xf numFmtId="0" fontId="22" fillId="0" borderId="45" xfId="0" applyFont="1" applyBorder="1" applyAlignment="1">
      <alignment horizontal="center" vertical="top" wrapText="1"/>
    </xf>
    <xf numFmtId="0" fontId="23" fillId="0" borderId="152" xfId="0" applyFont="1" applyBorder="1" applyAlignment="1">
      <alignment horizontal="center"/>
    </xf>
    <xf numFmtId="0" fontId="23" fillId="0" borderId="154" xfId="0" applyFont="1" applyBorder="1" applyAlignment="1">
      <alignment horizontal="center"/>
    </xf>
    <xf numFmtId="0" fontId="22" fillId="0" borderId="119" xfId="0" applyFont="1" applyBorder="1" applyAlignment="1">
      <alignment horizontal="center"/>
    </xf>
    <xf numFmtId="0" fontId="22" fillId="0" borderId="136" xfId="0" applyFont="1" applyBorder="1" applyAlignment="1">
      <alignment horizontal="center"/>
    </xf>
    <xf numFmtId="0" fontId="38" fillId="46" borderId="113" xfId="1" applyFont="1" applyFill="1" applyBorder="1" applyAlignment="1" applyProtection="1">
      <alignment horizontal="center" vertical="center" wrapText="1"/>
      <protection locked="0"/>
    </xf>
    <xf numFmtId="0" fontId="38" fillId="46" borderId="45" xfId="1" applyFont="1" applyFill="1" applyBorder="1" applyAlignment="1" applyProtection="1">
      <alignment horizontal="center" vertical="center" wrapText="1"/>
      <protection locked="0"/>
    </xf>
    <xf numFmtId="0" fontId="70" fillId="46" borderId="45" xfId="0" applyFont="1" applyFill="1" applyBorder="1" applyAlignment="1">
      <alignment horizontal="center" vertical="center" wrapText="1"/>
    </xf>
    <xf numFmtId="0" fontId="70" fillId="46" borderId="87" xfId="0" applyFont="1" applyFill="1" applyBorder="1" applyAlignment="1">
      <alignment horizontal="center" vertical="center" wrapText="1"/>
    </xf>
    <xf numFmtId="0" fontId="70" fillId="0" borderId="230" xfId="0" applyFont="1" applyBorder="1" applyAlignment="1">
      <alignment horizontal="center" vertical="top" wrapText="1"/>
    </xf>
    <xf numFmtId="0" fontId="70" fillId="0" borderId="249" xfId="0" applyFont="1" applyBorder="1" applyAlignment="1">
      <alignment horizontal="center" vertical="top" wrapText="1"/>
    </xf>
    <xf numFmtId="0" fontId="70" fillId="0" borderId="250" xfId="0" applyFont="1" applyBorder="1" applyAlignment="1">
      <alignment horizontal="center" vertical="top" wrapText="1"/>
    </xf>
    <xf numFmtId="0" fontId="56" fillId="2" borderId="136" xfId="84" applyFont="1" applyFill="1" applyBorder="1" applyAlignment="1" applyProtection="1">
      <alignment horizontal="center" vertical="center" wrapText="1"/>
      <protection locked="0"/>
    </xf>
    <xf numFmtId="0" fontId="0" fillId="0" borderId="132" xfId="0" applyBorder="1" applyAlignment="1">
      <alignment horizontal="center"/>
    </xf>
    <xf numFmtId="0" fontId="70" fillId="53" borderId="251" xfId="0" applyFont="1" applyFill="1" applyBorder="1" applyAlignment="1">
      <alignment horizontal="center" vertical="top" wrapText="1"/>
    </xf>
    <xf numFmtId="0" fontId="38" fillId="0" borderId="147" xfId="84" applyFont="1" applyFill="1" applyBorder="1" applyAlignment="1" applyProtection="1">
      <alignment horizontal="center" vertical="center" wrapText="1"/>
      <protection locked="0"/>
    </xf>
    <xf numFmtId="0" fontId="38" fillId="0" borderId="25" xfId="84" applyFont="1" applyFill="1" applyBorder="1" applyAlignment="1" applyProtection="1">
      <alignment horizontal="center" vertical="center" wrapText="1"/>
      <protection locked="0"/>
    </xf>
    <xf numFmtId="0" fontId="38" fillId="0" borderId="145" xfId="84" applyFont="1" applyFill="1" applyBorder="1" applyAlignment="1" applyProtection="1">
      <alignment horizontal="center" vertical="center" wrapText="1"/>
      <protection locked="0"/>
    </xf>
    <xf numFmtId="0" fontId="38" fillId="0" borderId="32" xfId="84" applyFont="1" applyFill="1" applyBorder="1" applyAlignment="1" applyProtection="1">
      <alignment horizontal="center" vertical="center" wrapText="1"/>
      <protection locked="0"/>
    </xf>
    <xf numFmtId="0" fontId="78" fillId="2" borderId="225" xfId="0" applyFont="1" applyFill="1" applyBorder="1" applyAlignment="1">
      <alignment horizontal="center" vertical="center" wrapText="1"/>
    </xf>
    <xf numFmtId="0" fontId="78" fillId="2" borderId="233" xfId="0" applyFont="1" applyFill="1" applyBorder="1" applyAlignment="1">
      <alignment horizontal="center" vertical="center" wrapText="1"/>
    </xf>
    <xf numFmtId="0" fontId="78" fillId="2" borderId="74" xfId="0" applyFont="1" applyFill="1" applyBorder="1" applyAlignment="1">
      <alignment horizontal="center" vertical="center" wrapText="1"/>
    </xf>
    <xf numFmtId="0" fontId="35" fillId="0" borderId="146" xfId="0" applyFont="1" applyFill="1" applyBorder="1" applyAlignment="1" applyProtection="1">
      <alignment vertical="top" wrapText="1"/>
      <protection locked="0"/>
    </xf>
    <xf numFmtId="0" fontId="35" fillId="0" borderId="72" xfId="0" applyFont="1" applyFill="1" applyBorder="1" applyAlignment="1" applyProtection="1">
      <alignment vertical="top" wrapText="1"/>
      <protection locked="0"/>
    </xf>
    <xf numFmtId="0" fontId="81" fillId="42" borderId="147" xfId="0" applyFont="1" applyFill="1" applyBorder="1" applyAlignment="1" applyProtection="1">
      <alignment horizontal="center" vertical="top" wrapText="1"/>
      <protection locked="0"/>
    </xf>
    <xf numFmtId="0" fontId="81" fillId="42" borderId="25" xfId="0" applyFont="1" applyFill="1" applyBorder="1" applyAlignment="1" applyProtection="1">
      <alignment horizontal="center" vertical="top" wrapText="1"/>
      <protection locked="0"/>
    </xf>
    <xf numFmtId="0" fontId="38" fillId="20" borderId="223" xfId="0" applyFont="1" applyFill="1" applyBorder="1" applyAlignment="1" applyProtection="1">
      <alignment vertical="top" wrapText="1"/>
      <protection locked="0"/>
    </xf>
    <xf numFmtId="0" fontId="38" fillId="20" borderId="234" xfId="0" applyFont="1" applyFill="1" applyBorder="1" applyAlignment="1" applyProtection="1">
      <alignment vertical="top" wrapText="1"/>
      <protection locked="0"/>
    </xf>
    <xf numFmtId="0" fontId="38" fillId="20" borderId="237" xfId="0" applyFont="1" applyFill="1" applyBorder="1" applyAlignment="1" applyProtection="1">
      <alignment vertical="top" wrapText="1"/>
      <protection locked="0"/>
    </xf>
    <xf numFmtId="0" fontId="38" fillId="50" borderId="113" xfId="1" applyFont="1" applyFill="1" applyBorder="1" applyAlignment="1" applyProtection="1">
      <alignment horizontal="center" vertical="center" wrapText="1"/>
      <protection locked="0"/>
    </xf>
    <xf numFmtId="0" fontId="38" fillId="50" borderId="45" xfId="1" applyFont="1" applyFill="1" applyBorder="1" applyAlignment="1" applyProtection="1">
      <alignment horizontal="center" vertical="center" wrapText="1"/>
      <protection locked="0"/>
    </xf>
    <xf numFmtId="0" fontId="38" fillId="50" borderId="0" xfId="1" applyFont="1" applyFill="1" applyAlignment="1" applyProtection="1">
      <alignment horizontal="center" vertical="center" wrapText="1"/>
      <protection locked="0"/>
    </xf>
    <xf numFmtId="0" fontId="38" fillId="50" borderId="0" xfId="1" applyFont="1" applyFill="1" applyBorder="1" applyAlignment="1" applyProtection="1">
      <alignment horizontal="center" vertical="center" wrapText="1"/>
      <protection locked="0"/>
    </xf>
    <xf numFmtId="0" fontId="38" fillId="0" borderId="120" xfId="1" applyFont="1" applyFill="1" applyBorder="1" applyAlignment="1" applyProtection="1">
      <alignment horizontal="center" vertical="center" wrapText="1"/>
      <protection locked="0"/>
    </xf>
    <xf numFmtId="0" fontId="38" fillId="0" borderId="0" xfId="1" applyFont="1" applyFill="1" applyBorder="1" applyAlignment="1" applyProtection="1">
      <alignment horizontal="center" vertical="center" wrapText="1"/>
      <protection locked="0"/>
    </xf>
    <xf numFmtId="0" fontId="38" fillId="0" borderId="241" xfId="84" applyFont="1" applyBorder="1" applyAlignment="1" applyProtection="1">
      <alignment horizontal="center" vertical="top"/>
      <protection locked="0"/>
    </xf>
    <xf numFmtId="0" fontId="22" fillId="49" borderId="0" xfId="0" applyFont="1" applyFill="1" applyBorder="1" applyAlignment="1">
      <alignment horizontal="left" vertical="top" wrapText="1"/>
    </xf>
    <xf numFmtId="0" fontId="56" fillId="2" borderId="239" xfId="84" applyFont="1" applyFill="1" applyBorder="1" applyAlignment="1" applyProtection="1">
      <alignment horizontal="center" vertical="center" wrapText="1"/>
      <protection locked="0"/>
    </xf>
    <xf numFmtId="0" fontId="38" fillId="0" borderId="240" xfId="84" applyFont="1" applyBorder="1" applyAlignment="1" applyProtection="1">
      <alignment horizontal="center" vertical="top"/>
      <protection locked="0"/>
    </xf>
    <xf numFmtId="0" fontId="70" fillId="0" borderId="254" xfId="0" applyFont="1" applyBorder="1" applyAlignment="1">
      <alignment horizontal="center" vertical="top" wrapText="1"/>
    </xf>
    <xf numFmtId="0" fontId="35" fillId="0" borderId="144" xfId="0" applyFont="1" applyFill="1" applyBorder="1" applyAlignment="1" applyProtection="1">
      <alignment horizontal="left" vertical="top" wrapText="1"/>
      <protection locked="0"/>
    </xf>
    <xf numFmtId="0" fontId="38" fillId="0" borderId="223" xfId="0" applyFont="1" applyFill="1" applyBorder="1" applyAlignment="1" applyProtection="1">
      <alignment vertical="top" wrapText="1"/>
      <protection locked="0"/>
    </xf>
    <xf numFmtId="0" fontId="38" fillId="0" borderId="234" xfId="0" applyFont="1" applyFill="1" applyBorder="1" applyAlignment="1" applyProtection="1">
      <alignment vertical="top" wrapText="1"/>
      <protection locked="0"/>
    </xf>
    <xf numFmtId="0" fontId="38" fillId="0" borderId="237" xfId="0" applyFont="1" applyFill="1" applyBorder="1" applyAlignment="1" applyProtection="1">
      <alignment vertical="top" wrapText="1"/>
      <protection locked="0"/>
    </xf>
    <xf numFmtId="0" fontId="0" fillId="0" borderId="154" xfId="0" applyBorder="1" applyAlignment="1" applyProtection="1">
      <alignment horizontal="center"/>
      <protection locked="0"/>
    </xf>
    <xf numFmtId="0" fontId="81" fillId="42" borderId="38" xfId="0" applyFont="1" applyFill="1" applyBorder="1" applyAlignment="1">
      <alignment horizontal="center" vertical="top" wrapText="1"/>
    </xf>
    <xf numFmtId="0" fontId="27" fillId="0" borderId="83" xfId="0" applyFont="1" applyFill="1" applyBorder="1" applyAlignment="1" applyProtection="1">
      <alignment horizontal="center" vertical="center"/>
      <protection locked="0"/>
    </xf>
    <xf numFmtId="0" fontId="27" fillId="0" borderId="78" xfId="0" applyFont="1" applyFill="1" applyBorder="1" applyAlignment="1" applyProtection="1">
      <alignment horizontal="center" vertical="center"/>
      <protection locked="0"/>
    </xf>
    <xf numFmtId="0" fontId="27" fillId="0" borderId="84" xfId="0" applyFont="1" applyFill="1" applyBorder="1" applyAlignment="1" applyProtection="1">
      <alignment horizontal="center" vertical="center"/>
      <protection locked="0"/>
    </xf>
    <xf numFmtId="0" fontId="38" fillId="20" borderId="34" xfId="0" applyFont="1" applyFill="1" applyBorder="1" applyAlignment="1" applyProtection="1">
      <alignment vertical="top" wrapText="1"/>
      <protection locked="0"/>
    </xf>
    <xf numFmtId="0" fontId="38" fillId="20" borderId="38" xfId="0" applyFont="1" applyFill="1" applyBorder="1" applyAlignment="1" applyProtection="1">
      <alignment vertical="top" wrapText="1"/>
      <protection locked="0"/>
    </xf>
    <xf numFmtId="0" fontId="22" fillId="49" borderId="38" xfId="0" applyFont="1" applyFill="1" applyBorder="1" applyAlignment="1">
      <alignment horizontal="left" vertical="top" wrapText="1"/>
    </xf>
    <xf numFmtId="0" fontId="38" fillId="5" borderId="223" xfId="0" applyFont="1" applyFill="1" applyBorder="1" applyAlignment="1" applyProtection="1">
      <alignment horizontal="left" vertical="top" wrapText="1"/>
      <protection locked="0"/>
    </xf>
    <xf numFmtId="0" fontId="38" fillId="5" borderId="234" xfId="0" applyFont="1" applyFill="1" applyBorder="1" applyAlignment="1" applyProtection="1">
      <alignment horizontal="left" vertical="top" wrapText="1"/>
      <protection locked="0"/>
    </xf>
    <xf numFmtId="0" fontId="38" fillId="5" borderId="237" xfId="0" applyFont="1" applyFill="1" applyBorder="1" applyAlignment="1" applyProtection="1">
      <alignment horizontal="left" vertical="top" wrapText="1"/>
      <protection locked="0"/>
    </xf>
    <xf numFmtId="0" fontId="38" fillId="0" borderId="34" xfId="0" applyFont="1" applyBorder="1" applyAlignment="1">
      <alignment horizontal="left" vertical="top" wrapText="1"/>
    </xf>
    <xf numFmtId="0" fontId="38" fillId="0" borderId="0" xfId="0" applyFont="1" applyBorder="1" applyAlignment="1">
      <alignment horizontal="left" vertical="top" wrapText="1"/>
    </xf>
    <xf numFmtId="0" fontId="56" fillId="2" borderId="118" xfId="1" applyFont="1" applyFill="1" applyBorder="1" applyAlignment="1" applyProtection="1">
      <alignment horizontal="center" vertical="center" wrapText="1"/>
      <protection locked="0"/>
    </xf>
    <xf numFmtId="0" fontId="56" fillId="2" borderId="113" xfId="1" applyFont="1" applyFill="1" applyBorder="1" applyAlignment="1" applyProtection="1">
      <alignment horizontal="center" vertical="center" wrapText="1"/>
      <protection locked="0"/>
    </xf>
    <xf numFmtId="0" fontId="56" fillId="2" borderId="119" xfId="1" applyFont="1" applyFill="1" applyBorder="1" applyAlignment="1" applyProtection="1">
      <alignment horizontal="center" vertical="center" wrapText="1"/>
      <protection locked="0"/>
    </xf>
    <xf numFmtId="0" fontId="79" fillId="2" borderId="119" xfId="0" applyFont="1" applyFill="1" applyBorder="1" applyAlignment="1">
      <alignment horizontal="center" vertical="center" wrapText="1"/>
    </xf>
    <xf numFmtId="0" fontId="79" fillId="2" borderId="167" xfId="0" applyFont="1" applyFill="1" applyBorder="1" applyAlignment="1">
      <alignment horizontal="center" vertical="center" wrapText="1"/>
    </xf>
    <xf numFmtId="0" fontId="38" fillId="0" borderId="45" xfId="1" applyFont="1" applyFill="1" applyBorder="1" applyAlignment="1" applyProtection="1">
      <alignment horizontal="center" vertical="center" wrapText="1"/>
      <protection locked="0"/>
    </xf>
    <xf numFmtId="0" fontId="70" fillId="0" borderId="171" xfId="0" applyFont="1" applyFill="1" applyBorder="1" applyAlignment="1">
      <alignment horizontal="center" vertical="center" wrapText="1"/>
    </xf>
    <xf numFmtId="0" fontId="38" fillId="0" borderId="91" xfId="84" applyFont="1" applyBorder="1" applyAlignment="1" applyProtection="1">
      <alignment horizontal="center" vertical="center" wrapText="1"/>
      <protection locked="0"/>
    </xf>
    <xf numFmtId="0" fontId="38" fillId="0" borderId="223" xfId="0" applyFont="1" applyBorder="1" applyAlignment="1">
      <alignment horizontal="left" vertical="top" wrapText="1"/>
    </xf>
    <xf numFmtId="0" fontId="38" fillId="0" borderId="234" xfId="0" applyFont="1" applyBorder="1" applyAlignment="1">
      <alignment horizontal="left" vertical="top" wrapText="1"/>
    </xf>
    <xf numFmtId="0" fontId="56" fillId="2" borderId="167" xfId="1" applyFont="1" applyFill="1" applyBorder="1" applyAlignment="1" applyProtection="1">
      <alignment horizontal="center" vertical="center" wrapText="1"/>
      <protection locked="0"/>
    </xf>
    <xf numFmtId="0" fontId="79" fillId="2" borderId="131" xfId="0" applyFont="1" applyFill="1" applyBorder="1" applyAlignment="1">
      <alignment horizontal="center" vertical="center" wrapText="1"/>
    </xf>
    <xf numFmtId="0" fontId="79" fillId="2" borderId="136" xfId="0" applyFont="1" applyFill="1" applyBorder="1" applyAlignment="1">
      <alignment horizontal="center" vertical="center" wrapText="1"/>
    </xf>
    <xf numFmtId="0" fontId="70" fillId="0" borderId="44" xfId="0" applyFont="1" applyFill="1" applyBorder="1" applyAlignment="1">
      <alignment horizontal="center" vertical="center" wrapText="1"/>
    </xf>
    <xf numFmtId="0" fontId="70" fillId="0" borderId="217" xfId="0" applyFont="1" applyFill="1" applyBorder="1" applyAlignment="1">
      <alignment horizontal="center" vertical="center" wrapText="1"/>
    </xf>
    <xf numFmtId="0" fontId="70" fillId="0" borderId="123" xfId="0" applyFont="1" applyFill="1" applyBorder="1" applyAlignment="1">
      <alignment horizontal="center" vertical="center" wrapText="1"/>
    </xf>
    <xf numFmtId="0" fontId="70" fillId="0" borderId="248" xfId="0" applyFont="1" applyFill="1" applyBorder="1" applyAlignment="1">
      <alignment horizontal="center" vertical="center" wrapText="1"/>
    </xf>
    <xf numFmtId="0" fontId="70" fillId="0" borderId="116" xfId="0" applyFont="1" applyFill="1" applyBorder="1" applyAlignment="1">
      <alignment horizontal="center" vertical="center" wrapText="1"/>
    </xf>
    <xf numFmtId="0" fontId="70" fillId="0" borderId="125" xfId="0" applyFont="1" applyFill="1" applyBorder="1" applyAlignment="1">
      <alignment horizontal="center" vertical="center" wrapText="1"/>
    </xf>
    <xf numFmtId="0" fontId="27" fillId="2" borderId="224" xfId="0" applyFont="1" applyFill="1" applyBorder="1" applyAlignment="1">
      <alignment horizontal="center" vertical="top" wrapText="1"/>
    </xf>
    <xf numFmtId="0" fontId="27" fillId="2" borderId="40" xfId="0" applyFont="1" applyFill="1" applyBorder="1" applyAlignment="1">
      <alignment horizontal="center" vertical="top" wrapText="1"/>
    </xf>
    <xf numFmtId="0" fontId="27" fillId="2" borderId="194" xfId="0" applyFont="1" applyFill="1" applyBorder="1" applyAlignment="1">
      <alignment horizontal="center" vertical="top" wrapText="1"/>
    </xf>
    <xf numFmtId="0" fontId="70" fillId="0" borderId="87" xfId="0" applyFont="1" applyBorder="1" applyAlignment="1">
      <alignment horizontal="center" vertical="center" wrapText="1"/>
    </xf>
    <xf numFmtId="0" fontId="70" fillId="0" borderId="91" xfId="0" applyFont="1" applyBorder="1" applyAlignment="1">
      <alignment horizontal="center" vertical="center" wrapText="1"/>
    </xf>
    <xf numFmtId="0" fontId="56" fillId="2" borderId="131" xfId="1" applyFont="1" applyFill="1" applyBorder="1" applyAlignment="1" applyProtection="1">
      <alignment horizontal="center" vertical="center" wrapText="1"/>
      <protection locked="0"/>
    </xf>
    <xf numFmtId="0" fontId="56" fillId="2" borderId="248" xfId="1" applyFont="1" applyFill="1" applyBorder="1" applyAlignment="1" applyProtection="1">
      <alignment horizontal="center" vertical="center" wrapText="1"/>
      <protection locked="0"/>
    </xf>
    <xf numFmtId="0" fontId="56" fillId="2" borderId="91" xfId="1" applyFont="1" applyFill="1" applyBorder="1" applyAlignment="1" applyProtection="1">
      <alignment horizontal="center" vertical="center" wrapText="1"/>
      <protection locked="0"/>
    </xf>
    <xf numFmtId="0" fontId="38" fillId="0" borderId="116" xfId="1" applyFont="1" applyFill="1" applyBorder="1" applyAlignment="1" applyProtection="1">
      <alignment horizontal="center" vertical="center" wrapText="1"/>
      <protection locked="0"/>
    </xf>
    <xf numFmtId="0" fontId="38" fillId="0" borderId="217" xfId="1" applyFont="1" applyFill="1" applyBorder="1" applyAlignment="1" applyProtection="1">
      <alignment horizontal="center" vertical="center" wrapText="1"/>
      <protection locked="0"/>
    </xf>
    <xf numFmtId="0" fontId="38" fillId="0" borderId="125" xfId="1" applyFont="1" applyFill="1" applyBorder="1" applyAlignment="1" applyProtection="1">
      <alignment horizontal="center" vertical="center" wrapText="1"/>
      <protection locked="0"/>
    </xf>
    <xf numFmtId="0" fontId="38" fillId="0" borderId="248" xfId="1" applyFont="1" applyFill="1" applyBorder="1" applyAlignment="1" applyProtection="1">
      <alignment horizontal="center" vertical="center" wrapText="1"/>
      <protection locked="0"/>
    </xf>
    <xf numFmtId="0" fontId="38" fillId="0" borderId="115" xfId="1" applyFont="1" applyFill="1" applyBorder="1" applyAlignment="1" applyProtection="1">
      <alignment horizontal="center" vertical="center" wrapText="1"/>
      <protection locked="0"/>
    </xf>
    <xf numFmtId="0" fontId="38" fillId="0" borderId="210" xfId="1" applyFont="1" applyFill="1" applyBorder="1" applyAlignment="1" applyProtection="1">
      <alignment horizontal="center" vertical="center" wrapText="1"/>
      <protection locked="0"/>
    </xf>
    <xf numFmtId="0" fontId="38" fillId="0" borderId="168" xfId="1" applyFont="1" applyFill="1" applyBorder="1" applyAlignment="1" applyProtection="1">
      <alignment horizontal="center" vertical="center" wrapText="1"/>
      <protection locked="0"/>
    </xf>
    <xf numFmtId="0" fontId="38" fillId="0" borderId="170" xfId="1" applyFont="1" applyFill="1" applyBorder="1" applyAlignment="1" applyProtection="1">
      <alignment horizontal="center" vertical="center" wrapText="1"/>
      <protection locked="0"/>
    </xf>
    <xf numFmtId="0" fontId="70" fillId="39" borderId="113" xfId="0" applyFont="1" applyFill="1" applyBorder="1" applyAlignment="1">
      <alignment horizontal="center" vertical="center" wrapText="1"/>
    </xf>
    <xf numFmtId="0" fontId="70" fillId="39" borderId="45" xfId="0" applyFont="1" applyFill="1" applyBorder="1" applyAlignment="1">
      <alignment horizontal="center" vertical="center" wrapText="1"/>
    </xf>
    <xf numFmtId="0" fontId="70" fillId="39" borderId="171" xfId="0" applyFont="1" applyFill="1" applyBorder="1" applyAlignment="1">
      <alignment horizontal="center" vertical="center" wrapText="1"/>
    </xf>
    <xf numFmtId="0" fontId="76" fillId="39" borderId="114" xfId="0" applyFont="1" applyFill="1" applyBorder="1" applyAlignment="1">
      <alignment horizontal="center" vertical="center" wrapText="1"/>
    </xf>
    <xf numFmtId="0" fontId="76" fillId="39" borderId="115" xfId="0" applyFont="1" applyFill="1" applyBorder="1" applyAlignment="1">
      <alignment horizontal="center" vertical="center" wrapText="1"/>
    </xf>
    <xf numFmtId="0" fontId="76" fillId="39" borderId="247" xfId="0" applyFont="1" applyFill="1" applyBorder="1" applyAlignment="1">
      <alignment horizontal="center" vertical="center" wrapText="1"/>
    </xf>
    <xf numFmtId="0" fontId="27" fillId="2" borderId="58" xfId="0" applyFont="1" applyFill="1" applyBorder="1" applyAlignment="1">
      <alignment horizontal="center" vertical="top" wrapText="1"/>
    </xf>
    <xf numFmtId="0" fontId="27" fillId="2" borderId="124" xfId="0" applyFont="1" applyFill="1" applyBorder="1" applyAlignment="1">
      <alignment horizontal="center" vertical="top" wrapText="1"/>
    </xf>
    <xf numFmtId="0" fontId="38" fillId="0" borderId="171" xfId="1" applyFont="1" applyFill="1" applyBorder="1" applyAlignment="1" applyProtection="1">
      <alignment horizontal="center" vertical="center" wrapText="1"/>
      <protection locked="0"/>
    </xf>
    <xf numFmtId="0" fontId="70" fillId="0" borderId="91" xfId="0" applyFont="1" applyFill="1" applyBorder="1" applyAlignment="1">
      <alignment horizontal="center" vertical="center" wrapText="1"/>
    </xf>
    <xf numFmtId="0" fontId="70" fillId="0" borderId="45" xfId="0" applyFont="1" applyFill="1" applyBorder="1" applyAlignment="1">
      <alignment horizontal="center" vertical="center" wrapText="1"/>
    </xf>
    <xf numFmtId="0" fontId="70" fillId="0" borderId="45" xfId="0" applyFont="1" applyBorder="1" applyAlignment="1">
      <alignment horizontal="center" vertical="center" wrapText="1"/>
    </xf>
    <xf numFmtId="0" fontId="70" fillId="0" borderId="171" xfId="0" applyFont="1" applyBorder="1" applyAlignment="1">
      <alignment horizontal="center" vertical="center" wrapText="1"/>
    </xf>
    <xf numFmtId="0" fontId="70" fillId="39" borderId="134" xfId="0" applyFont="1" applyFill="1" applyBorder="1" applyAlignment="1">
      <alignment horizontal="center" vertical="center" wrapText="1"/>
    </xf>
    <xf numFmtId="0" fontId="70" fillId="39" borderId="135" xfId="0" applyFont="1" applyFill="1" applyBorder="1" applyAlignment="1">
      <alignment horizontal="center" vertical="center" wrapText="1"/>
    </xf>
    <xf numFmtId="0" fontId="70" fillId="39" borderId="172" xfId="0" applyFont="1" applyFill="1" applyBorder="1" applyAlignment="1">
      <alignment horizontal="center" vertical="center" wrapText="1"/>
    </xf>
    <xf numFmtId="0" fontId="22" fillId="0" borderId="223" xfId="0" applyFont="1" applyBorder="1" applyAlignment="1">
      <alignment horizontal="left" vertical="top" wrapText="1"/>
    </xf>
    <xf numFmtId="0" fontId="22" fillId="0" borderId="234" xfId="0" applyFont="1" applyBorder="1" applyAlignment="1">
      <alignment horizontal="left" vertical="top" wrapText="1"/>
    </xf>
    <xf numFmtId="0" fontId="76" fillId="39" borderId="113" xfId="0" applyFont="1" applyFill="1" applyBorder="1" applyAlignment="1">
      <alignment horizontal="center" vertical="center" wrapText="1"/>
    </xf>
    <xf numFmtId="0" fontId="76" fillId="39" borderId="45" xfId="0" applyFont="1" applyFill="1" applyBorder="1" applyAlignment="1">
      <alignment horizontal="center" vertical="center" wrapText="1"/>
    </xf>
    <xf numFmtId="0" fontId="76" fillId="39" borderId="171" xfId="0" applyFont="1" applyFill="1" applyBorder="1" applyAlignment="1">
      <alignment horizontal="center" vertical="center" wrapText="1"/>
    </xf>
    <xf numFmtId="0" fontId="40" fillId="0" borderId="45" xfId="0" applyFont="1" applyBorder="1" applyAlignment="1">
      <alignment horizontal="center" vertical="top" wrapText="1"/>
    </xf>
    <xf numFmtId="0" fontId="76" fillId="0" borderId="45" xfId="0" applyFont="1" applyBorder="1" applyAlignment="1">
      <alignment horizontal="center" vertical="center" wrapText="1"/>
    </xf>
    <xf numFmtId="0" fontId="76" fillId="0" borderId="171" xfId="0" applyFont="1" applyBorder="1" applyAlignment="1">
      <alignment horizontal="center" vertical="center" wrapText="1"/>
    </xf>
    <xf numFmtId="0" fontId="56" fillId="2" borderId="119" xfId="84" applyFont="1" applyFill="1" applyBorder="1" applyAlignment="1" applyProtection="1">
      <alignment horizontal="center" wrapText="1"/>
      <protection locked="0"/>
    </xf>
    <xf numFmtId="0" fontId="56" fillId="2" borderId="45" xfId="84" applyFont="1" applyFill="1" applyBorder="1" applyAlignment="1" applyProtection="1">
      <alignment horizontal="center" wrapText="1"/>
      <protection locked="0"/>
    </xf>
    <xf numFmtId="0" fontId="56" fillId="2" borderId="167" xfId="84" applyFont="1" applyFill="1" applyBorder="1" applyAlignment="1" applyProtection="1">
      <alignment horizontal="center" vertical="center" wrapText="1"/>
      <protection locked="0"/>
    </xf>
    <xf numFmtId="0" fontId="56" fillId="2" borderId="45" xfId="84" applyFont="1" applyFill="1" applyBorder="1" applyAlignment="1" applyProtection="1">
      <alignment horizontal="center" vertical="center" wrapText="1"/>
      <protection locked="0"/>
    </xf>
    <xf numFmtId="0" fontId="56" fillId="2" borderId="171" xfId="84" applyFont="1" applyFill="1" applyBorder="1" applyAlignment="1" applyProtection="1">
      <alignment horizontal="center" vertical="center" wrapText="1"/>
      <protection locked="0"/>
    </xf>
    <xf numFmtId="0" fontId="38" fillId="0" borderId="45" xfId="84" applyFont="1" applyFill="1" applyBorder="1" applyAlignment="1" applyProtection="1">
      <alignment horizontal="center" vertical="center" wrapText="1"/>
      <protection locked="0"/>
    </xf>
    <xf numFmtId="0" fontId="76" fillId="39" borderId="134" xfId="0" applyFont="1" applyFill="1" applyBorder="1" applyAlignment="1">
      <alignment horizontal="center" vertical="center" wrapText="1"/>
    </xf>
    <xf numFmtId="0" fontId="76" fillId="39" borderId="135" xfId="0" applyFont="1" applyFill="1" applyBorder="1" applyAlignment="1">
      <alignment horizontal="center" vertical="center" wrapText="1"/>
    </xf>
    <xf numFmtId="0" fontId="76" fillId="39" borderId="172" xfId="0" applyFont="1" applyFill="1" applyBorder="1" applyAlignment="1">
      <alignment horizontal="center" vertical="center" wrapText="1"/>
    </xf>
    <xf numFmtId="0" fontId="22" fillId="20" borderId="109" xfId="0" applyFont="1" applyFill="1" applyBorder="1" applyAlignment="1">
      <alignment horizontal="center"/>
    </xf>
    <xf numFmtId="0" fontId="22" fillId="20" borderId="110" xfId="0" applyFont="1" applyFill="1" applyBorder="1" applyAlignment="1">
      <alignment horizontal="center"/>
    </xf>
    <xf numFmtId="0" fontId="38" fillId="0" borderId="147" xfId="0" applyFont="1" applyFill="1" applyBorder="1" applyAlignment="1" applyProtection="1">
      <alignment horizontal="center" vertical="center" wrapText="1"/>
      <protection locked="0"/>
    </xf>
    <xf numFmtId="0" fontId="38" fillId="0" borderId="25" xfId="0" applyFont="1" applyFill="1" applyBorder="1" applyAlignment="1" applyProtection="1">
      <alignment horizontal="center" vertical="center" wrapText="1"/>
      <protection locked="0"/>
    </xf>
    <xf numFmtId="0" fontId="79" fillId="2" borderId="26" xfId="0" applyFont="1" applyFill="1" applyBorder="1" applyAlignment="1">
      <alignment horizontal="center" vertical="center" wrapText="1"/>
    </xf>
    <xf numFmtId="0" fontId="56" fillId="2" borderId="118" xfId="84" applyFont="1" applyFill="1" applyBorder="1" applyAlignment="1" applyProtection="1">
      <alignment horizontal="center" vertical="center" wrapText="1"/>
      <protection locked="0"/>
    </xf>
    <xf numFmtId="0" fontId="56" fillId="2" borderId="113" xfId="84" applyFont="1" applyFill="1" applyBorder="1" applyAlignment="1" applyProtection="1">
      <alignment horizontal="center" vertical="center" wrapText="1"/>
      <protection locked="0"/>
    </xf>
    <xf numFmtId="0" fontId="21" fillId="9" borderId="9" xfId="0" applyFont="1" applyFill="1" applyBorder="1" applyAlignment="1">
      <alignment horizontal="center"/>
    </xf>
    <xf numFmtId="0" fontId="21" fillId="9" borderId="4" xfId="0" applyFont="1" applyFill="1" applyBorder="1" applyAlignment="1">
      <alignment horizontal="center"/>
    </xf>
    <xf numFmtId="0" fontId="21" fillId="9" borderId="7" xfId="0" applyFont="1" applyFill="1" applyBorder="1" applyAlignment="1">
      <alignment horizontal="center"/>
    </xf>
    <xf numFmtId="0" fontId="21" fillId="0" borderId="0" xfId="0" applyFont="1" applyAlignment="1">
      <alignment horizontal="center"/>
    </xf>
    <xf numFmtId="0" fontId="29" fillId="7" borderId="68" xfId="0" applyFont="1" applyFill="1" applyBorder="1" applyAlignment="1">
      <alignment horizontal="center" vertical="center"/>
    </xf>
    <xf numFmtId="0" fontId="31" fillId="11" borderId="0" xfId="0" applyFont="1" applyFill="1" applyAlignment="1">
      <alignment horizontal="left" vertical="center"/>
    </xf>
    <xf numFmtId="0" fontId="23" fillId="0" borderId="5" xfId="0" applyFont="1" applyBorder="1" applyAlignment="1">
      <alignment horizontal="center"/>
    </xf>
    <xf numFmtId="0" fontId="23" fillId="0" borderId="71" xfId="0" applyFont="1" applyBorder="1" applyAlignment="1">
      <alignment horizontal="center"/>
    </xf>
    <xf numFmtId="0" fontId="32" fillId="0" borderId="0" xfId="0" applyFont="1" applyAlignment="1">
      <alignment horizontal="left" vertical="top"/>
    </xf>
    <xf numFmtId="0" fontId="32" fillId="3" borderId="0" xfId="0" applyFont="1" applyFill="1" applyAlignment="1">
      <alignment horizontal="left" vertical="top"/>
    </xf>
    <xf numFmtId="0" fontId="32" fillId="32" borderId="0" xfId="0" applyFont="1" applyFill="1" applyAlignment="1">
      <alignment horizontal="left" vertical="top"/>
    </xf>
    <xf numFmtId="0" fontId="29" fillId="7" borderId="38" xfId="0" applyFont="1" applyFill="1" applyBorder="1" applyAlignment="1">
      <alignment horizontal="center" vertical="center"/>
    </xf>
    <xf numFmtId="0" fontId="31" fillId="31" borderId="0" xfId="0" applyFont="1" applyFill="1" applyAlignment="1">
      <alignment horizontal="left" vertical="center"/>
    </xf>
    <xf numFmtId="0" fontId="55" fillId="8" borderId="53" xfId="0" applyFont="1" applyFill="1" applyBorder="1" applyAlignment="1">
      <alignment horizontal="center" vertical="top" wrapText="1"/>
    </xf>
    <xf numFmtId="0" fontId="55" fillId="8" borderId="49" xfId="0" applyFont="1" applyFill="1" applyBorder="1" applyAlignment="1">
      <alignment horizontal="center" vertical="top" wrapText="1"/>
    </xf>
    <xf numFmtId="0" fontId="55" fillId="8" borderId="54" xfId="0" applyFont="1" applyFill="1" applyBorder="1" applyAlignment="1">
      <alignment horizontal="center" vertical="top" wrapText="1"/>
    </xf>
    <xf numFmtId="0" fontId="22" fillId="0" borderId="87" xfId="0" applyFont="1" applyBorder="1" applyAlignment="1">
      <alignment horizontal="center" vertical="top" wrapText="1"/>
    </xf>
    <xf numFmtId="0" fontId="22" fillId="0" borderId="57" xfId="0" applyFont="1" applyBorder="1" applyAlignment="1">
      <alignment horizontal="center" vertical="top" wrapText="1"/>
    </xf>
    <xf numFmtId="0" fontId="22" fillId="0" borderId="88" xfId="0" applyFont="1" applyBorder="1" applyAlignment="1">
      <alignment horizontal="center" vertical="top" wrapText="1"/>
    </xf>
    <xf numFmtId="0" fontId="43" fillId="5" borderId="51" xfId="6" applyFont="1" applyFill="1" applyBorder="1" applyAlignment="1">
      <alignment horizontal="left" vertical="center"/>
    </xf>
    <xf numFmtId="0" fontId="42" fillId="40" borderId="51" xfId="6" applyFont="1" applyFill="1" applyBorder="1" applyAlignment="1">
      <alignment horizontal="center"/>
    </xf>
    <xf numFmtId="0" fontId="44" fillId="10" borderId="51" xfId="6" applyFont="1" applyFill="1" applyBorder="1" applyAlignment="1">
      <alignment horizontal="left"/>
    </xf>
    <xf numFmtId="0" fontId="43" fillId="5" borderId="51" xfId="6" applyFont="1" applyFill="1" applyBorder="1" applyAlignment="1">
      <alignment horizontal="left"/>
    </xf>
    <xf numFmtId="0" fontId="45" fillId="5" borderId="51" xfId="6" applyFont="1" applyFill="1" applyBorder="1" applyAlignment="1">
      <alignment horizontal="left"/>
    </xf>
    <xf numFmtId="0" fontId="43" fillId="5" borderId="51" xfId="6" applyFont="1" applyFill="1" applyBorder="1"/>
    <xf numFmtId="0" fontId="45" fillId="5" borderId="51" xfId="6" applyFont="1" applyFill="1" applyBorder="1" applyAlignment="1">
      <alignment horizontal="left" vertical="top" wrapText="1"/>
    </xf>
    <xf numFmtId="0" fontId="6" fillId="0" borderId="0" xfId="0" applyFont="1" applyAlignment="1">
      <alignment horizontal="center"/>
    </xf>
    <xf numFmtId="0" fontId="6" fillId="0" borderId="0" xfId="0" applyFont="1" applyAlignment="1">
      <alignment horizontal="center" vertical="center"/>
    </xf>
  </cellXfs>
  <cellStyles count="86">
    <cellStyle name="Accent3" xfId="58" builtinId="37"/>
    <cellStyle name="Accent3 2" xfId="85" xr:uid="{4E80CC3A-7BD0-4032-B46E-C5ECE888D737}"/>
    <cellStyle name="Excel Built-in Normal" xfId="1" xr:uid="{00000000-0005-0000-0000-000001000000}"/>
    <cellStyle name="Excel Built-in Normal 2" xfId="84" xr:uid="{4EEF4DB0-8550-4713-B1D8-55F6F548A49C}"/>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cellStyle name="Hyperlink 2" xfId="2" xr:uid="{00000000-0005-0000-0000-00004D000000}"/>
    <cellStyle name="Normal" xfId="0" builtinId="0"/>
    <cellStyle name="Normal 2" xfId="3" xr:uid="{00000000-0005-0000-0000-00004F000000}"/>
    <cellStyle name="Normal 2 2" xfId="4" xr:uid="{00000000-0005-0000-0000-000050000000}"/>
    <cellStyle name="Normal 2 3" xfId="5" xr:uid="{00000000-0005-0000-0000-000051000000}"/>
    <cellStyle name="Normal 3" xfId="6" xr:uid="{00000000-0005-0000-0000-000052000000}"/>
    <cellStyle name="Normal 4" xfId="7" xr:uid="{00000000-0005-0000-0000-000053000000}"/>
  </cellStyles>
  <dxfs count="1844">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5"/>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rgb="FFF8F8F8"/>
      </font>
      <fill>
        <patternFill>
          <bgColor rgb="FFF8F8F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color theme="0"/>
      </font>
      <fill>
        <patternFill>
          <bgColor rgb="FF311B92"/>
        </patternFill>
      </fill>
    </dxf>
    <dxf>
      <font>
        <color theme="0"/>
      </font>
      <fill>
        <patternFill>
          <bgColor rgb="FF9575CD"/>
        </patternFill>
      </fill>
    </dxf>
    <dxf>
      <font>
        <color theme="1"/>
      </font>
      <fill>
        <patternFill>
          <bgColor rgb="FFFF0000"/>
        </patternFill>
      </fill>
    </dxf>
    <dxf>
      <font>
        <color theme="0"/>
      </font>
      <fill>
        <patternFill>
          <bgColor rgb="FFD1C4E9"/>
        </patternFill>
      </fill>
    </dxf>
    <dxf>
      <font>
        <color theme="0"/>
      </font>
      <fill>
        <patternFill>
          <bgColor rgb="FF9BC2E6"/>
        </patternFill>
      </fill>
    </dxf>
    <dxf>
      <font>
        <color theme="0"/>
      </font>
      <fill>
        <patternFill>
          <bgColor theme="3" tint="0.39994506668294322"/>
        </patternFill>
      </fill>
    </dxf>
    <dxf>
      <font>
        <color theme="1"/>
      </font>
      <fill>
        <patternFill patternType="none">
          <bgColor auto="1"/>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rgb="FFF8F8F8"/>
      </font>
      <fill>
        <patternFill>
          <bgColor rgb="FFF8F8F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color auto="1"/>
      </font>
      <fill>
        <patternFill patternType="solid">
          <fgColor indexed="64"/>
          <bgColor theme="5"/>
        </patternFill>
      </fill>
    </dxf>
    <dxf>
      <font>
        <color auto="1"/>
      </font>
      <fill>
        <patternFill patternType="solid">
          <fgColor indexed="64"/>
          <bgColor theme="9"/>
        </patternFill>
      </fill>
    </dxf>
    <dxf>
      <font>
        <color auto="1"/>
      </font>
      <fill>
        <patternFill patternType="solid">
          <fgColor indexed="64"/>
          <bgColor rgb="FFFFFF00"/>
        </patternFill>
      </fill>
    </dxf>
    <dxf>
      <font>
        <color auto="1"/>
      </font>
      <fill>
        <patternFill patternType="solid">
          <fgColor indexed="64"/>
          <bgColor rgb="FFFF0000"/>
        </patternFill>
      </fill>
    </dxf>
    <dxf>
      <font>
        <color auto="1"/>
      </font>
      <fill>
        <patternFill patternType="solid">
          <fgColor indexed="64"/>
          <bgColor theme="8"/>
        </patternFill>
      </fill>
    </dxf>
    <dxf>
      <font>
        <b/>
        <i val="0"/>
        <color theme="1"/>
      </font>
      <fill>
        <patternFill>
          <bgColor rgb="FF1BAD9A"/>
        </patternFill>
      </fill>
    </dxf>
    <dxf>
      <font>
        <b/>
        <i val="0"/>
        <color theme="1"/>
      </font>
      <fill>
        <patternFill>
          <bgColor rgb="FFFFDE52"/>
        </patternFill>
      </fill>
    </dxf>
    <dxf>
      <font>
        <b/>
        <i val="0"/>
        <color theme="1"/>
      </font>
      <fill>
        <patternFill>
          <bgColor rgb="FFF79948"/>
        </patternFill>
      </fill>
    </dxf>
    <dxf>
      <font>
        <b/>
        <i val="0"/>
        <color theme="1"/>
      </font>
      <fill>
        <patternFill>
          <bgColor rgb="FFE04B44"/>
        </patternFill>
      </fill>
    </dxf>
    <dxf>
      <font>
        <color theme="0"/>
      </font>
      <fill>
        <patternFill>
          <bgColor theme="0" tint="-0.499984740745262"/>
        </patternFill>
      </fill>
    </dxf>
    <dxf>
      <font>
        <color theme="0"/>
      </font>
      <fill>
        <patternFill>
          <bgColor rgb="FF816EAF"/>
        </patternFill>
      </fill>
    </dxf>
    <dxf>
      <font>
        <color theme="1"/>
      </font>
      <fill>
        <patternFill patternType="none">
          <bgColor auto="1"/>
        </patternFill>
      </fill>
    </dxf>
    <dxf>
      <font>
        <color theme="0"/>
      </font>
      <fill>
        <patternFill>
          <bgColor rgb="FFB8D9DD"/>
        </patternFill>
      </fill>
    </dxf>
    <dxf>
      <font>
        <color theme="0"/>
      </font>
      <fill>
        <patternFill>
          <bgColor rgb="FFBDB4D3"/>
        </patternFill>
      </fill>
    </dxf>
    <dxf>
      <font>
        <color theme="0"/>
      </font>
      <fill>
        <patternFill>
          <bgColor rgb="FFADBCC7"/>
        </patternFill>
      </fill>
    </dxf>
    <dxf>
      <font>
        <color theme="0"/>
      </font>
      <fill>
        <patternFill>
          <bgColor rgb="FF3D3D84"/>
        </patternFill>
      </fill>
    </dxf>
  </dxfs>
  <tableStyles count="0" defaultTableStyle="TableStyleMedium9" defaultPivotStyle="PivotStyleMedium7"/>
  <colors>
    <mruColors>
      <color rgb="FFFFF2CC"/>
      <color rgb="FFE4DFEC"/>
      <color rgb="FFFFE0E9"/>
      <color rgb="FF8EA9DB"/>
      <color rgb="FF9BC2E6"/>
      <color rgb="FF8064A2"/>
      <color rgb="FFFF7C80"/>
      <color rgb="FF3A73BA"/>
      <color rgb="FFD1A8BD"/>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5 Municipal Public Services Element</a:t>
            </a:r>
          </a:p>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Data Completion (%)</a:t>
            </a:r>
            <a:endParaRPr lang="en-GB"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rgbClr val="3D3D84"/>
              </a:solidFill>
              <a:ln w="3175">
                <a:solidFill>
                  <a:schemeClr val="bg1"/>
                </a:solidFill>
              </a:ln>
            </c:spPr>
            <c:extLst>
              <c:ext xmlns:c16="http://schemas.microsoft.com/office/drawing/2014/chart" uri="{C3380CC4-5D6E-409C-BE32-E72D297353CC}">
                <c16:uniqueId val="{00000001-7437-4A2E-B8DF-0289253DFF7F}"/>
              </c:ext>
            </c:extLst>
          </c:dPt>
          <c:dPt>
            <c:idx val="1"/>
            <c:bubble3D val="0"/>
            <c:spPr>
              <a:solidFill>
                <a:srgbClr val="816EAF"/>
              </a:solidFill>
              <a:ln w="3175">
                <a:solidFill>
                  <a:schemeClr val="bg1"/>
                </a:solidFill>
              </a:ln>
            </c:spPr>
            <c:extLst>
              <c:ext xmlns:c16="http://schemas.microsoft.com/office/drawing/2014/chart" uri="{C3380CC4-5D6E-409C-BE32-E72D297353CC}">
                <c16:uniqueId val="{00000003-7437-4A2E-B8DF-0289253DFF7F}"/>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7437-4A2E-B8DF-0289253DFF7F}"/>
              </c:ext>
            </c:extLst>
          </c:dPt>
          <c:dPt>
            <c:idx val="3"/>
            <c:bubble3D val="0"/>
            <c:spPr>
              <a:solidFill>
                <a:schemeClr val="bg1">
                  <a:lumMod val="95000"/>
                </a:schemeClr>
              </a:solidFill>
              <a:ln w="3175">
                <a:solidFill>
                  <a:schemeClr val="bg1"/>
                </a:solidFill>
              </a:ln>
            </c:spPr>
            <c:extLst>
              <c:ext xmlns:c16="http://schemas.microsoft.com/office/drawing/2014/chart" uri="{C3380CC4-5D6E-409C-BE32-E72D297353CC}">
                <c16:uniqueId val="{00000007-7437-4A2E-B8DF-0289253DFF7F}"/>
              </c:ext>
            </c:extLst>
          </c:dPt>
          <c:dPt>
            <c:idx val="4"/>
            <c:bubble3D val="0"/>
            <c:spPr>
              <a:solidFill>
                <a:srgbClr val="ADBCC7"/>
              </a:solidFill>
              <a:ln w="3175">
                <a:solidFill>
                  <a:schemeClr val="bg1"/>
                </a:solidFill>
              </a:ln>
            </c:spPr>
            <c:extLst>
              <c:ext xmlns:c16="http://schemas.microsoft.com/office/drawing/2014/chart" uri="{C3380CC4-5D6E-409C-BE32-E72D297353CC}">
                <c16:uniqueId val="{00000009-7437-4A2E-B8DF-0289253DFF7F}"/>
              </c:ext>
            </c:extLst>
          </c:dPt>
          <c:dPt>
            <c:idx val="5"/>
            <c:bubble3D val="0"/>
            <c:spPr>
              <a:solidFill>
                <a:srgbClr val="B8D9DD"/>
              </a:solidFill>
              <a:ln w="3175">
                <a:solidFill>
                  <a:schemeClr val="bg1"/>
                </a:solidFill>
              </a:ln>
            </c:spPr>
            <c:extLst>
              <c:ext xmlns:c16="http://schemas.microsoft.com/office/drawing/2014/chart" uri="{C3380CC4-5D6E-409C-BE32-E72D297353CC}">
                <c16:uniqueId val="{0000000B-7437-4A2E-B8DF-0289253DFF7F}"/>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7437-4A2E-B8DF-0289253DFF7F}"/>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Status'!$B$9:$B$14</c:f>
              <c:strCache>
                <c:ptCount val="6"/>
                <c:pt idx="0">
                  <c:v>Complete</c:v>
                </c:pt>
                <c:pt idx="1">
                  <c:v>Incomplete</c:v>
                </c:pt>
                <c:pt idx="2">
                  <c:v>Pending</c:v>
                </c:pt>
                <c:pt idx="3">
                  <c:v>Not available</c:v>
                </c:pt>
                <c:pt idx="4">
                  <c:v>Not applicable</c:v>
                </c:pt>
                <c:pt idx="5">
                  <c:v>Alternative</c:v>
                </c:pt>
              </c:strCache>
            </c:strRef>
          </c:cat>
          <c:val>
            <c:numRef>
              <c:f>'Data Collection Status'!$D$9:$D$14</c:f>
              <c:numCache>
                <c:formatCode>0</c:formatCode>
                <c:ptCount val="6"/>
                <c:pt idx="0">
                  <c:v>0</c:v>
                </c:pt>
                <c:pt idx="1">
                  <c:v>80</c:v>
                </c:pt>
                <c:pt idx="2">
                  <c:v>0</c:v>
                </c:pt>
                <c:pt idx="3">
                  <c:v>0</c:v>
                </c:pt>
                <c:pt idx="4">
                  <c:v>0</c:v>
                </c:pt>
                <c:pt idx="5">
                  <c:v>0</c:v>
                </c:pt>
              </c:numCache>
            </c:numRef>
          </c:val>
          <c:extLst>
            <c:ext xmlns:c16="http://schemas.microsoft.com/office/drawing/2014/chart" uri="{C3380CC4-5D6E-409C-BE32-E72D297353CC}">
              <c16:uniqueId val="{0000000C-7437-4A2E-B8DF-0289253DFF7F}"/>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2000" b="1">
                <a:latin typeface="Raleway" panose="020B0503030101060003" pitchFamily="34" charset="77"/>
              </a:rPr>
              <a:t>Related Questions %</a:t>
            </a: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rgbClr val="3D3D84"/>
              </a:solidFill>
              <a:ln w="3175">
                <a:solidFill>
                  <a:schemeClr val="bg1"/>
                </a:solidFill>
              </a:ln>
            </c:spPr>
            <c:extLst>
              <c:ext xmlns:c16="http://schemas.microsoft.com/office/drawing/2014/chart" uri="{C3380CC4-5D6E-409C-BE32-E72D297353CC}">
                <c16:uniqueId val="{00000001-4145-48DE-9593-5D73C739AE91}"/>
              </c:ext>
            </c:extLst>
          </c:dPt>
          <c:dPt>
            <c:idx val="1"/>
            <c:bubble3D val="0"/>
            <c:spPr>
              <a:solidFill>
                <a:srgbClr val="816EAF"/>
              </a:solidFill>
              <a:ln w="3175">
                <a:solidFill>
                  <a:schemeClr val="bg1"/>
                </a:solidFill>
              </a:ln>
            </c:spPr>
            <c:extLst>
              <c:ext xmlns:c16="http://schemas.microsoft.com/office/drawing/2014/chart" uri="{C3380CC4-5D6E-409C-BE32-E72D297353CC}">
                <c16:uniqueId val="{00000003-4145-48DE-9593-5D73C739AE91}"/>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4145-48DE-9593-5D73C739AE91}"/>
              </c:ext>
            </c:extLst>
          </c:dPt>
          <c:dPt>
            <c:idx val="3"/>
            <c:bubble3D val="0"/>
            <c:spPr>
              <a:solidFill>
                <a:schemeClr val="bg1">
                  <a:lumMod val="95000"/>
                </a:schemeClr>
              </a:solidFill>
              <a:ln w="3175">
                <a:solidFill>
                  <a:schemeClr val="bg1"/>
                </a:solidFill>
              </a:ln>
            </c:spPr>
            <c:extLst>
              <c:ext xmlns:c16="http://schemas.microsoft.com/office/drawing/2014/chart" uri="{C3380CC4-5D6E-409C-BE32-E72D297353CC}">
                <c16:uniqueId val="{00000007-4145-48DE-9593-5D73C739AE91}"/>
              </c:ext>
            </c:extLst>
          </c:dPt>
          <c:dPt>
            <c:idx val="4"/>
            <c:bubble3D val="0"/>
            <c:spPr>
              <a:solidFill>
                <a:srgbClr val="ADBCC7"/>
              </a:solidFill>
              <a:ln w="3175">
                <a:solidFill>
                  <a:schemeClr val="bg1"/>
                </a:solidFill>
              </a:ln>
            </c:spPr>
            <c:extLst>
              <c:ext xmlns:c16="http://schemas.microsoft.com/office/drawing/2014/chart" uri="{C3380CC4-5D6E-409C-BE32-E72D297353CC}">
                <c16:uniqueId val="{00000009-4145-48DE-9593-5D73C739AE91}"/>
              </c:ext>
            </c:extLst>
          </c:dPt>
          <c:dPt>
            <c:idx val="5"/>
            <c:bubble3D val="0"/>
            <c:spPr>
              <a:solidFill>
                <a:srgbClr val="B8D9DD"/>
              </a:solidFill>
              <a:ln w="3175">
                <a:solidFill>
                  <a:schemeClr val="bg1"/>
                </a:solidFill>
              </a:ln>
            </c:spPr>
            <c:extLst>
              <c:ext xmlns:c16="http://schemas.microsoft.com/office/drawing/2014/chart" uri="{C3380CC4-5D6E-409C-BE32-E72D297353CC}">
                <c16:uniqueId val="{0000000B-4145-48DE-9593-5D73C739AE91}"/>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4145-48DE-9593-5D73C739AE91}"/>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Status'!$B$16:$B$21</c:f>
              <c:strCache>
                <c:ptCount val="6"/>
                <c:pt idx="0">
                  <c:v>Complete</c:v>
                </c:pt>
                <c:pt idx="1">
                  <c:v>Incomplete</c:v>
                </c:pt>
                <c:pt idx="2">
                  <c:v>Pending</c:v>
                </c:pt>
                <c:pt idx="3">
                  <c:v>Not available</c:v>
                </c:pt>
                <c:pt idx="4">
                  <c:v>Not applicable</c:v>
                </c:pt>
                <c:pt idx="5">
                  <c:v>Alternative</c:v>
                </c:pt>
              </c:strCache>
            </c:strRef>
          </c:cat>
          <c:val>
            <c:numRef>
              <c:f>'Data Collection Status'!$D$16:$D$21</c:f>
              <c:numCache>
                <c:formatCode>0</c:formatCode>
                <c:ptCount val="6"/>
                <c:pt idx="0">
                  <c:v>0</c:v>
                </c:pt>
                <c:pt idx="1">
                  <c:v>80</c:v>
                </c:pt>
                <c:pt idx="2">
                  <c:v>0</c:v>
                </c:pt>
                <c:pt idx="3">
                  <c:v>0</c:v>
                </c:pt>
                <c:pt idx="4">
                  <c:v>0</c:v>
                </c:pt>
                <c:pt idx="5">
                  <c:v>0</c:v>
                </c:pt>
              </c:numCache>
            </c:numRef>
          </c:val>
          <c:extLst>
            <c:ext xmlns:c16="http://schemas.microsoft.com/office/drawing/2014/chart" uri="{C3380CC4-5D6E-409C-BE32-E72D297353CC}">
              <c16:uniqueId val="{0000000C-4145-48DE-9593-5D73C739AE91}"/>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Raleway" panose="020B0503030101060003" pitchFamily="34" charset="77"/>
                <a:ea typeface="+mn-ea"/>
                <a:cs typeface="+mn-cs"/>
              </a:defRPr>
            </a:pPr>
            <a:r>
              <a:rPr lang="en-US" sz="1800" b="1" i="0" baseline="0">
                <a:effectLst/>
              </a:rPr>
              <a:t>Related Questions (RQ)  %</a:t>
            </a:r>
            <a:endParaRPr lang="es-ES"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chemeClr val="bg1">
                  <a:lumMod val="50000"/>
                </a:schemeClr>
              </a:solidFill>
              <a:ln w="3175">
                <a:solidFill>
                  <a:schemeClr val="bg1"/>
                </a:solidFill>
              </a:ln>
            </c:spPr>
            <c:extLst>
              <c:ext xmlns:c16="http://schemas.microsoft.com/office/drawing/2014/chart" uri="{C3380CC4-5D6E-409C-BE32-E72D297353CC}">
                <c16:uniqueId val="{00000001-ED24-4B77-85AD-C9CE281E1AF8}"/>
              </c:ext>
            </c:extLst>
          </c:dPt>
          <c:dPt>
            <c:idx val="1"/>
            <c:bubble3D val="0"/>
            <c:spPr>
              <a:solidFill>
                <a:schemeClr val="bg1">
                  <a:lumMod val="85000"/>
                </a:schemeClr>
              </a:solidFill>
              <a:ln w="3175">
                <a:solidFill>
                  <a:schemeClr val="bg1"/>
                </a:solidFill>
              </a:ln>
            </c:spPr>
            <c:extLst>
              <c:ext xmlns:c16="http://schemas.microsoft.com/office/drawing/2014/chart" uri="{C3380CC4-5D6E-409C-BE32-E72D297353CC}">
                <c16:uniqueId val="{00000003-ED24-4B77-85AD-C9CE281E1AF8}"/>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ED24-4B77-85AD-C9CE281E1AF8}"/>
              </c:ext>
            </c:extLst>
          </c:dPt>
          <c:dPt>
            <c:idx val="3"/>
            <c:bubble3D val="0"/>
            <c:spPr>
              <a:solidFill>
                <a:schemeClr val="bg1">
                  <a:lumMod val="50000"/>
                </a:schemeClr>
              </a:solidFill>
              <a:ln w="3175">
                <a:solidFill>
                  <a:schemeClr val="bg1"/>
                </a:solidFill>
              </a:ln>
            </c:spPr>
            <c:extLst>
              <c:ext xmlns:c16="http://schemas.microsoft.com/office/drawing/2014/chart" uri="{C3380CC4-5D6E-409C-BE32-E72D297353CC}">
                <c16:uniqueId val="{00000007-ED24-4B77-85AD-C9CE281E1AF8}"/>
              </c:ext>
            </c:extLst>
          </c:dPt>
          <c:dPt>
            <c:idx val="4"/>
            <c:bubble3D val="0"/>
            <c:spPr>
              <a:solidFill>
                <a:schemeClr val="bg1">
                  <a:lumMod val="50000"/>
                </a:schemeClr>
              </a:solidFill>
              <a:ln w="3175">
                <a:solidFill>
                  <a:schemeClr val="bg1"/>
                </a:solidFill>
              </a:ln>
            </c:spPr>
            <c:extLst>
              <c:ext xmlns:c16="http://schemas.microsoft.com/office/drawing/2014/chart" uri="{C3380CC4-5D6E-409C-BE32-E72D297353CC}">
                <c16:uniqueId val="{00000009-ED24-4B77-85AD-C9CE281E1AF8}"/>
              </c:ext>
            </c:extLst>
          </c:dPt>
          <c:dPt>
            <c:idx val="5"/>
            <c:bubble3D val="0"/>
            <c:spPr>
              <a:solidFill>
                <a:schemeClr val="bg1">
                  <a:lumMod val="50000"/>
                </a:schemeClr>
              </a:solidFill>
              <a:ln w="3175">
                <a:solidFill>
                  <a:schemeClr val="bg1"/>
                </a:solidFill>
              </a:ln>
            </c:spPr>
            <c:extLst>
              <c:ext xmlns:c16="http://schemas.microsoft.com/office/drawing/2014/chart" uri="{C3380CC4-5D6E-409C-BE32-E72D297353CC}">
                <c16:uniqueId val="{0000000B-ED24-4B77-85AD-C9CE281E1AF8}"/>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ED24-4B77-85AD-C9CE281E1AF8}"/>
                </c:ext>
              </c:extLst>
            </c:dLbl>
            <c:dLbl>
              <c:idx val="3"/>
              <c:delete val="1"/>
              <c:extLst>
                <c:ext xmlns:c15="http://schemas.microsoft.com/office/drawing/2012/chart" uri="{CE6537A1-D6FC-4f65-9D91-7224C49458BB}"/>
                <c:ext xmlns:c16="http://schemas.microsoft.com/office/drawing/2014/chart" uri="{C3380CC4-5D6E-409C-BE32-E72D297353CC}">
                  <c16:uniqueId val="{00000007-ED24-4B77-85AD-C9CE281E1AF8}"/>
                </c:ext>
              </c:extLst>
            </c:dLbl>
            <c:dLbl>
              <c:idx val="4"/>
              <c:delete val="1"/>
              <c:extLst>
                <c:ext xmlns:c15="http://schemas.microsoft.com/office/drawing/2012/chart" uri="{CE6537A1-D6FC-4f65-9D91-7224C49458BB}"/>
                <c:ext xmlns:c16="http://schemas.microsoft.com/office/drawing/2014/chart" uri="{C3380CC4-5D6E-409C-BE32-E72D297353CC}">
                  <c16:uniqueId val="{00000009-ED24-4B77-85AD-C9CE281E1AF8}"/>
                </c:ext>
              </c:extLst>
            </c:dLbl>
            <c:dLbl>
              <c:idx val="5"/>
              <c:delete val="1"/>
              <c:extLst>
                <c:ext xmlns:c15="http://schemas.microsoft.com/office/drawing/2012/chart" uri="{CE6537A1-D6FC-4f65-9D91-7224C49458BB}"/>
                <c:ext xmlns:c16="http://schemas.microsoft.com/office/drawing/2014/chart" uri="{C3380CC4-5D6E-409C-BE32-E72D297353CC}">
                  <c16:uniqueId val="{0000000B-ED24-4B77-85AD-C9CE281E1AF8}"/>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Status'!$V$11:$V$12</c:f>
              <c:strCache>
                <c:ptCount val="2"/>
                <c:pt idx="0">
                  <c:v>Complete + Not Available + Not Applicable + Alternative</c:v>
                </c:pt>
                <c:pt idx="1">
                  <c:v>Incomplete + Pending</c:v>
                </c:pt>
              </c:strCache>
            </c:strRef>
          </c:cat>
          <c:val>
            <c:numRef>
              <c:f>'Data Collection Status'!$W$11:$W$12</c:f>
              <c:numCache>
                <c:formatCode>0</c:formatCode>
                <c:ptCount val="2"/>
                <c:pt idx="0">
                  <c:v>0</c:v>
                </c:pt>
                <c:pt idx="1">
                  <c:v>80</c:v>
                </c:pt>
              </c:numCache>
            </c:numRef>
          </c:val>
          <c:extLst>
            <c:ext xmlns:c16="http://schemas.microsoft.com/office/drawing/2014/chart" uri="{C3380CC4-5D6E-409C-BE32-E72D297353CC}">
              <c16:uniqueId val="{0000000C-ED24-4B77-85AD-C9CE281E1AF8}"/>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Raleway" panose="020B0503030101060003" pitchFamily="34" charset="77"/>
                <a:ea typeface="+mn-ea"/>
                <a:cs typeface="+mn-cs"/>
              </a:defRPr>
            </a:pPr>
            <a:r>
              <a:rPr lang="en-US" sz="1800" b="1" i="0" baseline="0">
                <a:effectLst/>
              </a:rPr>
              <a:t>Supporting Indicators (SI)  %</a:t>
            </a:r>
            <a:endParaRPr lang="es-ES"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chemeClr val="bg1">
                  <a:lumMod val="50000"/>
                </a:schemeClr>
              </a:solidFill>
              <a:ln w="3175">
                <a:solidFill>
                  <a:schemeClr val="bg1"/>
                </a:solidFill>
              </a:ln>
            </c:spPr>
            <c:extLst>
              <c:ext xmlns:c16="http://schemas.microsoft.com/office/drawing/2014/chart" uri="{C3380CC4-5D6E-409C-BE32-E72D297353CC}">
                <c16:uniqueId val="{00000001-6F3A-4C31-B251-8CC502B54F8F}"/>
              </c:ext>
            </c:extLst>
          </c:dPt>
          <c:dPt>
            <c:idx val="1"/>
            <c:bubble3D val="0"/>
            <c:spPr>
              <a:solidFill>
                <a:schemeClr val="bg1">
                  <a:lumMod val="85000"/>
                </a:schemeClr>
              </a:solidFill>
              <a:ln w="3175">
                <a:solidFill>
                  <a:schemeClr val="bg1"/>
                </a:solidFill>
              </a:ln>
            </c:spPr>
            <c:extLst>
              <c:ext xmlns:c16="http://schemas.microsoft.com/office/drawing/2014/chart" uri="{C3380CC4-5D6E-409C-BE32-E72D297353CC}">
                <c16:uniqueId val="{00000003-6F3A-4C31-B251-8CC502B54F8F}"/>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6F3A-4C31-B251-8CC502B54F8F}"/>
              </c:ext>
            </c:extLst>
          </c:dPt>
          <c:dPt>
            <c:idx val="3"/>
            <c:bubble3D val="0"/>
            <c:spPr>
              <a:solidFill>
                <a:schemeClr val="bg1">
                  <a:lumMod val="50000"/>
                </a:schemeClr>
              </a:solidFill>
              <a:ln w="3175">
                <a:solidFill>
                  <a:schemeClr val="bg1"/>
                </a:solidFill>
              </a:ln>
            </c:spPr>
            <c:extLst>
              <c:ext xmlns:c16="http://schemas.microsoft.com/office/drawing/2014/chart" uri="{C3380CC4-5D6E-409C-BE32-E72D297353CC}">
                <c16:uniqueId val="{00000007-6F3A-4C31-B251-8CC502B54F8F}"/>
              </c:ext>
            </c:extLst>
          </c:dPt>
          <c:dPt>
            <c:idx val="4"/>
            <c:bubble3D val="0"/>
            <c:spPr>
              <a:solidFill>
                <a:schemeClr val="bg1">
                  <a:lumMod val="50000"/>
                </a:schemeClr>
              </a:solidFill>
              <a:ln w="3175">
                <a:solidFill>
                  <a:schemeClr val="bg1"/>
                </a:solidFill>
              </a:ln>
            </c:spPr>
            <c:extLst>
              <c:ext xmlns:c16="http://schemas.microsoft.com/office/drawing/2014/chart" uri="{C3380CC4-5D6E-409C-BE32-E72D297353CC}">
                <c16:uniqueId val="{00000009-6F3A-4C31-B251-8CC502B54F8F}"/>
              </c:ext>
            </c:extLst>
          </c:dPt>
          <c:dPt>
            <c:idx val="5"/>
            <c:bubble3D val="0"/>
            <c:spPr>
              <a:solidFill>
                <a:schemeClr val="bg1">
                  <a:lumMod val="50000"/>
                </a:schemeClr>
              </a:solidFill>
              <a:ln w="3175">
                <a:solidFill>
                  <a:schemeClr val="bg1"/>
                </a:solidFill>
              </a:ln>
            </c:spPr>
            <c:extLst>
              <c:ext xmlns:c16="http://schemas.microsoft.com/office/drawing/2014/chart" uri="{C3380CC4-5D6E-409C-BE32-E72D297353CC}">
                <c16:uniqueId val="{0000000B-6F3A-4C31-B251-8CC502B54F8F}"/>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6F3A-4C31-B251-8CC502B54F8F}"/>
                </c:ext>
              </c:extLst>
            </c:dLbl>
            <c:dLbl>
              <c:idx val="3"/>
              <c:delete val="1"/>
              <c:extLst>
                <c:ext xmlns:c15="http://schemas.microsoft.com/office/drawing/2012/chart" uri="{CE6537A1-D6FC-4f65-9D91-7224C49458BB}"/>
                <c:ext xmlns:c16="http://schemas.microsoft.com/office/drawing/2014/chart" uri="{C3380CC4-5D6E-409C-BE32-E72D297353CC}">
                  <c16:uniqueId val="{00000007-6F3A-4C31-B251-8CC502B54F8F}"/>
                </c:ext>
              </c:extLst>
            </c:dLbl>
            <c:dLbl>
              <c:idx val="4"/>
              <c:delete val="1"/>
              <c:extLst>
                <c:ext xmlns:c15="http://schemas.microsoft.com/office/drawing/2012/chart" uri="{CE6537A1-D6FC-4f65-9D91-7224C49458BB}"/>
                <c:ext xmlns:c16="http://schemas.microsoft.com/office/drawing/2014/chart" uri="{C3380CC4-5D6E-409C-BE32-E72D297353CC}">
                  <c16:uniqueId val="{00000009-6F3A-4C31-B251-8CC502B54F8F}"/>
                </c:ext>
              </c:extLst>
            </c:dLbl>
            <c:dLbl>
              <c:idx val="5"/>
              <c:delete val="1"/>
              <c:extLst>
                <c:ext xmlns:c15="http://schemas.microsoft.com/office/drawing/2012/chart" uri="{CE6537A1-D6FC-4f65-9D91-7224C49458BB}"/>
                <c:ext xmlns:c16="http://schemas.microsoft.com/office/drawing/2014/chart" uri="{C3380CC4-5D6E-409C-BE32-E72D297353CC}">
                  <c16:uniqueId val="{0000000B-6F3A-4C31-B251-8CC502B54F8F}"/>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Status'!$V$8:$V$9</c:f>
              <c:strCache>
                <c:ptCount val="2"/>
                <c:pt idx="0">
                  <c:v>Complete + Not Available + Not Applicable + Alternative</c:v>
                </c:pt>
                <c:pt idx="1">
                  <c:v>Incomplete + Pending</c:v>
                </c:pt>
              </c:strCache>
            </c:strRef>
          </c:cat>
          <c:val>
            <c:numRef>
              <c:f>'Data Collection Status'!$W$8:$W$9</c:f>
              <c:numCache>
                <c:formatCode>0</c:formatCode>
                <c:ptCount val="2"/>
                <c:pt idx="0">
                  <c:v>0</c:v>
                </c:pt>
                <c:pt idx="1">
                  <c:v>80</c:v>
                </c:pt>
              </c:numCache>
            </c:numRef>
          </c:val>
          <c:extLst>
            <c:ext xmlns:c16="http://schemas.microsoft.com/office/drawing/2014/chart" uri="{C3380CC4-5D6E-409C-BE32-E72D297353CC}">
              <c16:uniqueId val="{0000000C-6F3A-4C31-B251-8CC502B54F8F}"/>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2000" b="1">
                <a:latin typeface="Raleway" panose="020B0503030101060003" pitchFamily="34" charset="77"/>
              </a:rPr>
              <a:t>Total (SI+RQ)  </a:t>
            </a:r>
            <a:r>
              <a:rPr lang="en-US" sz="2000" b="1" baseline="0">
                <a:latin typeface="Raleway" panose="020B0503030101060003" pitchFamily="34" charset="77"/>
              </a:rPr>
              <a:t>%</a:t>
            </a:r>
            <a:endParaRPr lang="en-US" sz="2000" b="1">
              <a:latin typeface="Raleway" panose="020B0503030101060003" pitchFamily="34" charset="77"/>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rgbClr val="3D3D84"/>
              </a:solidFill>
              <a:ln w="3175">
                <a:solidFill>
                  <a:schemeClr val="bg1"/>
                </a:solidFill>
              </a:ln>
            </c:spPr>
            <c:extLst>
              <c:ext xmlns:c16="http://schemas.microsoft.com/office/drawing/2014/chart" uri="{C3380CC4-5D6E-409C-BE32-E72D297353CC}">
                <c16:uniqueId val="{00000001-29D0-4FFC-AAE5-A3CEA04F6DAC}"/>
              </c:ext>
            </c:extLst>
          </c:dPt>
          <c:dPt>
            <c:idx val="1"/>
            <c:bubble3D val="0"/>
            <c:spPr>
              <a:solidFill>
                <a:srgbClr val="816EAF"/>
              </a:solidFill>
              <a:ln w="3175">
                <a:solidFill>
                  <a:schemeClr val="bg1"/>
                </a:solidFill>
              </a:ln>
            </c:spPr>
            <c:extLst>
              <c:ext xmlns:c16="http://schemas.microsoft.com/office/drawing/2014/chart" uri="{C3380CC4-5D6E-409C-BE32-E72D297353CC}">
                <c16:uniqueId val="{00000003-29D0-4FFC-AAE5-A3CEA04F6DAC}"/>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29D0-4FFC-AAE5-A3CEA04F6DAC}"/>
              </c:ext>
            </c:extLst>
          </c:dPt>
          <c:dPt>
            <c:idx val="3"/>
            <c:bubble3D val="0"/>
            <c:spPr>
              <a:solidFill>
                <a:schemeClr val="bg1">
                  <a:lumMod val="95000"/>
                </a:schemeClr>
              </a:solidFill>
              <a:ln w="3175">
                <a:solidFill>
                  <a:schemeClr val="bg1"/>
                </a:solidFill>
              </a:ln>
            </c:spPr>
            <c:extLst>
              <c:ext xmlns:c16="http://schemas.microsoft.com/office/drawing/2014/chart" uri="{C3380CC4-5D6E-409C-BE32-E72D297353CC}">
                <c16:uniqueId val="{00000007-29D0-4FFC-AAE5-A3CEA04F6DAC}"/>
              </c:ext>
            </c:extLst>
          </c:dPt>
          <c:dPt>
            <c:idx val="4"/>
            <c:bubble3D val="0"/>
            <c:spPr>
              <a:solidFill>
                <a:srgbClr val="ADBCC7"/>
              </a:solidFill>
              <a:ln w="3175">
                <a:solidFill>
                  <a:schemeClr val="bg1"/>
                </a:solidFill>
              </a:ln>
            </c:spPr>
            <c:extLst>
              <c:ext xmlns:c16="http://schemas.microsoft.com/office/drawing/2014/chart" uri="{C3380CC4-5D6E-409C-BE32-E72D297353CC}">
                <c16:uniqueId val="{00000009-29D0-4FFC-AAE5-A3CEA04F6DAC}"/>
              </c:ext>
            </c:extLst>
          </c:dPt>
          <c:dPt>
            <c:idx val="5"/>
            <c:bubble3D val="0"/>
            <c:spPr>
              <a:solidFill>
                <a:srgbClr val="B8D9DD"/>
              </a:solidFill>
              <a:ln w="3175">
                <a:solidFill>
                  <a:schemeClr val="bg1"/>
                </a:solidFill>
              </a:ln>
            </c:spPr>
            <c:extLst>
              <c:ext xmlns:c16="http://schemas.microsoft.com/office/drawing/2014/chart" uri="{C3380CC4-5D6E-409C-BE32-E72D297353CC}">
                <c16:uniqueId val="{0000000B-29D0-4FFC-AAE5-A3CEA04F6DAC}"/>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29D0-4FFC-AAE5-A3CEA04F6DAC}"/>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Status'!$B$23:$B$28</c:f>
              <c:strCache>
                <c:ptCount val="6"/>
                <c:pt idx="0">
                  <c:v>Complete</c:v>
                </c:pt>
                <c:pt idx="1">
                  <c:v>Incomplete</c:v>
                </c:pt>
                <c:pt idx="2">
                  <c:v>Pending</c:v>
                </c:pt>
                <c:pt idx="3">
                  <c:v>Not available</c:v>
                </c:pt>
                <c:pt idx="4">
                  <c:v>Not applicable</c:v>
                </c:pt>
                <c:pt idx="5">
                  <c:v>Alternative</c:v>
                </c:pt>
              </c:strCache>
            </c:strRef>
          </c:cat>
          <c:val>
            <c:numRef>
              <c:f>'Data Collection Status'!$D$23:$D$28</c:f>
              <c:numCache>
                <c:formatCode>0</c:formatCode>
                <c:ptCount val="6"/>
                <c:pt idx="0">
                  <c:v>0</c:v>
                </c:pt>
                <c:pt idx="1">
                  <c:v>80</c:v>
                </c:pt>
                <c:pt idx="2">
                  <c:v>0</c:v>
                </c:pt>
                <c:pt idx="3">
                  <c:v>0</c:v>
                </c:pt>
                <c:pt idx="4">
                  <c:v>0</c:v>
                </c:pt>
                <c:pt idx="5">
                  <c:v>0</c:v>
                </c:pt>
              </c:numCache>
            </c:numRef>
          </c:val>
          <c:extLst>
            <c:ext xmlns:c16="http://schemas.microsoft.com/office/drawing/2014/chart" uri="{C3380CC4-5D6E-409C-BE32-E72D297353CC}">
              <c16:uniqueId val="{0000000C-29D0-4FFC-AAE5-A3CEA04F6DAC}"/>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Raleway" panose="020B0503030101060003" pitchFamily="34" charset="77"/>
                <a:ea typeface="+mn-ea"/>
                <a:cs typeface="+mn-cs"/>
              </a:defRPr>
            </a:pPr>
            <a:r>
              <a:rPr lang="en-US" sz="1800" b="1" i="0" baseline="0">
                <a:effectLst/>
              </a:rPr>
              <a:t>Total (SI+RQ)  %</a:t>
            </a:r>
            <a:endParaRPr lang="es-ES"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chemeClr val="bg1">
                  <a:lumMod val="50000"/>
                </a:schemeClr>
              </a:solidFill>
              <a:ln w="3175">
                <a:solidFill>
                  <a:schemeClr val="bg1"/>
                </a:solidFill>
              </a:ln>
            </c:spPr>
            <c:extLst>
              <c:ext xmlns:c16="http://schemas.microsoft.com/office/drawing/2014/chart" uri="{C3380CC4-5D6E-409C-BE32-E72D297353CC}">
                <c16:uniqueId val="{00000001-E5ED-45FA-B720-B95EDF07FF7B}"/>
              </c:ext>
            </c:extLst>
          </c:dPt>
          <c:dPt>
            <c:idx val="1"/>
            <c:bubble3D val="0"/>
            <c:spPr>
              <a:solidFill>
                <a:schemeClr val="bg1">
                  <a:lumMod val="85000"/>
                </a:schemeClr>
              </a:solidFill>
              <a:ln w="3175">
                <a:solidFill>
                  <a:schemeClr val="bg1"/>
                </a:solidFill>
              </a:ln>
            </c:spPr>
            <c:extLst>
              <c:ext xmlns:c16="http://schemas.microsoft.com/office/drawing/2014/chart" uri="{C3380CC4-5D6E-409C-BE32-E72D297353CC}">
                <c16:uniqueId val="{00000003-E5ED-45FA-B720-B95EDF07FF7B}"/>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E5ED-45FA-B720-B95EDF07FF7B}"/>
              </c:ext>
            </c:extLst>
          </c:dPt>
          <c:dPt>
            <c:idx val="3"/>
            <c:bubble3D val="0"/>
            <c:spPr>
              <a:solidFill>
                <a:schemeClr val="bg1">
                  <a:lumMod val="50000"/>
                </a:schemeClr>
              </a:solidFill>
              <a:ln w="3175">
                <a:solidFill>
                  <a:schemeClr val="bg1"/>
                </a:solidFill>
              </a:ln>
            </c:spPr>
            <c:extLst>
              <c:ext xmlns:c16="http://schemas.microsoft.com/office/drawing/2014/chart" uri="{C3380CC4-5D6E-409C-BE32-E72D297353CC}">
                <c16:uniqueId val="{00000007-E5ED-45FA-B720-B95EDF07FF7B}"/>
              </c:ext>
            </c:extLst>
          </c:dPt>
          <c:dPt>
            <c:idx val="4"/>
            <c:bubble3D val="0"/>
            <c:spPr>
              <a:solidFill>
                <a:schemeClr val="bg1">
                  <a:lumMod val="50000"/>
                </a:schemeClr>
              </a:solidFill>
              <a:ln w="3175">
                <a:solidFill>
                  <a:schemeClr val="bg1"/>
                </a:solidFill>
              </a:ln>
            </c:spPr>
            <c:extLst>
              <c:ext xmlns:c16="http://schemas.microsoft.com/office/drawing/2014/chart" uri="{C3380CC4-5D6E-409C-BE32-E72D297353CC}">
                <c16:uniqueId val="{00000009-E5ED-45FA-B720-B95EDF07FF7B}"/>
              </c:ext>
            </c:extLst>
          </c:dPt>
          <c:dPt>
            <c:idx val="5"/>
            <c:bubble3D val="0"/>
            <c:spPr>
              <a:solidFill>
                <a:schemeClr val="bg1">
                  <a:lumMod val="50000"/>
                </a:schemeClr>
              </a:solidFill>
              <a:ln w="3175">
                <a:solidFill>
                  <a:schemeClr val="bg1"/>
                </a:solidFill>
              </a:ln>
            </c:spPr>
            <c:extLst>
              <c:ext xmlns:c16="http://schemas.microsoft.com/office/drawing/2014/chart" uri="{C3380CC4-5D6E-409C-BE32-E72D297353CC}">
                <c16:uniqueId val="{0000000B-E5ED-45FA-B720-B95EDF07FF7B}"/>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E5ED-45FA-B720-B95EDF07FF7B}"/>
                </c:ext>
              </c:extLst>
            </c:dLbl>
            <c:dLbl>
              <c:idx val="3"/>
              <c:delete val="1"/>
              <c:extLst>
                <c:ext xmlns:c15="http://schemas.microsoft.com/office/drawing/2012/chart" uri="{CE6537A1-D6FC-4f65-9D91-7224C49458BB}"/>
                <c:ext xmlns:c16="http://schemas.microsoft.com/office/drawing/2014/chart" uri="{C3380CC4-5D6E-409C-BE32-E72D297353CC}">
                  <c16:uniqueId val="{00000007-E5ED-45FA-B720-B95EDF07FF7B}"/>
                </c:ext>
              </c:extLst>
            </c:dLbl>
            <c:dLbl>
              <c:idx val="4"/>
              <c:delete val="1"/>
              <c:extLst>
                <c:ext xmlns:c15="http://schemas.microsoft.com/office/drawing/2012/chart" uri="{CE6537A1-D6FC-4f65-9D91-7224C49458BB}"/>
                <c:ext xmlns:c16="http://schemas.microsoft.com/office/drawing/2014/chart" uri="{C3380CC4-5D6E-409C-BE32-E72D297353CC}">
                  <c16:uniqueId val="{00000009-E5ED-45FA-B720-B95EDF07FF7B}"/>
                </c:ext>
              </c:extLst>
            </c:dLbl>
            <c:dLbl>
              <c:idx val="5"/>
              <c:delete val="1"/>
              <c:extLst>
                <c:ext xmlns:c15="http://schemas.microsoft.com/office/drawing/2012/chart" uri="{CE6537A1-D6FC-4f65-9D91-7224C49458BB}"/>
                <c:ext xmlns:c16="http://schemas.microsoft.com/office/drawing/2014/chart" uri="{C3380CC4-5D6E-409C-BE32-E72D297353CC}">
                  <c16:uniqueId val="{0000000B-E5ED-45FA-B720-B95EDF07FF7B}"/>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Status'!$V$14:$V$15</c:f>
              <c:strCache>
                <c:ptCount val="2"/>
                <c:pt idx="0">
                  <c:v>Complete + Not Available + Not Applicable + Alternative</c:v>
                </c:pt>
                <c:pt idx="1">
                  <c:v>Incomplete + Pending</c:v>
                </c:pt>
              </c:strCache>
            </c:strRef>
          </c:cat>
          <c:val>
            <c:numRef>
              <c:f>'Data Collection Status'!$W$14:$W$15</c:f>
              <c:numCache>
                <c:formatCode>0</c:formatCode>
                <c:ptCount val="2"/>
                <c:pt idx="0">
                  <c:v>0</c:v>
                </c:pt>
                <c:pt idx="1">
                  <c:v>80</c:v>
                </c:pt>
              </c:numCache>
            </c:numRef>
          </c:val>
          <c:extLst>
            <c:ext xmlns:c16="http://schemas.microsoft.com/office/drawing/2014/chart" uri="{C3380CC4-5D6E-409C-BE32-E72D297353CC}">
              <c16:uniqueId val="{0000000C-E5ED-45FA-B720-B95EDF07FF7B}"/>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GB" sz="1800" b="1" i="0" u="none" strike="noStrike" baseline="0"/>
              <a:t>5.1 Public Works</a:t>
            </a:r>
          </a:p>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Data Completion (%)</a:t>
            </a:r>
            <a:endParaRPr lang="en-GB"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rgbClr val="3D3D84"/>
              </a:solidFill>
              <a:ln w="3175">
                <a:solidFill>
                  <a:schemeClr val="bg1"/>
                </a:solidFill>
              </a:ln>
            </c:spPr>
            <c:extLst>
              <c:ext xmlns:c16="http://schemas.microsoft.com/office/drawing/2014/chart" uri="{C3380CC4-5D6E-409C-BE32-E72D297353CC}">
                <c16:uniqueId val="{00000001-B181-4B9C-9664-C5D3826D92B1}"/>
              </c:ext>
            </c:extLst>
          </c:dPt>
          <c:dPt>
            <c:idx val="1"/>
            <c:bubble3D val="0"/>
            <c:spPr>
              <a:solidFill>
                <a:srgbClr val="816EAF"/>
              </a:solidFill>
              <a:ln w="3175">
                <a:solidFill>
                  <a:schemeClr val="bg1"/>
                </a:solidFill>
              </a:ln>
            </c:spPr>
            <c:extLst>
              <c:ext xmlns:c16="http://schemas.microsoft.com/office/drawing/2014/chart" uri="{C3380CC4-5D6E-409C-BE32-E72D297353CC}">
                <c16:uniqueId val="{00000003-B181-4B9C-9664-C5D3826D92B1}"/>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B181-4B9C-9664-C5D3826D92B1}"/>
              </c:ext>
            </c:extLst>
          </c:dPt>
          <c:dPt>
            <c:idx val="3"/>
            <c:bubble3D val="0"/>
            <c:spPr>
              <a:solidFill>
                <a:schemeClr val="bg1">
                  <a:lumMod val="95000"/>
                </a:schemeClr>
              </a:solidFill>
              <a:ln w="3175">
                <a:solidFill>
                  <a:schemeClr val="bg1"/>
                </a:solidFill>
              </a:ln>
            </c:spPr>
            <c:extLst>
              <c:ext xmlns:c16="http://schemas.microsoft.com/office/drawing/2014/chart" uri="{C3380CC4-5D6E-409C-BE32-E72D297353CC}">
                <c16:uniqueId val="{00000007-B181-4B9C-9664-C5D3826D92B1}"/>
              </c:ext>
            </c:extLst>
          </c:dPt>
          <c:dPt>
            <c:idx val="4"/>
            <c:bubble3D val="0"/>
            <c:spPr>
              <a:solidFill>
                <a:srgbClr val="ADBCC7"/>
              </a:solidFill>
              <a:ln w="3175">
                <a:solidFill>
                  <a:schemeClr val="bg1"/>
                </a:solidFill>
              </a:ln>
            </c:spPr>
            <c:extLst>
              <c:ext xmlns:c16="http://schemas.microsoft.com/office/drawing/2014/chart" uri="{C3380CC4-5D6E-409C-BE32-E72D297353CC}">
                <c16:uniqueId val="{00000009-B181-4B9C-9664-C5D3826D92B1}"/>
              </c:ext>
            </c:extLst>
          </c:dPt>
          <c:dPt>
            <c:idx val="5"/>
            <c:bubble3D val="0"/>
            <c:spPr>
              <a:solidFill>
                <a:srgbClr val="B8D9DD"/>
              </a:solidFill>
              <a:ln w="3175">
                <a:solidFill>
                  <a:schemeClr val="bg1"/>
                </a:solidFill>
              </a:ln>
            </c:spPr>
            <c:extLst>
              <c:ext xmlns:c16="http://schemas.microsoft.com/office/drawing/2014/chart" uri="{C3380CC4-5D6E-409C-BE32-E72D297353CC}">
                <c16:uniqueId val="{0000000B-B181-4B9C-9664-C5D3826D92B1}"/>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B181-4B9C-9664-C5D3826D92B1}"/>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Status'!$B$71:$B$76</c:f>
              <c:strCache>
                <c:ptCount val="6"/>
                <c:pt idx="0">
                  <c:v>Complete</c:v>
                </c:pt>
                <c:pt idx="1">
                  <c:v>Incomplete</c:v>
                </c:pt>
                <c:pt idx="2">
                  <c:v>Pending</c:v>
                </c:pt>
                <c:pt idx="3">
                  <c:v>Not available</c:v>
                </c:pt>
                <c:pt idx="4">
                  <c:v>Not applicable</c:v>
                </c:pt>
                <c:pt idx="5">
                  <c:v>Alternative</c:v>
                </c:pt>
              </c:strCache>
            </c:strRef>
          </c:cat>
          <c:val>
            <c:numRef>
              <c:f>'Data Collection Status'!$D$71:$D$76</c:f>
              <c:numCache>
                <c:formatCode>0</c:formatCode>
                <c:ptCount val="6"/>
                <c:pt idx="0">
                  <c:v>0</c:v>
                </c:pt>
                <c:pt idx="1">
                  <c:v>100</c:v>
                </c:pt>
                <c:pt idx="2">
                  <c:v>0</c:v>
                </c:pt>
                <c:pt idx="3">
                  <c:v>0</c:v>
                </c:pt>
                <c:pt idx="4">
                  <c:v>0</c:v>
                </c:pt>
                <c:pt idx="5">
                  <c:v>0</c:v>
                </c:pt>
              </c:numCache>
            </c:numRef>
          </c:val>
          <c:extLst>
            <c:ext xmlns:c16="http://schemas.microsoft.com/office/drawing/2014/chart" uri="{C3380CC4-5D6E-409C-BE32-E72D297353CC}">
              <c16:uniqueId val="{0000000C-B181-4B9C-9664-C5D3826D92B1}"/>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5.3 Community Welfare</a:t>
            </a:r>
          </a:p>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Data Completion (%)</a:t>
            </a:r>
            <a:endParaRPr lang="en-GB"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rgbClr val="3D3D84"/>
              </a:solidFill>
              <a:ln w="3175">
                <a:solidFill>
                  <a:schemeClr val="bg1"/>
                </a:solidFill>
              </a:ln>
            </c:spPr>
            <c:extLst>
              <c:ext xmlns:c16="http://schemas.microsoft.com/office/drawing/2014/chart" uri="{C3380CC4-5D6E-409C-BE32-E72D297353CC}">
                <c16:uniqueId val="{00000001-F8F3-478A-B749-CB1BE7A1AAE3}"/>
              </c:ext>
            </c:extLst>
          </c:dPt>
          <c:dPt>
            <c:idx val="1"/>
            <c:bubble3D val="0"/>
            <c:spPr>
              <a:solidFill>
                <a:srgbClr val="816EAF"/>
              </a:solidFill>
              <a:ln w="3175">
                <a:solidFill>
                  <a:schemeClr val="bg1"/>
                </a:solidFill>
              </a:ln>
            </c:spPr>
            <c:extLst>
              <c:ext xmlns:c16="http://schemas.microsoft.com/office/drawing/2014/chart" uri="{C3380CC4-5D6E-409C-BE32-E72D297353CC}">
                <c16:uniqueId val="{00000003-F8F3-478A-B749-CB1BE7A1AAE3}"/>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F8F3-478A-B749-CB1BE7A1AAE3}"/>
              </c:ext>
            </c:extLst>
          </c:dPt>
          <c:dPt>
            <c:idx val="3"/>
            <c:bubble3D val="0"/>
            <c:spPr>
              <a:solidFill>
                <a:schemeClr val="bg1">
                  <a:lumMod val="95000"/>
                </a:schemeClr>
              </a:solidFill>
              <a:ln w="3175">
                <a:solidFill>
                  <a:schemeClr val="bg1"/>
                </a:solidFill>
              </a:ln>
            </c:spPr>
            <c:extLst>
              <c:ext xmlns:c16="http://schemas.microsoft.com/office/drawing/2014/chart" uri="{C3380CC4-5D6E-409C-BE32-E72D297353CC}">
                <c16:uniqueId val="{00000007-F8F3-478A-B749-CB1BE7A1AAE3}"/>
              </c:ext>
            </c:extLst>
          </c:dPt>
          <c:dPt>
            <c:idx val="4"/>
            <c:bubble3D val="0"/>
            <c:spPr>
              <a:solidFill>
                <a:srgbClr val="ADBCC7"/>
              </a:solidFill>
              <a:ln w="3175">
                <a:solidFill>
                  <a:schemeClr val="bg1"/>
                </a:solidFill>
              </a:ln>
            </c:spPr>
            <c:extLst>
              <c:ext xmlns:c16="http://schemas.microsoft.com/office/drawing/2014/chart" uri="{C3380CC4-5D6E-409C-BE32-E72D297353CC}">
                <c16:uniqueId val="{00000009-F8F3-478A-B749-CB1BE7A1AAE3}"/>
              </c:ext>
            </c:extLst>
          </c:dPt>
          <c:dPt>
            <c:idx val="5"/>
            <c:bubble3D val="0"/>
            <c:spPr>
              <a:solidFill>
                <a:srgbClr val="B8D9DD"/>
              </a:solidFill>
              <a:ln w="3175">
                <a:solidFill>
                  <a:schemeClr val="bg1"/>
                </a:solidFill>
              </a:ln>
            </c:spPr>
            <c:extLst>
              <c:ext xmlns:c16="http://schemas.microsoft.com/office/drawing/2014/chart" uri="{C3380CC4-5D6E-409C-BE32-E72D297353CC}">
                <c16:uniqueId val="{0000000B-F8F3-478A-B749-CB1BE7A1AAE3}"/>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F8F3-478A-B749-CB1BE7A1AAE3}"/>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Status'!$B$71:$B$76</c:f>
              <c:strCache>
                <c:ptCount val="6"/>
                <c:pt idx="0">
                  <c:v>Complete</c:v>
                </c:pt>
                <c:pt idx="1">
                  <c:v>Incomplete</c:v>
                </c:pt>
                <c:pt idx="2">
                  <c:v>Pending</c:v>
                </c:pt>
                <c:pt idx="3">
                  <c:v>Not available</c:v>
                </c:pt>
                <c:pt idx="4">
                  <c:v>Not applicable</c:v>
                </c:pt>
                <c:pt idx="5">
                  <c:v>Alternative</c:v>
                </c:pt>
              </c:strCache>
            </c:strRef>
          </c:cat>
          <c:val>
            <c:numRef>
              <c:f>'Data Collection Status'!$D$121:$D$126</c:f>
              <c:numCache>
                <c:formatCode>0</c:formatCode>
                <c:ptCount val="6"/>
                <c:pt idx="0">
                  <c:v>0</c:v>
                </c:pt>
                <c:pt idx="1">
                  <c:v>100</c:v>
                </c:pt>
                <c:pt idx="2">
                  <c:v>0</c:v>
                </c:pt>
                <c:pt idx="3">
                  <c:v>0</c:v>
                </c:pt>
                <c:pt idx="4">
                  <c:v>0</c:v>
                </c:pt>
                <c:pt idx="5">
                  <c:v>0</c:v>
                </c:pt>
              </c:numCache>
            </c:numRef>
          </c:val>
          <c:extLst>
            <c:ext xmlns:c16="http://schemas.microsoft.com/office/drawing/2014/chart" uri="{C3380CC4-5D6E-409C-BE32-E72D297353CC}">
              <c16:uniqueId val="{0000000C-F8F3-478A-B749-CB1BE7A1AAE3}"/>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5.2 Permits, Monitoring and Inspection</a:t>
            </a:r>
          </a:p>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Data Completion (%)</a:t>
            </a:r>
            <a:endParaRPr lang="en-GB"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rgbClr val="3D3D84"/>
              </a:solidFill>
              <a:ln w="3175">
                <a:solidFill>
                  <a:schemeClr val="bg1"/>
                </a:solidFill>
              </a:ln>
            </c:spPr>
            <c:extLst>
              <c:ext xmlns:c16="http://schemas.microsoft.com/office/drawing/2014/chart" uri="{C3380CC4-5D6E-409C-BE32-E72D297353CC}">
                <c16:uniqueId val="{00000001-3105-40EB-B4EB-17C977142F6D}"/>
              </c:ext>
            </c:extLst>
          </c:dPt>
          <c:dPt>
            <c:idx val="1"/>
            <c:bubble3D val="0"/>
            <c:spPr>
              <a:solidFill>
                <a:srgbClr val="816EAF"/>
              </a:solidFill>
              <a:ln w="3175">
                <a:solidFill>
                  <a:schemeClr val="bg1"/>
                </a:solidFill>
              </a:ln>
            </c:spPr>
            <c:extLst>
              <c:ext xmlns:c16="http://schemas.microsoft.com/office/drawing/2014/chart" uri="{C3380CC4-5D6E-409C-BE32-E72D297353CC}">
                <c16:uniqueId val="{00000003-3105-40EB-B4EB-17C977142F6D}"/>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3105-40EB-B4EB-17C977142F6D}"/>
              </c:ext>
            </c:extLst>
          </c:dPt>
          <c:dPt>
            <c:idx val="3"/>
            <c:bubble3D val="0"/>
            <c:spPr>
              <a:solidFill>
                <a:schemeClr val="bg1">
                  <a:lumMod val="95000"/>
                </a:schemeClr>
              </a:solidFill>
              <a:ln w="3175">
                <a:solidFill>
                  <a:schemeClr val="bg1"/>
                </a:solidFill>
              </a:ln>
            </c:spPr>
            <c:extLst>
              <c:ext xmlns:c16="http://schemas.microsoft.com/office/drawing/2014/chart" uri="{C3380CC4-5D6E-409C-BE32-E72D297353CC}">
                <c16:uniqueId val="{00000007-3105-40EB-B4EB-17C977142F6D}"/>
              </c:ext>
            </c:extLst>
          </c:dPt>
          <c:dPt>
            <c:idx val="4"/>
            <c:bubble3D val="0"/>
            <c:spPr>
              <a:solidFill>
                <a:srgbClr val="ADBCC7"/>
              </a:solidFill>
              <a:ln w="3175">
                <a:solidFill>
                  <a:schemeClr val="bg1"/>
                </a:solidFill>
              </a:ln>
            </c:spPr>
            <c:extLst>
              <c:ext xmlns:c16="http://schemas.microsoft.com/office/drawing/2014/chart" uri="{C3380CC4-5D6E-409C-BE32-E72D297353CC}">
                <c16:uniqueId val="{00000009-3105-40EB-B4EB-17C977142F6D}"/>
              </c:ext>
            </c:extLst>
          </c:dPt>
          <c:dPt>
            <c:idx val="5"/>
            <c:bubble3D val="0"/>
            <c:spPr>
              <a:solidFill>
                <a:srgbClr val="B8D9DD"/>
              </a:solidFill>
              <a:ln w="3175">
                <a:solidFill>
                  <a:schemeClr val="bg1"/>
                </a:solidFill>
              </a:ln>
            </c:spPr>
            <c:extLst>
              <c:ext xmlns:c16="http://schemas.microsoft.com/office/drawing/2014/chart" uri="{C3380CC4-5D6E-409C-BE32-E72D297353CC}">
                <c16:uniqueId val="{0000000B-3105-40EB-B4EB-17C977142F6D}"/>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3105-40EB-B4EB-17C977142F6D}"/>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Status'!$B$71:$B$76</c:f>
              <c:strCache>
                <c:ptCount val="6"/>
                <c:pt idx="0">
                  <c:v>Complete</c:v>
                </c:pt>
                <c:pt idx="1">
                  <c:v>Incomplete</c:v>
                </c:pt>
                <c:pt idx="2">
                  <c:v>Pending</c:v>
                </c:pt>
                <c:pt idx="3">
                  <c:v>Not available</c:v>
                </c:pt>
                <c:pt idx="4">
                  <c:v>Not applicable</c:v>
                </c:pt>
                <c:pt idx="5">
                  <c:v>Alternative</c:v>
                </c:pt>
              </c:strCache>
            </c:strRef>
          </c:cat>
          <c:val>
            <c:numRef>
              <c:f>'Data Collection Status'!$D$96:$D$101</c:f>
              <c:numCache>
                <c:formatCode>0</c:formatCode>
                <c:ptCount val="6"/>
                <c:pt idx="0">
                  <c:v>0</c:v>
                </c:pt>
                <c:pt idx="1">
                  <c:v>100</c:v>
                </c:pt>
                <c:pt idx="2">
                  <c:v>0</c:v>
                </c:pt>
                <c:pt idx="3">
                  <c:v>0</c:v>
                </c:pt>
                <c:pt idx="4">
                  <c:v>0</c:v>
                </c:pt>
                <c:pt idx="5">
                  <c:v>0</c:v>
                </c:pt>
              </c:numCache>
            </c:numRef>
          </c:val>
          <c:extLst>
            <c:ext xmlns:c16="http://schemas.microsoft.com/office/drawing/2014/chart" uri="{C3380CC4-5D6E-409C-BE32-E72D297353CC}">
              <c16:uniqueId val="{0000000C-3105-40EB-B4EB-17C977142F6D}"/>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5.4 Local Public Security and Law Enforcement</a:t>
            </a:r>
          </a:p>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Data Completion (%)</a:t>
            </a:r>
            <a:endParaRPr lang="en-GB"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rgbClr val="3D3D84"/>
              </a:solidFill>
              <a:ln w="3175">
                <a:solidFill>
                  <a:schemeClr val="bg1"/>
                </a:solidFill>
              </a:ln>
            </c:spPr>
            <c:extLst>
              <c:ext xmlns:c16="http://schemas.microsoft.com/office/drawing/2014/chart" uri="{C3380CC4-5D6E-409C-BE32-E72D297353CC}">
                <c16:uniqueId val="{00000001-499F-42AA-A8B1-2F275845FE7F}"/>
              </c:ext>
            </c:extLst>
          </c:dPt>
          <c:dPt>
            <c:idx val="1"/>
            <c:bubble3D val="0"/>
            <c:spPr>
              <a:solidFill>
                <a:srgbClr val="816EAF"/>
              </a:solidFill>
              <a:ln w="3175">
                <a:solidFill>
                  <a:schemeClr val="bg1"/>
                </a:solidFill>
              </a:ln>
            </c:spPr>
            <c:extLst>
              <c:ext xmlns:c16="http://schemas.microsoft.com/office/drawing/2014/chart" uri="{C3380CC4-5D6E-409C-BE32-E72D297353CC}">
                <c16:uniqueId val="{00000003-499F-42AA-A8B1-2F275845FE7F}"/>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499F-42AA-A8B1-2F275845FE7F}"/>
              </c:ext>
            </c:extLst>
          </c:dPt>
          <c:dPt>
            <c:idx val="3"/>
            <c:bubble3D val="0"/>
            <c:spPr>
              <a:solidFill>
                <a:schemeClr val="bg1">
                  <a:lumMod val="95000"/>
                </a:schemeClr>
              </a:solidFill>
              <a:ln w="3175">
                <a:solidFill>
                  <a:schemeClr val="bg1"/>
                </a:solidFill>
              </a:ln>
            </c:spPr>
            <c:extLst>
              <c:ext xmlns:c16="http://schemas.microsoft.com/office/drawing/2014/chart" uri="{C3380CC4-5D6E-409C-BE32-E72D297353CC}">
                <c16:uniqueId val="{00000007-499F-42AA-A8B1-2F275845FE7F}"/>
              </c:ext>
            </c:extLst>
          </c:dPt>
          <c:dPt>
            <c:idx val="4"/>
            <c:bubble3D val="0"/>
            <c:spPr>
              <a:solidFill>
                <a:srgbClr val="ADBCC7"/>
              </a:solidFill>
              <a:ln w="3175">
                <a:solidFill>
                  <a:schemeClr val="bg1"/>
                </a:solidFill>
              </a:ln>
            </c:spPr>
            <c:extLst>
              <c:ext xmlns:c16="http://schemas.microsoft.com/office/drawing/2014/chart" uri="{C3380CC4-5D6E-409C-BE32-E72D297353CC}">
                <c16:uniqueId val="{00000009-499F-42AA-A8B1-2F275845FE7F}"/>
              </c:ext>
            </c:extLst>
          </c:dPt>
          <c:dPt>
            <c:idx val="5"/>
            <c:bubble3D val="0"/>
            <c:spPr>
              <a:solidFill>
                <a:srgbClr val="B8D9DD"/>
              </a:solidFill>
              <a:ln w="3175">
                <a:solidFill>
                  <a:schemeClr val="bg1"/>
                </a:solidFill>
              </a:ln>
            </c:spPr>
            <c:extLst>
              <c:ext xmlns:c16="http://schemas.microsoft.com/office/drawing/2014/chart" uri="{C3380CC4-5D6E-409C-BE32-E72D297353CC}">
                <c16:uniqueId val="{0000000B-499F-42AA-A8B1-2F275845FE7F}"/>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499F-42AA-A8B1-2F275845FE7F}"/>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Status'!$B$71:$B$76</c:f>
              <c:strCache>
                <c:ptCount val="6"/>
                <c:pt idx="0">
                  <c:v>Complete</c:v>
                </c:pt>
                <c:pt idx="1">
                  <c:v>Incomplete</c:v>
                </c:pt>
                <c:pt idx="2">
                  <c:v>Pending</c:v>
                </c:pt>
                <c:pt idx="3">
                  <c:v>Not available</c:v>
                </c:pt>
                <c:pt idx="4">
                  <c:v>Not applicable</c:v>
                </c:pt>
                <c:pt idx="5">
                  <c:v>Alternative</c:v>
                </c:pt>
              </c:strCache>
            </c:strRef>
          </c:cat>
          <c:val>
            <c:numRef>
              <c:f>'Data Collection Status'!$D$121:$D$126</c:f>
              <c:numCache>
                <c:formatCode>0</c:formatCode>
                <c:ptCount val="6"/>
                <c:pt idx="0">
                  <c:v>0</c:v>
                </c:pt>
                <c:pt idx="1">
                  <c:v>100</c:v>
                </c:pt>
                <c:pt idx="2">
                  <c:v>0</c:v>
                </c:pt>
                <c:pt idx="3">
                  <c:v>0</c:v>
                </c:pt>
                <c:pt idx="4">
                  <c:v>0</c:v>
                </c:pt>
                <c:pt idx="5">
                  <c:v>0</c:v>
                </c:pt>
              </c:numCache>
            </c:numRef>
          </c:val>
          <c:extLst>
            <c:ext xmlns:c16="http://schemas.microsoft.com/office/drawing/2014/chart" uri="{C3380CC4-5D6E-409C-BE32-E72D297353CC}">
              <c16:uniqueId val="{0000000C-499F-42AA-A8B1-2F275845FE7F}"/>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5.5 Emergency &amp; Rescue Services</a:t>
            </a:r>
          </a:p>
          <a:p>
            <a:pPr>
              <a:defRPr sz="20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800" b="1" i="0" baseline="0">
                <a:effectLst/>
              </a:rPr>
              <a:t>Data Completion (%)</a:t>
            </a:r>
            <a:endParaRPr lang="en-GB" sz="2000">
              <a:effectLst/>
            </a:endParaRPr>
          </a:p>
        </c:rich>
      </c:tx>
      <c:overlay val="0"/>
      <c:spPr>
        <a:noFill/>
        <a:ln>
          <a:noFill/>
        </a:ln>
        <a:effectLst/>
      </c:spPr>
    </c:title>
    <c:autoTitleDeleted val="0"/>
    <c:plotArea>
      <c:layout/>
      <c:pieChart>
        <c:varyColors val="1"/>
        <c:ser>
          <c:idx val="1"/>
          <c:order val="0"/>
          <c:spPr>
            <a:ln>
              <a:solidFill>
                <a:schemeClr val="bg1"/>
              </a:solidFill>
            </a:ln>
          </c:spPr>
          <c:dPt>
            <c:idx val="0"/>
            <c:bubble3D val="0"/>
            <c:spPr>
              <a:solidFill>
                <a:srgbClr val="3D3D84"/>
              </a:solidFill>
              <a:ln w="3175">
                <a:solidFill>
                  <a:schemeClr val="bg1"/>
                </a:solidFill>
              </a:ln>
            </c:spPr>
            <c:extLst>
              <c:ext xmlns:c16="http://schemas.microsoft.com/office/drawing/2014/chart" uri="{C3380CC4-5D6E-409C-BE32-E72D297353CC}">
                <c16:uniqueId val="{00000001-DB0D-45C1-BCC1-E0780064063B}"/>
              </c:ext>
            </c:extLst>
          </c:dPt>
          <c:dPt>
            <c:idx val="1"/>
            <c:bubble3D val="0"/>
            <c:spPr>
              <a:solidFill>
                <a:srgbClr val="816EAF"/>
              </a:solidFill>
              <a:ln w="3175">
                <a:solidFill>
                  <a:schemeClr val="bg1"/>
                </a:solidFill>
              </a:ln>
            </c:spPr>
            <c:extLst>
              <c:ext xmlns:c16="http://schemas.microsoft.com/office/drawing/2014/chart" uri="{C3380CC4-5D6E-409C-BE32-E72D297353CC}">
                <c16:uniqueId val="{00000003-DB0D-45C1-BCC1-E0780064063B}"/>
              </c:ext>
            </c:extLst>
          </c:dPt>
          <c:dPt>
            <c:idx val="2"/>
            <c:bubble3D val="0"/>
            <c:spPr>
              <a:solidFill>
                <a:srgbClr val="BDB4D3"/>
              </a:solidFill>
              <a:ln w="3175">
                <a:solidFill>
                  <a:schemeClr val="bg1"/>
                </a:solidFill>
              </a:ln>
            </c:spPr>
            <c:extLst>
              <c:ext xmlns:c16="http://schemas.microsoft.com/office/drawing/2014/chart" uri="{C3380CC4-5D6E-409C-BE32-E72D297353CC}">
                <c16:uniqueId val="{00000005-DB0D-45C1-BCC1-E0780064063B}"/>
              </c:ext>
            </c:extLst>
          </c:dPt>
          <c:dPt>
            <c:idx val="3"/>
            <c:bubble3D val="0"/>
            <c:spPr>
              <a:solidFill>
                <a:schemeClr val="bg1">
                  <a:lumMod val="95000"/>
                </a:schemeClr>
              </a:solidFill>
              <a:ln w="3175">
                <a:solidFill>
                  <a:schemeClr val="bg1"/>
                </a:solidFill>
              </a:ln>
            </c:spPr>
            <c:extLst>
              <c:ext xmlns:c16="http://schemas.microsoft.com/office/drawing/2014/chart" uri="{C3380CC4-5D6E-409C-BE32-E72D297353CC}">
                <c16:uniqueId val="{00000007-DB0D-45C1-BCC1-E0780064063B}"/>
              </c:ext>
            </c:extLst>
          </c:dPt>
          <c:dPt>
            <c:idx val="4"/>
            <c:bubble3D val="0"/>
            <c:spPr>
              <a:solidFill>
                <a:srgbClr val="ADBCC7"/>
              </a:solidFill>
              <a:ln w="3175">
                <a:solidFill>
                  <a:schemeClr val="bg1"/>
                </a:solidFill>
              </a:ln>
            </c:spPr>
            <c:extLst>
              <c:ext xmlns:c16="http://schemas.microsoft.com/office/drawing/2014/chart" uri="{C3380CC4-5D6E-409C-BE32-E72D297353CC}">
                <c16:uniqueId val="{00000009-DB0D-45C1-BCC1-E0780064063B}"/>
              </c:ext>
            </c:extLst>
          </c:dPt>
          <c:dPt>
            <c:idx val="5"/>
            <c:bubble3D val="0"/>
            <c:spPr>
              <a:solidFill>
                <a:srgbClr val="B8D9DD"/>
              </a:solidFill>
              <a:ln w="3175">
                <a:solidFill>
                  <a:schemeClr val="bg1"/>
                </a:solidFill>
              </a:ln>
            </c:spPr>
            <c:extLst>
              <c:ext xmlns:c16="http://schemas.microsoft.com/office/drawing/2014/chart" uri="{C3380CC4-5D6E-409C-BE32-E72D297353CC}">
                <c16:uniqueId val="{0000000B-DB0D-45C1-BCC1-E0780064063B}"/>
              </c:ext>
            </c:extLst>
          </c:dPt>
          <c:dLbls>
            <c:dLbl>
              <c:idx val="0"/>
              <c:spPr>
                <a:noFill/>
                <a:ln>
                  <a:noFill/>
                </a:ln>
                <a:effectLst/>
              </c:spPr>
              <c:txPr>
                <a:bodyPr wrap="square" lIns="38100" tIns="19050" rIns="38100" bIns="19050" anchor="ctr">
                  <a:spAutoFit/>
                </a:bodyPr>
                <a:lstStyle/>
                <a:p>
                  <a:pPr>
                    <a:defRPr sz="2000" b="1">
                      <a:ln w="3175">
                        <a:noFill/>
                      </a:ln>
                      <a:solidFill>
                        <a:schemeClr val="bg1"/>
                      </a:solidFill>
                      <a:latin typeface="Raleway" panose="020B0503030101060003" pitchFamily="34" charset="77"/>
                    </a:defRPr>
                  </a:pPr>
                  <a:endParaRPr lang="es-ES"/>
                </a:p>
              </c:txPr>
              <c:showLegendKey val="0"/>
              <c:showVal val="1"/>
              <c:showCatName val="0"/>
              <c:showSerName val="0"/>
              <c:showPercent val="0"/>
              <c:showBubbleSize val="0"/>
              <c:extLst>
                <c:ext xmlns:c16="http://schemas.microsoft.com/office/drawing/2014/chart" uri="{C3380CC4-5D6E-409C-BE32-E72D297353CC}">
                  <c16:uniqueId val="{00000001-DB0D-45C1-BCC1-E0780064063B}"/>
                </c:ext>
              </c:extLst>
            </c:dLbl>
            <c:spPr>
              <a:noFill/>
              <a:ln>
                <a:noFill/>
              </a:ln>
              <a:effectLst/>
            </c:spPr>
            <c:txPr>
              <a:bodyPr wrap="square" lIns="38100" tIns="19050" rIns="38100" bIns="19050" anchor="ctr">
                <a:spAutoFit/>
              </a:bodyPr>
              <a:lstStyle/>
              <a:p>
                <a:pPr>
                  <a:defRPr sz="2000" b="1">
                    <a:ln w="3175">
                      <a:noFill/>
                    </a:ln>
                    <a:solidFill>
                      <a:schemeClr val="tx1"/>
                    </a:solidFill>
                    <a:latin typeface="Raleway" panose="020B0503030101060003" pitchFamily="34" charset="77"/>
                  </a:defRPr>
                </a:pPr>
                <a:endParaRPr lang="es-ES"/>
              </a:p>
            </c:txPr>
            <c:showLegendKey val="0"/>
            <c:showVal val="1"/>
            <c:showCatName val="0"/>
            <c:showSerName val="0"/>
            <c:showPercent val="0"/>
            <c:showBubbleSize val="0"/>
            <c:showLeaderLines val="1"/>
            <c:extLst>
              <c:ext xmlns:c15="http://schemas.microsoft.com/office/drawing/2012/chart" uri="{CE6537A1-D6FC-4f65-9D91-7224C49458BB}"/>
            </c:extLst>
          </c:dLbls>
          <c:cat>
            <c:strRef>
              <c:f>'Data Collection Status'!$B$71:$B$76</c:f>
              <c:strCache>
                <c:ptCount val="6"/>
                <c:pt idx="0">
                  <c:v>Complete</c:v>
                </c:pt>
                <c:pt idx="1">
                  <c:v>Incomplete</c:v>
                </c:pt>
                <c:pt idx="2">
                  <c:v>Pending</c:v>
                </c:pt>
                <c:pt idx="3">
                  <c:v>Not available</c:v>
                </c:pt>
                <c:pt idx="4">
                  <c:v>Not applicable</c:v>
                </c:pt>
                <c:pt idx="5">
                  <c:v>Alternative</c:v>
                </c:pt>
              </c:strCache>
            </c:strRef>
          </c:cat>
          <c:val>
            <c:numRef>
              <c:f>'Data Collection Status'!$D$121:$D$126</c:f>
              <c:numCache>
                <c:formatCode>0</c:formatCode>
                <c:ptCount val="6"/>
                <c:pt idx="0">
                  <c:v>0</c:v>
                </c:pt>
                <c:pt idx="1">
                  <c:v>100</c:v>
                </c:pt>
                <c:pt idx="2">
                  <c:v>0</c:v>
                </c:pt>
                <c:pt idx="3">
                  <c:v>0</c:v>
                </c:pt>
                <c:pt idx="4">
                  <c:v>0</c:v>
                </c:pt>
                <c:pt idx="5">
                  <c:v>0</c:v>
                </c:pt>
              </c:numCache>
            </c:numRef>
          </c:val>
          <c:extLst>
            <c:ext xmlns:c16="http://schemas.microsoft.com/office/drawing/2014/chart" uri="{C3380CC4-5D6E-409C-BE32-E72D297353CC}">
              <c16:uniqueId val="{0000000C-DB0D-45C1-BCC1-E0780064063B}"/>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2.7896995708154501E-2"/>
          <c:y val="0.15071784213668599"/>
          <c:w val="0.232596181045784"/>
          <c:h val="0.77017779673478104"/>
        </c:manualLayout>
      </c:layout>
      <c:overlay val="0"/>
      <c:spPr>
        <a:noFill/>
        <a:ln>
          <a:noFill/>
        </a:ln>
        <a:effectLst/>
      </c:spPr>
      <c:txPr>
        <a:bodyPr rot="0" spcFirstLastPara="1" vertOverflow="ellipsis" vert="horz" wrap="square" anchor="ctr" anchorCtr="1"/>
        <a:lstStyle/>
        <a:p>
          <a:pPr rtl="0">
            <a:defRPr sz="16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showDLblsOverMax val="0"/>
    <c:extLst/>
  </c:chart>
  <c:spPr>
    <a:ln w="9525">
      <a:noFill/>
    </a:ln>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a:latin typeface="Raleway" panose="020B0503030101060003" pitchFamily="34" charset="77"/>
              </a:rPr>
              <a:t>5 Municipal Public Services</a:t>
            </a:r>
            <a:endParaRPr lang="en-US" sz="1600" b="1" baseline="0">
              <a:latin typeface="Raleway" panose="020B0503030101060003" pitchFamily="34" charset="77"/>
            </a:endParaRPr>
          </a:p>
          <a:p>
            <a:pPr>
              <a:defRPr sz="1600" b="1">
                <a:latin typeface="Raleway" panose="020B0503030101060003" pitchFamily="34" charset="77"/>
              </a:defRPr>
            </a:pPr>
            <a:r>
              <a:rPr lang="en-US" sz="1600" b="1" baseline="0">
                <a:latin typeface="Raleway" panose="020B0503030101060003" pitchFamily="34" charset="77"/>
              </a:rPr>
              <a:t>Benchmarking (%)</a:t>
            </a:r>
            <a:endParaRPr lang="en-US" sz="1600" b="1">
              <a:latin typeface="Raleway" panose="020B0503030101060003" pitchFamily="34" charset="77"/>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endParaRPr lang="es-ES"/>
        </a:p>
      </c:txPr>
    </c:title>
    <c:autoTitleDeleted val="0"/>
    <c:plotArea>
      <c:layout/>
      <c:pieChart>
        <c:varyColors val="1"/>
        <c:ser>
          <c:idx val="0"/>
          <c:order val="0"/>
          <c:dPt>
            <c:idx val="0"/>
            <c:bubble3D val="0"/>
            <c:spPr>
              <a:solidFill>
                <a:srgbClr val="1BAD9A"/>
              </a:solidFill>
              <a:ln w="19050">
                <a:solidFill>
                  <a:schemeClr val="lt1"/>
                </a:solidFill>
              </a:ln>
              <a:effectLst/>
            </c:spPr>
            <c:extLst>
              <c:ext xmlns:c16="http://schemas.microsoft.com/office/drawing/2014/chart" uri="{C3380CC4-5D6E-409C-BE32-E72D297353CC}">
                <c16:uniqueId val="{00000001-2FDA-471D-B746-5CFC8542E862}"/>
              </c:ext>
            </c:extLst>
          </c:dPt>
          <c:dPt>
            <c:idx val="1"/>
            <c:bubble3D val="0"/>
            <c:spPr>
              <a:solidFill>
                <a:srgbClr val="FFDE52"/>
              </a:solidFill>
              <a:ln w="19050">
                <a:solidFill>
                  <a:schemeClr val="lt1"/>
                </a:solidFill>
              </a:ln>
              <a:effectLst/>
            </c:spPr>
            <c:extLst>
              <c:ext xmlns:c16="http://schemas.microsoft.com/office/drawing/2014/chart" uri="{C3380CC4-5D6E-409C-BE32-E72D297353CC}">
                <c16:uniqueId val="{00000003-2FDA-471D-B746-5CFC8542E862}"/>
              </c:ext>
            </c:extLst>
          </c:dPt>
          <c:dPt>
            <c:idx val="2"/>
            <c:bubble3D val="0"/>
            <c:spPr>
              <a:solidFill>
                <a:srgbClr val="F79948"/>
              </a:solidFill>
              <a:ln w="19050">
                <a:solidFill>
                  <a:schemeClr val="lt1"/>
                </a:solidFill>
              </a:ln>
              <a:effectLst/>
            </c:spPr>
            <c:extLst>
              <c:ext xmlns:c16="http://schemas.microsoft.com/office/drawing/2014/chart" uri="{C3380CC4-5D6E-409C-BE32-E72D297353CC}">
                <c16:uniqueId val="{00000005-2FDA-471D-B746-5CFC8542E862}"/>
              </c:ext>
            </c:extLst>
          </c:dPt>
          <c:dPt>
            <c:idx val="3"/>
            <c:bubble3D val="0"/>
            <c:spPr>
              <a:solidFill>
                <a:srgbClr val="E04B44"/>
              </a:solidFill>
              <a:ln w="19050">
                <a:solidFill>
                  <a:schemeClr val="lt1"/>
                </a:solidFill>
              </a:ln>
              <a:effectLst/>
            </c:spPr>
            <c:extLst>
              <c:ext xmlns:c16="http://schemas.microsoft.com/office/drawing/2014/chart" uri="{C3380CC4-5D6E-409C-BE32-E72D297353CC}">
                <c16:uniqueId val="{00000007-2FDA-471D-B746-5CFC8542E862}"/>
              </c:ext>
            </c:extLst>
          </c:dPt>
          <c:dPt>
            <c:idx val="4"/>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9-2FDA-471D-B746-5CFC8542E862}"/>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2FDA-471D-B746-5CFC8542E862}"/>
              </c:ext>
            </c:extLst>
          </c:dPt>
          <c:dPt>
            <c:idx val="6"/>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D-2FDA-471D-B746-5CFC8542E862}"/>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Raleway" panose="020B0503030101060003" pitchFamily="34" charset="77"/>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'Benchmark Status'!$B$9:$B$15</c:f>
              <c:strCache>
                <c:ptCount val="7"/>
                <c:pt idx="0">
                  <c:v>Green</c:v>
                </c:pt>
                <c:pt idx="1">
                  <c:v>Yellow</c:v>
                </c:pt>
                <c:pt idx="2">
                  <c:v>Orange</c:v>
                </c:pt>
                <c:pt idx="3">
                  <c:v>Red</c:v>
                </c:pt>
                <c:pt idx="4">
                  <c:v>Qualitative</c:v>
                </c:pt>
                <c:pt idx="5">
                  <c:v>Not Available</c:v>
                </c:pt>
                <c:pt idx="6">
                  <c:v>Not Applicable</c:v>
                </c:pt>
              </c:strCache>
            </c:strRef>
          </c:cat>
          <c:val>
            <c:numRef>
              <c:f>'Benchmark Status'!$D$9:$D$15</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2FDA-471D-B746-5CFC8542E862}"/>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2.3248851803409298E-2"/>
          <c:y val="0.116318795568587"/>
          <c:w val="0.241730352134268"/>
          <c:h val="0.80034776902887095"/>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a:latin typeface="Raleway" panose="020B0503030101060003" pitchFamily="34" charset="77"/>
              </a:rPr>
              <a:t>5.1 Public Works</a:t>
            </a:r>
          </a:p>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baseline="0">
                <a:latin typeface="Raleway" panose="020B0503030101060003" pitchFamily="34" charset="77"/>
              </a:rPr>
              <a:t>Benchmarking (%)</a:t>
            </a:r>
            <a:endParaRPr lang="en-US" sz="1600" b="1">
              <a:latin typeface="Raleway" panose="020B0503030101060003" pitchFamily="34" charset="77"/>
            </a:endParaRPr>
          </a:p>
        </c:rich>
      </c:tx>
      <c:overlay val="0"/>
      <c:spPr>
        <a:noFill/>
        <a:ln>
          <a:noFill/>
        </a:ln>
        <a:effectLst/>
      </c:spPr>
    </c:title>
    <c:autoTitleDeleted val="0"/>
    <c:plotArea>
      <c:layout/>
      <c:pieChart>
        <c:varyColors val="1"/>
        <c:ser>
          <c:idx val="0"/>
          <c:order val="0"/>
          <c:dPt>
            <c:idx val="0"/>
            <c:bubble3D val="0"/>
            <c:spPr>
              <a:solidFill>
                <a:srgbClr val="1BAD9A"/>
              </a:solidFill>
              <a:ln w="19050">
                <a:solidFill>
                  <a:schemeClr val="lt1"/>
                </a:solidFill>
              </a:ln>
              <a:effectLst/>
            </c:spPr>
            <c:extLst>
              <c:ext xmlns:c16="http://schemas.microsoft.com/office/drawing/2014/chart" uri="{C3380CC4-5D6E-409C-BE32-E72D297353CC}">
                <c16:uniqueId val="{00000001-7B88-4955-B86E-BF4E8F1FFA61}"/>
              </c:ext>
            </c:extLst>
          </c:dPt>
          <c:dPt>
            <c:idx val="1"/>
            <c:bubble3D val="0"/>
            <c:spPr>
              <a:solidFill>
                <a:srgbClr val="FFDE52"/>
              </a:solidFill>
              <a:ln w="19050">
                <a:solidFill>
                  <a:schemeClr val="lt1"/>
                </a:solidFill>
              </a:ln>
              <a:effectLst/>
            </c:spPr>
            <c:extLst>
              <c:ext xmlns:c16="http://schemas.microsoft.com/office/drawing/2014/chart" uri="{C3380CC4-5D6E-409C-BE32-E72D297353CC}">
                <c16:uniqueId val="{00000003-7B88-4955-B86E-BF4E8F1FFA61}"/>
              </c:ext>
            </c:extLst>
          </c:dPt>
          <c:dPt>
            <c:idx val="2"/>
            <c:bubble3D val="0"/>
            <c:spPr>
              <a:solidFill>
                <a:srgbClr val="F79948"/>
              </a:solidFill>
              <a:ln w="19050">
                <a:solidFill>
                  <a:schemeClr val="lt1"/>
                </a:solidFill>
              </a:ln>
              <a:effectLst/>
            </c:spPr>
            <c:extLst>
              <c:ext xmlns:c16="http://schemas.microsoft.com/office/drawing/2014/chart" uri="{C3380CC4-5D6E-409C-BE32-E72D297353CC}">
                <c16:uniqueId val="{00000005-7B88-4955-B86E-BF4E8F1FFA61}"/>
              </c:ext>
            </c:extLst>
          </c:dPt>
          <c:dPt>
            <c:idx val="3"/>
            <c:bubble3D val="0"/>
            <c:spPr>
              <a:solidFill>
                <a:srgbClr val="E04B44"/>
              </a:solidFill>
              <a:ln w="19050">
                <a:solidFill>
                  <a:schemeClr val="lt1"/>
                </a:solidFill>
              </a:ln>
              <a:effectLst/>
            </c:spPr>
            <c:extLst>
              <c:ext xmlns:c16="http://schemas.microsoft.com/office/drawing/2014/chart" uri="{C3380CC4-5D6E-409C-BE32-E72D297353CC}">
                <c16:uniqueId val="{00000007-7B88-4955-B86E-BF4E8F1FFA61}"/>
              </c:ext>
            </c:extLst>
          </c:dPt>
          <c:dPt>
            <c:idx val="4"/>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9-7B88-4955-B86E-BF4E8F1FFA61}"/>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7B88-4955-B86E-BF4E8F1FFA61}"/>
              </c:ext>
            </c:extLst>
          </c:dPt>
          <c:dPt>
            <c:idx val="6"/>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D-7B88-4955-B86E-BF4E8F1FFA61}"/>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Raleway" panose="020B0503030101060003" pitchFamily="34" charset="77"/>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'Benchmark Status'!$B$35:$B$41</c:f>
              <c:strCache>
                <c:ptCount val="7"/>
                <c:pt idx="0">
                  <c:v>Green</c:v>
                </c:pt>
                <c:pt idx="1">
                  <c:v>Yellow</c:v>
                </c:pt>
                <c:pt idx="2">
                  <c:v>Orange</c:v>
                </c:pt>
                <c:pt idx="3">
                  <c:v>Red</c:v>
                </c:pt>
                <c:pt idx="4">
                  <c:v>Qualitative</c:v>
                </c:pt>
                <c:pt idx="5">
                  <c:v>Not Available</c:v>
                </c:pt>
                <c:pt idx="6">
                  <c:v>Not Applicable</c:v>
                </c:pt>
              </c:strCache>
            </c:strRef>
          </c:cat>
          <c:val>
            <c:numRef>
              <c:f>'Benchmark Status'!$D$35:$D$41</c:f>
              <c:numCache>
                <c:formatCode>0</c:formatCode>
                <c:ptCount val="7"/>
                <c:pt idx="0">
                  <c:v>0</c:v>
                </c:pt>
                <c:pt idx="1">
                  <c:v>0</c:v>
                </c:pt>
                <c:pt idx="2">
                  <c:v>0</c:v>
                </c:pt>
                <c:pt idx="3">
                  <c:v>16.666666666666668</c:v>
                </c:pt>
                <c:pt idx="4">
                  <c:v>0</c:v>
                </c:pt>
                <c:pt idx="5">
                  <c:v>0</c:v>
                </c:pt>
                <c:pt idx="6">
                  <c:v>0</c:v>
                </c:pt>
              </c:numCache>
            </c:numRef>
          </c:val>
          <c:extLst>
            <c:ext xmlns:c16="http://schemas.microsoft.com/office/drawing/2014/chart" uri="{C3380CC4-5D6E-409C-BE32-E72D297353CC}">
              <c16:uniqueId val="{0000000E-7B88-4955-B86E-BF4E8F1FFA61}"/>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2.3248851803409298E-2"/>
          <c:y val="0.116318795568587"/>
          <c:w val="0.241730352134268"/>
          <c:h val="0.80034776902887095"/>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a:latin typeface="Raleway" panose="020B0503030101060003" pitchFamily="34" charset="77"/>
              </a:rPr>
              <a:t>5.3 Community Welfare</a:t>
            </a:r>
          </a:p>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baseline="0">
                <a:latin typeface="Raleway" panose="020B0503030101060003" pitchFamily="34" charset="77"/>
              </a:rPr>
              <a:t>Benchmarking (%)</a:t>
            </a:r>
            <a:endParaRPr lang="en-US" sz="1600" b="1">
              <a:latin typeface="Raleway" panose="020B0503030101060003" pitchFamily="34" charset="77"/>
            </a:endParaRPr>
          </a:p>
        </c:rich>
      </c:tx>
      <c:overlay val="0"/>
      <c:spPr>
        <a:noFill/>
        <a:ln>
          <a:noFill/>
        </a:ln>
        <a:effectLst/>
      </c:spPr>
    </c:title>
    <c:autoTitleDeleted val="0"/>
    <c:plotArea>
      <c:layout/>
      <c:pieChart>
        <c:varyColors val="1"/>
        <c:ser>
          <c:idx val="0"/>
          <c:order val="0"/>
          <c:dPt>
            <c:idx val="0"/>
            <c:bubble3D val="0"/>
            <c:spPr>
              <a:solidFill>
                <a:srgbClr val="1BAD9A"/>
              </a:solidFill>
              <a:ln w="19050">
                <a:solidFill>
                  <a:schemeClr val="lt1"/>
                </a:solidFill>
              </a:ln>
              <a:effectLst/>
            </c:spPr>
            <c:extLst>
              <c:ext xmlns:c16="http://schemas.microsoft.com/office/drawing/2014/chart" uri="{C3380CC4-5D6E-409C-BE32-E72D297353CC}">
                <c16:uniqueId val="{00000001-6479-4326-9172-13172232C56A}"/>
              </c:ext>
            </c:extLst>
          </c:dPt>
          <c:dPt>
            <c:idx val="1"/>
            <c:bubble3D val="0"/>
            <c:spPr>
              <a:solidFill>
                <a:srgbClr val="FFDE52"/>
              </a:solidFill>
              <a:ln w="19050">
                <a:solidFill>
                  <a:schemeClr val="lt1"/>
                </a:solidFill>
              </a:ln>
              <a:effectLst/>
            </c:spPr>
            <c:extLst>
              <c:ext xmlns:c16="http://schemas.microsoft.com/office/drawing/2014/chart" uri="{C3380CC4-5D6E-409C-BE32-E72D297353CC}">
                <c16:uniqueId val="{00000003-6479-4326-9172-13172232C56A}"/>
              </c:ext>
            </c:extLst>
          </c:dPt>
          <c:dPt>
            <c:idx val="2"/>
            <c:bubble3D val="0"/>
            <c:spPr>
              <a:solidFill>
                <a:srgbClr val="F79948"/>
              </a:solidFill>
              <a:ln w="19050">
                <a:solidFill>
                  <a:schemeClr val="lt1"/>
                </a:solidFill>
              </a:ln>
              <a:effectLst/>
            </c:spPr>
            <c:extLst>
              <c:ext xmlns:c16="http://schemas.microsoft.com/office/drawing/2014/chart" uri="{C3380CC4-5D6E-409C-BE32-E72D297353CC}">
                <c16:uniqueId val="{00000005-6479-4326-9172-13172232C56A}"/>
              </c:ext>
            </c:extLst>
          </c:dPt>
          <c:dPt>
            <c:idx val="3"/>
            <c:bubble3D val="0"/>
            <c:spPr>
              <a:solidFill>
                <a:srgbClr val="E04B44"/>
              </a:solidFill>
              <a:ln w="19050">
                <a:solidFill>
                  <a:schemeClr val="lt1"/>
                </a:solidFill>
              </a:ln>
              <a:effectLst/>
            </c:spPr>
            <c:extLst>
              <c:ext xmlns:c16="http://schemas.microsoft.com/office/drawing/2014/chart" uri="{C3380CC4-5D6E-409C-BE32-E72D297353CC}">
                <c16:uniqueId val="{00000007-6479-4326-9172-13172232C56A}"/>
              </c:ext>
            </c:extLst>
          </c:dPt>
          <c:dPt>
            <c:idx val="4"/>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9-6479-4326-9172-13172232C56A}"/>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6479-4326-9172-13172232C56A}"/>
              </c:ext>
            </c:extLst>
          </c:dPt>
          <c:dPt>
            <c:idx val="6"/>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D-6479-4326-9172-13172232C56A}"/>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Raleway" panose="020B0503030101060003" pitchFamily="34" charset="77"/>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'Benchmark Status'!$B$35:$B$41</c:f>
              <c:strCache>
                <c:ptCount val="7"/>
                <c:pt idx="0">
                  <c:v>Green</c:v>
                </c:pt>
                <c:pt idx="1">
                  <c:v>Yellow</c:v>
                </c:pt>
                <c:pt idx="2">
                  <c:v>Orange</c:v>
                </c:pt>
                <c:pt idx="3">
                  <c:v>Red</c:v>
                </c:pt>
                <c:pt idx="4">
                  <c:v>Qualitative</c:v>
                </c:pt>
                <c:pt idx="5">
                  <c:v>Not Available</c:v>
                </c:pt>
                <c:pt idx="6">
                  <c:v>Not Applicable</c:v>
                </c:pt>
              </c:strCache>
            </c:strRef>
          </c:cat>
          <c:val>
            <c:numRef>
              <c:f>'Benchmark Status'!$D$65:$D$71</c:f>
              <c:numCache>
                <c:formatCode>0</c:formatCode>
                <c:ptCount val="7"/>
                <c:pt idx="0">
                  <c:v>0</c:v>
                </c:pt>
                <c:pt idx="1">
                  <c:v>0</c:v>
                </c:pt>
                <c:pt idx="2">
                  <c:v>0</c:v>
                </c:pt>
                <c:pt idx="3">
                  <c:v>25</c:v>
                </c:pt>
                <c:pt idx="4">
                  <c:v>0</c:v>
                </c:pt>
                <c:pt idx="5">
                  <c:v>0</c:v>
                </c:pt>
                <c:pt idx="6">
                  <c:v>0</c:v>
                </c:pt>
              </c:numCache>
            </c:numRef>
          </c:val>
          <c:extLst>
            <c:ext xmlns:c16="http://schemas.microsoft.com/office/drawing/2014/chart" uri="{C3380CC4-5D6E-409C-BE32-E72D297353CC}">
              <c16:uniqueId val="{0000000E-6479-4326-9172-13172232C56A}"/>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2.3248851803409298E-2"/>
          <c:y val="0.116318795568587"/>
          <c:w val="0.241730352134268"/>
          <c:h val="0.80034776902887095"/>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a:latin typeface="Raleway" panose="020B0503030101060003" pitchFamily="34" charset="77"/>
              </a:rPr>
              <a:t>5.2 Permits, Monitoring and Inspection</a:t>
            </a:r>
          </a:p>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baseline="0">
                <a:latin typeface="Raleway" panose="020B0503030101060003" pitchFamily="34" charset="77"/>
              </a:rPr>
              <a:t>Benchmarking (%)</a:t>
            </a:r>
            <a:endParaRPr lang="en-US" sz="1600" b="1">
              <a:latin typeface="Raleway" panose="020B0503030101060003" pitchFamily="34" charset="77"/>
            </a:endParaRPr>
          </a:p>
        </c:rich>
      </c:tx>
      <c:overlay val="0"/>
      <c:spPr>
        <a:noFill/>
        <a:ln>
          <a:noFill/>
        </a:ln>
        <a:effectLst/>
      </c:spPr>
    </c:title>
    <c:autoTitleDeleted val="0"/>
    <c:plotArea>
      <c:layout/>
      <c:pieChart>
        <c:varyColors val="1"/>
        <c:ser>
          <c:idx val="0"/>
          <c:order val="0"/>
          <c:dPt>
            <c:idx val="0"/>
            <c:bubble3D val="0"/>
            <c:spPr>
              <a:solidFill>
                <a:srgbClr val="1BAD9A"/>
              </a:solidFill>
              <a:ln w="19050">
                <a:solidFill>
                  <a:schemeClr val="lt1"/>
                </a:solidFill>
              </a:ln>
              <a:effectLst/>
            </c:spPr>
            <c:extLst>
              <c:ext xmlns:c16="http://schemas.microsoft.com/office/drawing/2014/chart" uri="{C3380CC4-5D6E-409C-BE32-E72D297353CC}">
                <c16:uniqueId val="{00000001-F5A2-4DA2-A2B4-FFB4085A0A88}"/>
              </c:ext>
            </c:extLst>
          </c:dPt>
          <c:dPt>
            <c:idx val="1"/>
            <c:bubble3D val="0"/>
            <c:spPr>
              <a:solidFill>
                <a:srgbClr val="FFDE52"/>
              </a:solidFill>
              <a:ln w="19050">
                <a:solidFill>
                  <a:schemeClr val="lt1"/>
                </a:solidFill>
              </a:ln>
              <a:effectLst/>
            </c:spPr>
            <c:extLst>
              <c:ext xmlns:c16="http://schemas.microsoft.com/office/drawing/2014/chart" uri="{C3380CC4-5D6E-409C-BE32-E72D297353CC}">
                <c16:uniqueId val="{00000003-F5A2-4DA2-A2B4-FFB4085A0A88}"/>
              </c:ext>
            </c:extLst>
          </c:dPt>
          <c:dPt>
            <c:idx val="2"/>
            <c:bubble3D val="0"/>
            <c:spPr>
              <a:solidFill>
                <a:srgbClr val="F79948"/>
              </a:solidFill>
              <a:ln w="19050">
                <a:solidFill>
                  <a:schemeClr val="lt1"/>
                </a:solidFill>
              </a:ln>
              <a:effectLst/>
            </c:spPr>
            <c:extLst>
              <c:ext xmlns:c16="http://schemas.microsoft.com/office/drawing/2014/chart" uri="{C3380CC4-5D6E-409C-BE32-E72D297353CC}">
                <c16:uniqueId val="{00000005-F5A2-4DA2-A2B4-FFB4085A0A88}"/>
              </c:ext>
            </c:extLst>
          </c:dPt>
          <c:dPt>
            <c:idx val="3"/>
            <c:bubble3D val="0"/>
            <c:spPr>
              <a:solidFill>
                <a:srgbClr val="E04B44"/>
              </a:solidFill>
              <a:ln w="19050">
                <a:solidFill>
                  <a:schemeClr val="lt1"/>
                </a:solidFill>
              </a:ln>
              <a:effectLst/>
            </c:spPr>
            <c:extLst>
              <c:ext xmlns:c16="http://schemas.microsoft.com/office/drawing/2014/chart" uri="{C3380CC4-5D6E-409C-BE32-E72D297353CC}">
                <c16:uniqueId val="{00000007-F5A2-4DA2-A2B4-FFB4085A0A88}"/>
              </c:ext>
            </c:extLst>
          </c:dPt>
          <c:dPt>
            <c:idx val="4"/>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9-F5A2-4DA2-A2B4-FFB4085A0A88}"/>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F5A2-4DA2-A2B4-FFB4085A0A88}"/>
              </c:ext>
            </c:extLst>
          </c:dPt>
          <c:dPt>
            <c:idx val="6"/>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D-F5A2-4DA2-A2B4-FFB4085A0A88}"/>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Raleway" panose="020B0503030101060003" pitchFamily="34" charset="77"/>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'Benchmark Status'!$B$35:$B$41</c:f>
              <c:strCache>
                <c:ptCount val="7"/>
                <c:pt idx="0">
                  <c:v>Green</c:v>
                </c:pt>
                <c:pt idx="1">
                  <c:v>Yellow</c:v>
                </c:pt>
                <c:pt idx="2">
                  <c:v>Orange</c:v>
                </c:pt>
                <c:pt idx="3">
                  <c:v>Red</c:v>
                </c:pt>
                <c:pt idx="4">
                  <c:v>Qualitative</c:v>
                </c:pt>
                <c:pt idx="5">
                  <c:v>Not Available</c:v>
                </c:pt>
                <c:pt idx="6">
                  <c:v>Not Applicable</c:v>
                </c:pt>
              </c:strCache>
            </c:strRef>
          </c:cat>
          <c:val>
            <c:numRef>
              <c:f>'Benchmark Status'!$D$50:$D$56</c:f>
              <c:numCache>
                <c:formatCode>0</c:formatCode>
                <c:ptCount val="7"/>
                <c:pt idx="0">
                  <c:v>0</c:v>
                </c:pt>
                <c:pt idx="1">
                  <c:v>0</c:v>
                </c:pt>
                <c:pt idx="2">
                  <c:v>0</c:v>
                </c:pt>
                <c:pt idx="3">
                  <c:v>4.166666666666667</c:v>
                </c:pt>
                <c:pt idx="4">
                  <c:v>0</c:v>
                </c:pt>
                <c:pt idx="5">
                  <c:v>0</c:v>
                </c:pt>
                <c:pt idx="6">
                  <c:v>0</c:v>
                </c:pt>
              </c:numCache>
            </c:numRef>
          </c:val>
          <c:extLst>
            <c:ext xmlns:c16="http://schemas.microsoft.com/office/drawing/2014/chart" uri="{C3380CC4-5D6E-409C-BE32-E72D297353CC}">
              <c16:uniqueId val="{0000000E-F5A2-4DA2-A2B4-FFB4085A0A88}"/>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
          <c:y val="0.1983422642397081"/>
          <c:w val="0.241730352134268"/>
          <c:h val="0.80034776902887095"/>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a:latin typeface="Raleway" panose="020B0503030101060003" pitchFamily="34" charset="77"/>
              </a:rPr>
              <a:t>5.4 Local Public Security and Law Enforcement</a:t>
            </a:r>
          </a:p>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baseline="0">
                <a:latin typeface="Raleway" panose="020B0503030101060003" pitchFamily="34" charset="77"/>
              </a:rPr>
              <a:t>Benchmarking (%)</a:t>
            </a:r>
            <a:endParaRPr lang="en-US" sz="1600" b="1">
              <a:latin typeface="Raleway" panose="020B0503030101060003" pitchFamily="34" charset="77"/>
            </a:endParaRPr>
          </a:p>
        </c:rich>
      </c:tx>
      <c:overlay val="0"/>
      <c:spPr>
        <a:noFill/>
        <a:ln>
          <a:noFill/>
        </a:ln>
        <a:effectLst/>
      </c:spPr>
    </c:title>
    <c:autoTitleDeleted val="0"/>
    <c:plotArea>
      <c:layout/>
      <c:pieChart>
        <c:varyColors val="1"/>
        <c:ser>
          <c:idx val="0"/>
          <c:order val="0"/>
          <c:dPt>
            <c:idx val="0"/>
            <c:bubble3D val="0"/>
            <c:spPr>
              <a:solidFill>
                <a:srgbClr val="1BAD9A"/>
              </a:solidFill>
              <a:ln w="19050">
                <a:solidFill>
                  <a:schemeClr val="lt1"/>
                </a:solidFill>
              </a:ln>
              <a:effectLst/>
            </c:spPr>
            <c:extLst>
              <c:ext xmlns:c16="http://schemas.microsoft.com/office/drawing/2014/chart" uri="{C3380CC4-5D6E-409C-BE32-E72D297353CC}">
                <c16:uniqueId val="{00000001-BC1D-4AA2-9BE9-D17AE8449F40}"/>
              </c:ext>
            </c:extLst>
          </c:dPt>
          <c:dPt>
            <c:idx val="1"/>
            <c:bubble3D val="0"/>
            <c:spPr>
              <a:solidFill>
                <a:srgbClr val="FFDE52"/>
              </a:solidFill>
              <a:ln w="19050">
                <a:solidFill>
                  <a:schemeClr val="lt1"/>
                </a:solidFill>
              </a:ln>
              <a:effectLst/>
            </c:spPr>
            <c:extLst>
              <c:ext xmlns:c16="http://schemas.microsoft.com/office/drawing/2014/chart" uri="{C3380CC4-5D6E-409C-BE32-E72D297353CC}">
                <c16:uniqueId val="{00000003-BC1D-4AA2-9BE9-D17AE8449F40}"/>
              </c:ext>
            </c:extLst>
          </c:dPt>
          <c:dPt>
            <c:idx val="2"/>
            <c:bubble3D val="0"/>
            <c:spPr>
              <a:solidFill>
                <a:srgbClr val="F79948"/>
              </a:solidFill>
              <a:ln w="19050">
                <a:solidFill>
                  <a:schemeClr val="lt1"/>
                </a:solidFill>
              </a:ln>
              <a:effectLst/>
            </c:spPr>
            <c:extLst>
              <c:ext xmlns:c16="http://schemas.microsoft.com/office/drawing/2014/chart" uri="{C3380CC4-5D6E-409C-BE32-E72D297353CC}">
                <c16:uniqueId val="{00000005-BC1D-4AA2-9BE9-D17AE8449F40}"/>
              </c:ext>
            </c:extLst>
          </c:dPt>
          <c:dPt>
            <c:idx val="3"/>
            <c:bubble3D val="0"/>
            <c:spPr>
              <a:solidFill>
                <a:srgbClr val="E04B44"/>
              </a:solidFill>
              <a:ln w="19050">
                <a:solidFill>
                  <a:schemeClr val="lt1"/>
                </a:solidFill>
              </a:ln>
              <a:effectLst/>
            </c:spPr>
            <c:extLst>
              <c:ext xmlns:c16="http://schemas.microsoft.com/office/drawing/2014/chart" uri="{C3380CC4-5D6E-409C-BE32-E72D297353CC}">
                <c16:uniqueId val="{00000007-BC1D-4AA2-9BE9-D17AE8449F40}"/>
              </c:ext>
            </c:extLst>
          </c:dPt>
          <c:dPt>
            <c:idx val="4"/>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9-BC1D-4AA2-9BE9-D17AE8449F40}"/>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BC1D-4AA2-9BE9-D17AE8449F40}"/>
              </c:ext>
            </c:extLst>
          </c:dPt>
          <c:dPt>
            <c:idx val="6"/>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D-BC1D-4AA2-9BE9-D17AE8449F4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Raleway" panose="020B0503030101060003" pitchFamily="34" charset="77"/>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'Benchmark Status'!$B$35:$B$41</c:f>
              <c:strCache>
                <c:ptCount val="7"/>
                <c:pt idx="0">
                  <c:v>Green</c:v>
                </c:pt>
                <c:pt idx="1">
                  <c:v>Yellow</c:v>
                </c:pt>
                <c:pt idx="2">
                  <c:v>Orange</c:v>
                </c:pt>
                <c:pt idx="3">
                  <c:v>Red</c:v>
                </c:pt>
                <c:pt idx="4">
                  <c:v>Qualitative</c:v>
                </c:pt>
                <c:pt idx="5">
                  <c:v>Not Available</c:v>
                </c:pt>
                <c:pt idx="6">
                  <c:v>Not Applicable</c:v>
                </c:pt>
              </c:strCache>
            </c:strRef>
          </c:cat>
          <c:val>
            <c:numRef>
              <c:f>'Benchmark Status'!$D$65:$D$71</c:f>
              <c:numCache>
                <c:formatCode>0</c:formatCode>
                <c:ptCount val="7"/>
                <c:pt idx="0">
                  <c:v>0</c:v>
                </c:pt>
                <c:pt idx="1">
                  <c:v>0</c:v>
                </c:pt>
                <c:pt idx="2">
                  <c:v>0</c:v>
                </c:pt>
                <c:pt idx="3">
                  <c:v>25</c:v>
                </c:pt>
                <c:pt idx="4">
                  <c:v>0</c:v>
                </c:pt>
                <c:pt idx="5">
                  <c:v>0</c:v>
                </c:pt>
                <c:pt idx="6">
                  <c:v>0</c:v>
                </c:pt>
              </c:numCache>
            </c:numRef>
          </c:val>
          <c:extLst>
            <c:ext xmlns:c16="http://schemas.microsoft.com/office/drawing/2014/chart" uri="{C3380CC4-5D6E-409C-BE32-E72D297353CC}">
              <c16:uniqueId val="{0000000E-BC1D-4AA2-9BE9-D17AE8449F40}"/>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2.3248851803409298E-2"/>
          <c:y val="0.116318795568587"/>
          <c:w val="0.241730352134268"/>
          <c:h val="0.80034776902887095"/>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a:latin typeface="Raleway" panose="020B0503030101060003" pitchFamily="34" charset="77"/>
              </a:rPr>
              <a:t>5.5 Emergency &amp; Rescue Services</a:t>
            </a:r>
          </a:p>
          <a:p>
            <a:pPr>
              <a:defRPr sz="1600" b="1" i="0" u="none" strike="noStrike" kern="1200" spc="0" baseline="0">
                <a:solidFill>
                  <a:schemeClr val="tx1">
                    <a:lumMod val="65000"/>
                    <a:lumOff val="35000"/>
                  </a:schemeClr>
                </a:solidFill>
                <a:latin typeface="Raleway" panose="020B0503030101060003" pitchFamily="34" charset="77"/>
                <a:ea typeface="+mn-ea"/>
                <a:cs typeface="+mn-cs"/>
              </a:defRPr>
            </a:pPr>
            <a:r>
              <a:rPr lang="en-US" sz="1600" b="1" baseline="0">
                <a:latin typeface="Raleway" panose="020B0503030101060003" pitchFamily="34" charset="77"/>
              </a:rPr>
              <a:t>Benchmarking (%)</a:t>
            </a:r>
            <a:endParaRPr lang="en-US" sz="1600" b="1">
              <a:latin typeface="Raleway" panose="020B0503030101060003" pitchFamily="34" charset="77"/>
            </a:endParaRPr>
          </a:p>
        </c:rich>
      </c:tx>
      <c:overlay val="0"/>
      <c:spPr>
        <a:noFill/>
        <a:ln>
          <a:noFill/>
        </a:ln>
        <a:effectLst/>
      </c:spPr>
    </c:title>
    <c:autoTitleDeleted val="0"/>
    <c:plotArea>
      <c:layout/>
      <c:pieChart>
        <c:varyColors val="1"/>
        <c:ser>
          <c:idx val="0"/>
          <c:order val="0"/>
          <c:dPt>
            <c:idx val="0"/>
            <c:bubble3D val="0"/>
            <c:spPr>
              <a:solidFill>
                <a:srgbClr val="1BAD9A"/>
              </a:solidFill>
              <a:ln w="19050">
                <a:solidFill>
                  <a:schemeClr val="lt1"/>
                </a:solidFill>
              </a:ln>
              <a:effectLst/>
            </c:spPr>
            <c:extLst>
              <c:ext xmlns:c16="http://schemas.microsoft.com/office/drawing/2014/chart" uri="{C3380CC4-5D6E-409C-BE32-E72D297353CC}">
                <c16:uniqueId val="{00000001-55A6-433A-9BB0-2F4CA4583C8C}"/>
              </c:ext>
            </c:extLst>
          </c:dPt>
          <c:dPt>
            <c:idx val="1"/>
            <c:bubble3D val="0"/>
            <c:spPr>
              <a:solidFill>
                <a:srgbClr val="FFDE52"/>
              </a:solidFill>
              <a:ln w="19050">
                <a:solidFill>
                  <a:schemeClr val="lt1"/>
                </a:solidFill>
              </a:ln>
              <a:effectLst/>
            </c:spPr>
            <c:extLst>
              <c:ext xmlns:c16="http://schemas.microsoft.com/office/drawing/2014/chart" uri="{C3380CC4-5D6E-409C-BE32-E72D297353CC}">
                <c16:uniqueId val="{00000003-55A6-433A-9BB0-2F4CA4583C8C}"/>
              </c:ext>
            </c:extLst>
          </c:dPt>
          <c:dPt>
            <c:idx val="2"/>
            <c:bubble3D val="0"/>
            <c:spPr>
              <a:solidFill>
                <a:srgbClr val="F79948"/>
              </a:solidFill>
              <a:ln w="19050">
                <a:solidFill>
                  <a:schemeClr val="lt1"/>
                </a:solidFill>
              </a:ln>
              <a:effectLst/>
            </c:spPr>
            <c:extLst>
              <c:ext xmlns:c16="http://schemas.microsoft.com/office/drawing/2014/chart" uri="{C3380CC4-5D6E-409C-BE32-E72D297353CC}">
                <c16:uniqueId val="{00000005-55A6-433A-9BB0-2F4CA4583C8C}"/>
              </c:ext>
            </c:extLst>
          </c:dPt>
          <c:dPt>
            <c:idx val="3"/>
            <c:bubble3D val="0"/>
            <c:spPr>
              <a:solidFill>
                <a:srgbClr val="E04B44"/>
              </a:solidFill>
              <a:ln w="19050">
                <a:solidFill>
                  <a:schemeClr val="lt1"/>
                </a:solidFill>
              </a:ln>
              <a:effectLst/>
            </c:spPr>
            <c:extLst>
              <c:ext xmlns:c16="http://schemas.microsoft.com/office/drawing/2014/chart" uri="{C3380CC4-5D6E-409C-BE32-E72D297353CC}">
                <c16:uniqueId val="{00000007-55A6-433A-9BB0-2F4CA4583C8C}"/>
              </c:ext>
            </c:extLst>
          </c:dPt>
          <c:dPt>
            <c:idx val="4"/>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9-55A6-433A-9BB0-2F4CA4583C8C}"/>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55A6-433A-9BB0-2F4CA4583C8C}"/>
              </c:ext>
            </c:extLst>
          </c:dPt>
          <c:dPt>
            <c:idx val="6"/>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D-55A6-433A-9BB0-2F4CA4583C8C}"/>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Raleway" panose="020B0503030101060003" pitchFamily="34" charset="77"/>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'Benchmark Status'!$B$35:$B$41</c:f>
              <c:strCache>
                <c:ptCount val="7"/>
                <c:pt idx="0">
                  <c:v>Green</c:v>
                </c:pt>
                <c:pt idx="1">
                  <c:v>Yellow</c:v>
                </c:pt>
                <c:pt idx="2">
                  <c:v>Orange</c:v>
                </c:pt>
                <c:pt idx="3">
                  <c:v>Red</c:v>
                </c:pt>
                <c:pt idx="4">
                  <c:v>Qualitative</c:v>
                </c:pt>
                <c:pt idx="5">
                  <c:v>Not Available</c:v>
                </c:pt>
                <c:pt idx="6">
                  <c:v>Not Applicable</c:v>
                </c:pt>
              </c:strCache>
            </c:strRef>
          </c:cat>
          <c:val>
            <c:numRef>
              <c:f>'Benchmark Status'!$D$65:$D$71</c:f>
              <c:numCache>
                <c:formatCode>0</c:formatCode>
                <c:ptCount val="7"/>
                <c:pt idx="0">
                  <c:v>0</c:v>
                </c:pt>
                <c:pt idx="1">
                  <c:v>0</c:v>
                </c:pt>
                <c:pt idx="2">
                  <c:v>0</c:v>
                </c:pt>
                <c:pt idx="3">
                  <c:v>25</c:v>
                </c:pt>
                <c:pt idx="4">
                  <c:v>0</c:v>
                </c:pt>
                <c:pt idx="5">
                  <c:v>0</c:v>
                </c:pt>
                <c:pt idx="6">
                  <c:v>0</c:v>
                </c:pt>
              </c:numCache>
            </c:numRef>
          </c:val>
          <c:extLst>
            <c:ext xmlns:c16="http://schemas.microsoft.com/office/drawing/2014/chart" uri="{C3380CC4-5D6E-409C-BE32-E72D297353CC}">
              <c16:uniqueId val="{0000000E-55A6-433A-9BB0-2F4CA4583C8C}"/>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2.3248851803409298E-2"/>
          <c:y val="0.116318795568587"/>
          <c:w val="0.241730352134268"/>
          <c:h val="0.80034776902887095"/>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Raleway" panose="020B0503030101060003" pitchFamily="34" charset="77"/>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image" Target="../media/image1.png"/><Relationship Id="rId4" Type="http://schemas.openxmlformats.org/officeDocument/2006/relationships/chart" Target="../charts/chart4.xml"/><Relationship Id="rId9" Type="http://schemas.openxmlformats.org/officeDocument/2006/relationships/chart" Target="../charts/chart9.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4.xml"/><Relationship Id="rId7" Type="http://schemas.openxmlformats.org/officeDocument/2006/relationships/chart" Target="../charts/chart17.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6.xml"/><Relationship Id="rId5" Type="http://schemas.openxmlformats.org/officeDocument/2006/relationships/image" Target="../media/image1.png"/><Relationship Id="rId4"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oneCellAnchor>
    <xdr:from>
      <xdr:col>1</xdr:col>
      <xdr:colOff>1</xdr:colOff>
      <xdr:row>0</xdr:row>
      <xdr:rowOff>0</xdr:rowOff>
    </xdr:from>
    <xdr:ext cx="9318624" cy="1610779"/>
    <xdr:pic>
      <xdr:nvPicPr>
        <xdr:cNvPr id="2" name="Picture 1" descr="65.png">
          <a:extLst>
            <a:ext uri="{FF2B5EF4-FFF2-40B4-BE49-F238E27FC236}">
              <a16:creationId xmlns:a16="http://schemas.microsoft.com/office/drawing/2014/main" id="{F6F5B81A-E602-434C-8C0B-42F698F7C1E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62051" y="0"/>
          <a:ext cx="9318624" cy="1610779"/>
        </a:xfrm>
        <a:prstGeom prst="rect">
          <a:avLst/>
        </a:prstGeom>
        <a:noFill/>
        <a:ln>
          <a:noFill/>
        </a:ln>
      </xdr:spPr>
    </xdr:pic>
    <xdr:clientData/>
  </xdr:oneCellAnchor>
  <xdr:oneCellAnchor>
    <xdr:from>
      <xdr:col>4</xdr:col>
      <xdr:colOff>2514600</xdr:colOff>
      <xdr:row>0</xdr:row>
      <xdr:rowOff>312734</xdr:rowOff>
    </xdr:from>
    <xdr:ext cx="4758509" cy="646459"/>
    <xdr:sp macro="" textlink="">
      <xdr:nvSpPr>
        <xdr:cNvPr id="3" name="TextBox 2">
          <a:extLst>
            <a:ext uri="{FF2B5EF4-FFF2-40B4-BE49-F238E27FC236}">
              <a16:creationId xmlns:a16="http://schemas.microsoft.com/office/drawing/2014/main" id="{D84FD323-B7E6-4DFE-9B59-A2AE6E6AE8B8}"/>
            </a:ext>
          </a:extLst>
        </xdr:cNvPr>
        <xdr:cNvSpPr txBox="1"/>
      </xdr:nvSpPr>
      <xdr:spPr>
        <a:xfrm>
          <a:off x="5048250" y="312734"/>
          <a:ext cx="4758509" cy="6464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r>
            <a:rPr lang="en-US" sz="1800" b="1">
              <a:latin typeface="Roboto" pitchFamily="2" charset="0"/>
              <a:ea typeface="Roboto" pitchFamily="2" charset="0"/>
            </a:rPr>
            <a:t>5. MUNICIPAL PUBLIC SERVICES</a:t>
          </a:r>
        </a:p>
        <a:p>
          <a:pPr algn="r"/>
          <a:r>
            <a:rPr lang="en-US" sz="1800" baseline="0">
              <a:latin typeface="Roboto" pitchFamily="2" charset="0"/>
              <a:ea typeface="Roboto" pitchFamily="2" charset="0"/>
            </a:rPr>
            <a:t>Introduction - Data Entry</a:t>
          </a:r>
          <a:endParaRPr lang="en-US" sz="1800">
            <a:latin typeface="Roboto" pitchFamily="2" charset="0"/>
            <a:ea typeface="Roboto" pitchFamily="2" charset="0"/>
          </a:endParaRPr>
        </a:p>
      </xdr:txBody>
    </xdr:sp>
    <xdr:clientData/>
  </xdr:oneCellAnchor>
  <xdr:oneCellAnchor>
    <xdr:from>
      <xdr:col>2</xdr:col>
      <xdr:colOff>87087</xdr:colOff>
      <xdr:row>42</xdr:row>
      <xdr:rowOff>105855</xdr:rowOff>
    </xdr:from>
    <xdr:ext cx="1433284" cy="369306"/>
    <xdr:pic>
      <xdr:nvPicPr>
        <xdr:cNvPr id="4" name="Picture 3">
          <a:extLst>
            <a:ext uri="{FF2B5EF4-FFF2-40B4-BE49-F238E27FC236}">
              <a16:creationId xmlns:a16="http://schemas.microsoft.com/office/drawing/2014/main" id="{F219C686-A812-4134-95F3-DDAA205C365B}"/>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411187" y="8506905"/>
          <a:ext cx="1433284" cy="369306"/>
        </a:xfrm>
        <a:prstGeom prst="rect">
          <a:avLst/>
        </a:prstGeom>
      </xdr:spPr>
    </xdr:pic>
    <xdr:clientData/>
  </xdr:oneCellAnchor>
  <xdr:twoCellAnchor>
    <xdr:from>
      <xdr:col>3</xdr:col>
      <xdr:colOff>821339</xdr:colOff>
      <xdr:row>5</xdr:row>
      <xdr:rowOff>6684</xdr:rowOff>
    </xdr:from>
    <xdr:to>
      <xdr:col>4</xdr:col>
      <xdr:colOff>180632</xdr:colOff>
      <xdr:row>6</xdr:row>
      <xdr:rowOff>1337</xdr:rowOff>
    </xdr:to>
    <xdr:sp macro="" textlink="">
      <xdr:nvSpPr>
        <xdr:cNvPr id="5" name="Delay 1">
          <a:extLst>
            <a:ext uri="{FF2B5EF4-FFF2-40B4-BE49-F238E27FC236}">
              <a16:creationId xmlns:a16="http://schemas.microsoft.com/office/drawing/2014/main" id="{E597F436-1257-4C73-A46F-604DBEC90E60}"/>
            </a:ext>
          </a:extLst>
        </xdr:cNvPr>
        <xdr:cNvSpPr/>
      </xdr:nvSpPr>
      <xdr:spPr>
        <a:xfrm>
          <a:off x="4307489" y="1006809"/>
          <a:ext cx="521343" cy="194678"/>
        </a:xfrm>
        <a:prstGeom prst="flowChartDelay">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1697</xdr:colOff>
      <xdr:row>12</xdr:row>
      <xdr:rowOff>73526</xdr:rowOff>
    </xdr:from>
    <xdr:to>
      <xdr:col>4</xdr:col>
      <xdr:colOff>202044</xdr:colOff>
      <xdr:row>14</xdr:row>
      <xdr:rowOff>1</xdr:rowOff>
    </xdr:to>
    <xdr:sp macro="" textlink="">
      <xdr:nvSpPr>
        <xdr:cNvPr id="6" name="Delay 11">
          <a:extLst>
            <a:ext uri="{FF2B5EF4-FFF2-40B4-BE49-F238E27FC236}">
              <a16:creationId xmlns:a16="http://schemas.microsoft.com/office/drawing/2014/main" id="{D039EBA0-AF3D-4AB1-BC58-A1D4B16D16C9}"/>
            </a:ext>
          </a:extLst>
        </xdr:cNvPr>
        <xdr:cNvSpPr/>
      </xdr:nvSpPr>
      <xdr:spPr>
        <a:xfrm>
          <a:off x="4649897" y="2473826"/>
          <a:ext cx="200347" cy="326525"/>
        </a:xfrm>
        <a:prstGeom prst="flowChartDelay">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7</xdr:row>
      <xdr:rowOff>0</xdr:rowOff>
    </xdr:from>
    <xdr:to>
      <xdr:col>7</xdr:col>
      <xdr:colOff>205292</xdr:colOff>
      <xdr:row>7</xdr:row>
      <xdr:rowOff>317087</xdr:rowOff>
    </xdr:to>
    <xdr:sp macro="" textlink="">
      <xdr:nvSpPr>
        <xdr:cNvPr id="7" name="Delay 12">
          <a:extLst>
            <a:ext uri="{FF2B5EF4-FFF2-40B4-BE49-F238E27FC236}">
              <a16:creationId xmlns:a16="http://schemas.microsoft.com/office/drawing/2014/main" id="{214DDF80-327B-480F-B991-0C62A7363115}"/>
            </a:ext>
          </a:extLst>
        </xdr:cNvPr>
        <xdr:cNvSpPr/>
      </xdr:nvSpPr>
      <xdr:spPr>
        <a:xfrm>
          <a:off x="8134350" y="1400175"/>
          <a:ext cx="205292" cy="202787"/>
        </a:xfrm>
        <a:prstGeom prst="flowChartDelay">
          <a:avLst/>
        </a:prstGeom>
        <a:solidFill>
          <a:srgbClr val="81B5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815730</xdr:colOff>
      <xdr:row>10</xdr:row>
      <xdr:rowOff>66842</xdr:rowOff>
    </xdr:from>
    <xdr:to>
      <xdr:col>4</xdr:col>
      <xdr:colOff>186503</xdr:colOff>
      <xdr:row>12</xdr:row>
      <xdr:rowOff>1337</xdr:rowOff>
    </xdr:to>
    <xdr:sp macro="" textlink="">
      <xdr:nvSpPr>
        <xdr:cNvPr id="8" name="Delay 18">
          <a:extLst>
            <a:ext uri="{FF2B5EF4-FFF2-40B4-BE49-F238E27FC236}">
              <a16:creationId xmlns:a16="http://schemas.microsoft.com/office/drawing/2014/main" id="{EA91CD38-C9DB-42AF-B11E-5D41CF32E1DB}"/>
            </a:ext>
          </a:extLst>
        </xdr:cNvPr>
        <xdr:cNvSpPr/>
      </xdr:nvSpPr>
      <xdr:spPr>
        <a:xfrm>
          <a:off x="4301880" y="2067092"/>
          <a:ext cx="532823" cy="334545"/>
        </a:xfrm>
        <a:prstGeom prst="flowChartDelay">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828033</xdr:colOff>
      <xdr:row>9</xdr:row>
      <xdr:rowOff>0</xdr:rowOff>
    </xdr:from>
    <xdr:to>
      <xdr:col>4</xdr:col>
      <xdr:colOff>188489</xdr:colOff>
      <xdr:row>10</xdr:row>
      <xdr:rowOff>0</xdr:rowOff>
    </xdr:to>
    <xdr:sp macro="" textlink="">
      <xdr:nvSpPr>
        <xdr:cNvPr id="9" name="Delay 19">
          <a:extLst>
            <a:ext uri="{FF2B5EF4-FFF2-40B4-BE49-F238E27FC236}">
              <a16:creationId xmlns:a16="http://schemas.microsoft.com/office/drawing/2014/main" id="{88884AD5-F36D-4711-9482-80083158187B}"/>
            </a:ext>
          </a:extLst>
        </xdr:cNvPr>
        <xdr:cNvSpPr/>
      </xdr:nvSpPr>
      <xdr:spPr>
        <a:xfrm>
          <a:off x="4314183" y="1800225"/>
          <a:ext cx="522506" cy="200025"/>
        </a:xfrm>
        <a:prstGeom prst="flowChartDelay">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821339</xdr:colOff>
      <xdr:row>27</xdr:row>
      <xdr:rowOff>6684</xdr:rowOff>
    </xdr:from>
    <xdr:to>
      <xdr:col>4</xdr:col>
      <xdr:colOff>180632</xdr:colOff>
      <xdr:row>28</xdr:row>
      <xdr:rowOff>1337</xdr:rowOff>
    </xdr:to>
    <xdr:sp macro="" textlink="">
      <xdr:nvSpPr>
        <xdr:cNvPr id="10" name="Delay 1">
          <a:extLst>
            <a:ext uri="{FF2B5EF4-FFF2-40B4-BE49-F238E27FC236}">
              <a16:creationId xmlns:a16="http://schemas.microsoft.com/office/drawing/2014/main" id="{033DE35F-9480-49DF-93D0-FE4C55C6583B}"/>
            </a:ext>
          </a:extLst>
        </xdr:cNvPr>
        <xdr:cNvSpPr/>
      </xdr:nvSpPr>
      <xdr:spPr>
        <a:xfrm>
          <a:off x="4307489" y="5407359"/>
          <a:ext cx="521343" cy="194678"/>
        </a:xfrm>
        <a:prstGeom prst="flowChartDelay">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1697</xdr:colOff>
      <xdr:row>34</xdr:row>
      <xdr:rowOff>73526</xdr:rowOff>
    </xdr:from>
    <xdr:to>
      <xdr:col>4</xdr:col>
      <xdr:colOff>202044</xdr:colOff>
      <xdr:row>36</xdr:row>
      <xdr:rowOff>1</xdr:rowOff>
    </xdr:to>
    <xdr:sp macro="" textlink="">
      <xdr:nvSpPr>
        <xdr:cNvPr id="11" name="Delay 11">
          <a:extLst>
            <a:ext uri="{FF2B5EF4-FFF2-40B4-BE49-F238E27FC236}">
              <a16:creationId xmlns:a16="http://schemas.microsoft.com/office/drawing/2014/main" id="{06A86496-A9A7-4485-A53E-5A14A6EB35DC}"/>
            </a:ext>
          </a:extLst>
        </xdr:cNvPr>
        <xdr:cNvSpPr/>
      </xdr:nvSpPr>
      <xdr:spPr>
        <a:xfrm>
          <a:off x="4649897" y="6874376"/>
          <a:ext cx="200347" cy="326525"/>
        </a:xfrm>
        <a:prstGeom prst="flowChartDelay">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29</xdr:row>
      <xdr:rowOff>0</xdr:rowOff>
    </xdr:from>
    <xdr:to>
      <xdr:col>7</xdr:col>
      <xdr:colOff>205292</xdr:colOff>
      <xdr:row>29</xdr:row>
      <xdr:rowOff>317087</xdr:rowOff>
    </xdr:to>
    <xdr:sp macro="" textlink="">
      <xdr:nvSpPr>
        <xdr:cNvPr id="12" name="Delay 12">
          <a:extLst>
            <a:ext uri="{FF2B5EF4-FFF2-40B4-BE49-F238E27FC236}">
              <a16:creationId xmlns:a16="http://schemas.microsoft.com/office/drawing/2014/main" id="{A881A4B2-DA99-472C-96EB-B8BAFF83E038}"/>
            </a:ext>
          </a:extLst>
        </xdr:cNvPr>
        <xdr:cNvSpPr/>
      </xdr:nvSpPr>
      <xdr:spPr>
        <a:xfrm>
          <a:off x="8134350" y="5800725"/>
          <a:ext cx="205292" cy="202787"/>
        </a:xfrm>
        <a:prstGeom prst="flowChartDelay">
          <a:avLst/>
        </a:prstGeom>
        <a:solidFill>
          <a:srgbClr val="81B5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815730</xdr:colOff>
      <xdr:row>32</xdr:row>
      <xdr:rowOff>66842</xdr:rowOff>
    </xdr:from>
    <xdr:to>
      <xdr:col>4</xdr:col>
      <xdr:colOff>186503</xdr:colOff>
      <xdr:row>34</xdr:row>
      <xdr:rowOff>1337</xdr:rowOff>
    </xdr:to>
    <xdr:sp macro="" textlink="">
      <xdr:nvSpPr>
        <xdr:cNvPr id="13" name="Delay 18">
          <a:extLst>
            <a:ext uri="{FF2B5EF4-FFF2-40B4-BE49-F238E27FC236}">
              <a16:creationId xmlns:a16="http://schemas.microsoft.com/office/drawing/2014/main" id="{6E2F62F2-6807-488E-9AAF-DE4A06859B97}"/>
            </a:ext>
          </a:extLst>
        </xdr:cNvPr>
        <xdr:cNvSpPr/>
      </xdr:nvSpPr>
      <xdr:spPr>
        <a:xfrm>
          <a:off x="4301880" y="6467642"/>
          <a:ext cx="532823" cy="334545"/>
        </a:xfrm>
        <a:prstGeom prst="flowChartDelay">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828033</xdr:colOff>
      <xdr:row>31</xdr:row>
      <xdr:rowOff>0</xdr:rowOff>
    </xdr:from>
    <xdr:to>
      <xdr:col>4</xdr:col>
      <xdr:colOff>188489</xdr:colOff>
      <xdr:row>32</xdr:row>
      <xdr:rowOff>0</xdr:rowOff>
    </xdr:to>
    <xdr:sp macro="" textlink="">
      <xdr:nvSpPr>
        <xdr:cNvPr id="14" name="Delay 19">
          <a:extLst>
            <a:ext uri="{FF2B5EF4-FFF2-40B4-BE49-F238E27FC236}">
              <a16:creationId xmlns:a16="http://schemas.microsoft.com/office/drawing/2014/main" id="{C11E5662-B768-4A61-A023-02D1D8654407}"/>
            </a:ext>
          </a:extLst>
        </xdr:cNvPr>
        <xdr:cNvSpPr/>
      </xdr:nvSpPr>
      <xdr:spPr>
        <a:xfrm>
          <a:off x="4314183" y="6200775"/>
          <a:ext cx="522506" cy="200025"/>
        </a:xfrm>
        <a:prstGeom prst="flowChartDelay">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1</xdr:colOff>
      <xdr:row>0</xdr:row>
      <xdr:rowOff>0</xdr:rowOff>
    </xdr:from>
    <xdr:ext cx="5506719" cy="951869"/>
    <xdr:pic>
      <xdr:nvPicPr>
        <xdr:cNvPr id="2" name="Picture 1" descr="65.pn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0"/>
          <a:ext cx="5506719" cy="951869"/>
        </a:xfrm>
        <a:prstGeom prst="rect">
          <a:avLst/>
        </a:prstGeom>
        <a:noFill/>
        <a:ln>
          <a:noFill/>
        </a:ln>
      </xdr:spPr>
    </xdr:pic>
    <xdr:clientData/>
  </xdr:oneCellAnchor>
  <xdr:oneCellAnchor>
    <xdr:from>
      <xdr:col>3</xdr:col>
      <xdr:colOff>337457</xdr:colOff>
      <xdr:row>0</xdr:row>
      <xdr:rowOff>182880</xdr:rowOff>
    </xdr:from>
    <xdr:ext cx="3506652" cy="461665"/>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970314" y="182880"/>
          <a:ext cx="3506652" cy="461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r>
            <a:rPr lang="en-US" sz="1200" b="1">
              <a:latin typeface="Roboto" pitchFamily="2" charset="0"/>
              <a:ea typeface="Roboto" pitchFamily="2" charset="0"/>
            </a:rPr>
            <a:t>5. MUNICIPAL PUBLIC SERVICES</a:t>
          </a:r>
          <a:endParaRPr lang="en-US" sz="1200" b="1" baseline="0">
            <a:latin typeface="Roboto" pitchFamily="2" charset="0"/>
            <a:ea typeface="Roboto" pitchFamily="2" charset="0"/>
          </a:endParaRPr>
        </a:p>
        <a:p>
          <a:pPr algn="r"/>
          <a:r>
            <a:rPr lang="en-US" sz="1200" baseline="0">
              <a:latin typeface="Roboto" pitchFamily="2" charset="0"/>
              <a:ea typeface="Roboto" pitchFamily="2" charset="0"/>
            </a:rPr>
            <a:t>Data Entry</a:t>
          </a:r>
          <a:endParaRPr lang="en-US" sz="1200">
            <a:latin typeface="Roboto" pitchFamily="2" charset="0"/>
            <a:ea typeface="Roboto" pitchFamily="2" charset="0"/>
          </a:endParaRPr>
        </a:p>
      </xdr:txBody>
    </xdr:sp>
    <xdr:clientData/>
  </xdr:oneCellAnchor>
  <xdr:twoCellAnchor editAs="oneCell">
    <xdr:from>
      <xdr:col>1</xdr:col>
      <xdr:colOff>87087</xdr:colOff>
      <xdr:row>68</xdr:row>
      <xdr:rowOff>105855</xdr:rowOff>
    </xdr:from>
    <xdr:to>
      <xdr:col>2</xdr:col>
      <xdr:colOff>546191</xdr:colOff>
      <xdr:row>70</xdr:row>
      <xdr:rowOff>107498</xdr:rowOff>
    </xdr:to>
    <xdr:pic>
      <xdr:nvPicPr>
        <xdr:cNvPr id="6" name="Picture 5">
          <a:extLst>
            <a:ext uri="{FF2B5EF4-FFF2-40B4-BE49-F238E27FC236}">
              <a16:creationId xmlns:a16="http://schemas.microsoft.com/office/drawing/2014/main" id="{00000000-0008-0000-0100-000006000000}"/>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87087" y="18861941"/>
          <a:ext cx="1436913" cy="373660"/>
        </a:xfrm>
        <a:prstGeom prst="rect">
          <a:avLst/>
        </a:prstGeom>
      </xdr:spPr>
    </xdr:pic>
    <xdr:clientData/>
  </xdr:twoCellAnchor>
  <xdr:oneCellAnchor>
    <xdr:from>
      <xdr:col>1</xdr:col>
      <xdr:colOff>87087</xdr:colOff>
      <xdr:row>110</xdr:row>
      <xdr:rowOff>105855</xdr:rowOff>
    </xdr:from>
    <xdr:ext cx="1433284" cy="369306"/>
    <xdr:pic>
      <xdr:nvPicPr>
        <xdr:cNvPr id="7" name="Picture 6">
          <a:extLst>
            <a:ext uri="{FF2B5EF4-FFF2-40B4-BE49-F238E27FC236}">
              <a16:creationId xmlns:a16="http://schemas.microsoft.com/office/drawing/2014/main" id="{00000000-0008-0000-0100-000007000000}"/>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87087" y="19074575"/>
          <a:ext cx="1433284" cy="369306"/>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1</xdr:colOff>
      <xdr:row>0</xdr:row>
      <xdr:rowOff>0</xdr:rowOff>
    </xdr:from>
    <xdr:ext cx="5506719" cy="951869"/>
    <xdr:pic>
      <xdr:nvPicPr>
        <xdr:cNvPr id="2" name="Picture 1" descr="65.png">
          <a:extLst>
            <a:ext uri="{FF2B5EF4-FFF2-40B4-BE49-F238E27FC236}">
              <a16:creationId xmlns:a16="http://schemas.microsoft.com/office/drawing/2014/main" id="{AC881BE4-F74C-492D-B5B1-364FA84CC05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1941" y="0"/>
          <a:ext cx="5506719" cy="951869"/>
        </a:xfrm>
        <a:prstGeom prst="rect">
          <a:avLst/>
        </a:prstGeom>
        <a:noFill/>
        <a:ln>
          <a:noFill/>
        </a:ln>
      </xdr:spPr>
    </xdr:pic>
    <xdr:clientData/>
  </xdr:oneCellAnchor>
  <xdr:oneCellAnchor>
    <xdr:from>
      <xdr:col>3</xdr:col>
      <xdr:colOff>337457</xdr:colOff>
      <xdr:row>0</xdr:row>
      <xdr:rowOff>182880</xdr:rowOff>
    </xdr:from>
    <xdr:ext cx="3506652" cy="461665"/>
    <xdr:sp macro="" textlink="">
      <xdr:nvSpPr>
        <xdr:cNvPr id="3" name="TextBox 2">
          <a:extLst>
            <a:ext uri="{FF2B5EF4-FFF2-40B4-BE49-F238E27FC236}">
              <a16:creationId xmlns:a16="http://schemas.microsoft.com/office/drawing/2014/main" id="{84282CFC-40AB-4303-9AFE-5242679D37D8}"/>
            </a:ext>
          </a:extLst>
        </xdr:cNvPr>
        <xdr:cNvSpPr txBox="1"/>
      </xdr:nvSpPr>
      <xdr:spPr>
        <a:xfrm>
          <a:off x="2250077" y="182880"/>
          <a:ext cx="3506652" cy="461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r>
            <a:rPr lang="en-US" sz="1200" b="1">
              <a:latin typeface="Roboto" pitchFamily="2" charset="0"/>
              <a:ea typeface="Roboto" pitchFamily="2" charset="0"/>
            </a:rPr>
            <a:t>5. MUNICIPAL PUBLIC SERVICES</a:t>
          </a:r>
          <a:endParaRPr lang="en-US" sz="1200" b="1" baseline="0">
            <a:latin typeface="Roboto" pitchFamily="2" charset="0"/>
            <a:ea typeface="Roboto" pitchFamily="2" charset="0"/>
          </a:endParaRPr>
        </a:p>
        <a:p>
          <a:pPr algn="r"/>
          <a:r>
            <a:rPr lang="en-US" sz="1200" baseline="0">
              <a:latin typeface="Roboto" pitchFamily="2" charset="0"/>
              <a:ea typeface="Roboto" pitchFamily="2" charset="0"/>
            </a:rPr>
            <a:t>Data Entry</a:t>
          </a:r>
          <a:endParaRPr lang="en-US" sz="1200">
            <a:latin typeface="Roboto" pitchFamily="2" charset="0"/>
            <a:ea typeface="Roboto" pitchFamily="2" charset="0"/>
          </a:endParaRPr>
        </a:p>
      </xdr:txBody>
    </xdr:sp>
    <xdr:clientData/>
  </xdr:oneCellAnchor>
  <xdr:twoCellAnchor editAs="oneCell">
    <xdr:from>
      <xdr:col>1</xdr:col>
      <xdr:colOff>87087</xdr:colOff>
      <xdr:row>122</xdr:row>
      <xdr:rowOff>105855</xdr:rowOff>
    </xdr:from>
    <xdr:to>
      <xdr:col>2</xdr:col>
      <xdr:colOff>553811</xdr:colOff>
      <xdr:row>124</xdr:row>
      <xdr:rowOff>97973</xdr:rowOff>
    </xdr:to>
    <xdr:pic>
      <xdr:nvPicPr>
        <xdr:cNvPr id="4" name="Picture 3">
          <a:extLst>
            <a:ext uri="{FF2B5EF4-FFF2-40B4-BE49-F238E27FC236}">
              <a16:creationId xmlns:a16="http://schemas.microsoft.com/office/drawing/2014/main" id="{CB7B3FE8-C5C1-48A6-AE3F-B9AAC561CECB}"/>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69027" y="26783475"/>
          <a:ext cx="1424939" cy="361688"/>
        </a:xfrm>
        <a:prstGeom prst="rect">
          <a:avLst/>
        </a:prstGeom>
      </xdr:spPr>
    </xdr:pic>
    <xdr:clientData/>
  </xdr:twoCellAnchor>
  <xdr:oneCellAnchor>
    <xdr:from>
      <xdr:col>1</xdr:col>
      <xdr:colOff>87087</xdr:colOff>
      <xdr:row>164</xdr:row>
      <xdr:rowOff>105855</xdr:rowOff>
    </xdr:from>
    <xdr:ext cx="1433284" cy="369306"/>
    <xdr:pic>
      <xdr:nvPicPr>
        <xdr:cNvPr id="5" name="Picture 4">
          <a:extLst>
            <a:ext uri="{FF2B5EF4-FFF2-40B4-BE49-F238E27FC236}">
              <a16:creationId xmlns:a16="http://schemas.microsoft.com/office/drawing/2014/main" id="{7371385C-887F-4FA6-AC4B-45DA99690F12}"/>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69027" y="35927475"/>
          <a:ext cx="1433284" cy="36930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xdr:colOff>
      <xdr:row>0</xdr:row>
      <xdr:rowOff>0</xdr:rowOff>
    </xdr:from>
    <xdr:ext cx="5506719" cy="951869"/>
    <xdr:pic>
      <xdr:nvPicPr>
        <xdr:cNvPr id="2" name="Picture 1" descr="65.png">
          <a:extLst>
            <a:ext uri="{FF2B5EF4-FFF2-40B4-BE49-F238E27FC236}">
              <a16:creationId xmlns:a16="http://schemas.microsoft.com/office/drawing/2014/main" id="{7208CA91-4FD0-47EB-84F1-9E49EC6A8E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1941" y="0"/>
          <a:ext cx="5506719" cy="951869"/>
        </a:xfrm>
        <a:prstGeom prst="rect">
          <a:avLst/>
        </a:prstGeom>
        <a:noFill/>
        <a:ln>
          <a:noFill/>
        </a:ln>
      </xdr:spPr>
    </xdr:pic>
    <xdr:clientData/>
  </xdr:oneCellAnchor>
  <xdr:oneCellAnchor>
    <xdr:from>
      <xdr:col>3</xdr:col>
      <xdr:colOff>337457</xdr:colOff>
      <xdr:row>0</xdr:row>
      <xdr:rowOff>182880</xdr:rowOff>
    </xdr:from>
    <xdr:ext cx="3506652" cy="461665"/>
    <xdr:sp macro="" textlink="">
      <xdr:nvSpPr>
        <xdr:cNvPr id="3" name="TextBox 2">
          <a:extLst>
            <a:ext uri="{FF2B5EF4-FFF2-40B4-BE49-F238E27FC236}">
              <a16:creationId xmlns:a16="http://schemas.microsoft.com/office/drawing/2014/main" id="{32E58AA8-EECD-4900-87C5-96139E73C8DD}"/>
            </a:ext>
          </a:extLst>
        </xdr:cNvPr>
        <xdr:cNvSpPr txBox="1"/>
      </xdr:nvSpPr>
      <xdr:spPr>
        <a:xfrm>
          <a:off x="2250077" y="182880"/>
          <a:ext cx="3506652" cy="461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r>
            <a:rPr lang="en-US" sz="1200" b="1">
              <a:latin typeface="Roboto" pitchFamily="2" charset="0"/>
              <a:ea typeface="Roboto" pitchFamily="2" charset="0"/>
            </a:rPr>
            <a:t>5. MUNICIPAL PUBLIC SERVICES</a:t>
          </a:r>
          <a:endParaRPr lang="en-US" sz="1200" b="1" baseline="0">
            <a:latin typeface="Roboto" pitchFamily="2" charset="0"/>
            <a:ea typeface="Roboto" pitchFamily="2" charset="0"/>
          </a:endParaRPr>
        </a:p>
        <a:p>
          <a:pPr algn="r"/>
          <a:r>
            <a:rPr lang="en-US" sz="1200" baseline="0">
              <a:latin typeface="Roboto" pitchFamily="2" charset="0"/>
              <a:ea typeface="Roboto" pitchFamily="2" charset="0"/>
            </a:rPr>
            <a:t>Data Entry</a:t>
          </a:r>
          <a:endParaRPr lang="en-US" sz="1200">
            <a:latin typeface="Roboto" pitchFamily="2" charset="0"/>
            <a:ea typeface="Roboto" pitchFamily="2" charset="0"/>
          </a:endParaRPr>
        </a:p>
      </xdr:txBody>
    </xdr:sp>
    <xdr:clientData/>
  </xdr:oneCellAnchor>
  <xdr:twoCellAnchor editAs="oneCell">
    <xdr:from>
      <xdr:col>1</xdr:col>
      <xdr:colOff>87087</xdr:colOff>
      <xdr:row>79</xdr:row>
      <xdr:rowOff>105855</xdr:rowOff>
    </xdr:from>
    <xdr:to>
      <xdr:col>2</xdr:col>
      <xdr:colOff>550001</xdr:colOff>
      <xdr:row>81</xdr:row>
      <xdr:rowOff>94163</xdr:rowOff>
    </xdr:to>
    <xdr:pic>
      <xdr:nvPicPr>
        <xdr:cNvPr id="4" name="Picture 3">
          <a:extLst>
            <a:ext uri="{FF2B5EF4-FFF2-40B4-BE49-F238E27FC236}">
              <a16:creationId xmlns:a16="http://schemas.microsoft.com/office/drawing/2014/main" id="{4344820D-70FD-4A5E-B378-326AAF3CFD24}"/>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69027" y="44538075"/>
          <a:ext cx="1430654" cy="346448"/>
        </a:xfrm>
        <a:prstGeom prst="rect">
          <a:avLst/>
        </a:prstGeom>
      </xdr:spPr>
    </xdr:pic>
    <xdr:clientData/>
  </xdr:twoCellAnchor>
  <xdr:oneCellAnchor>
    <xdr:from>
      <xdr:col>1</xdr:col>
      <xdr:colOff>87087</xdr:colOff>
      <xdr:row>121</xdr:row>
      <xdr:rowOff>105855</xdr:rowOff>
    </xdr:from>
    <xdr:ext cx="1433284" cy="369306"/>
    <xdr:pic>
      <xdr:nvPicPr>
        <xdr:cNvPr id="5" name="Picture 4">
          <a:extLst>
            <a:ext uri="{FF2B5EF4-FFF2-40B4-BE49-F238E27FC236}">
              <a16:creationId xmlns:a16="http://schemas.microsoft.com/office/drawing/2014/main" id="{30D4CBD5-4DC4-4021-911D-8B162B7FE0AF}"/>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69027" y="52973415"/>
          <a:ext cx="1433284" cy="36930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1</xdr:col>
      <xdr:colOff>1</xdr:colOff>
      <xdr:row>0</xdr:row>
      <xdr:rowOff>0</xdr:rowOff>
    </xdr:from>
    <xdr:ext cx="5506719" cy="951869"/>
    <xdr:pic>
      <xdr:nvPicPr>
        <xdr:cNvPr id="2" name="Picture 1" descr="65.png">
          <a:extLst>
            <a:ext uri="{FF2B5EF4-FFF2-40B4-BE49-F238E27FC236}">
              <a16:creationId xmlns:a16="http://schemas.microsoft.com/office/drawing/2014/main" id="{18945BCE-05C1-44B2-89BC-B7A4C1FA5B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1" y="0"/>
          <a:ext cx="5506719" cy="951869"/>
        </a:xfrm>
        <a:prstGeom prst="rect">
          <a:avLst/>
        </a:prstGeom>
        <a:noFill/>
        <a:ln>
          <a:noFill/>
        </a:ln>
      </xdr:spPr>
    </xdr:pic>
    <xdr:clientData/>
  </xdr:oneCellAnchor>
  <xdr:oneCellAnchor>
    <xdr:from>
      <xdr:col>3</xdr:col>
      <xdr:colOff>337457</xdr:colOff>
      <xdr:row>0</xdr:row>
      <xdr:rowOff>182880</xdr:rowOff>
    </xdr:from>
    <xdr:ext cx="3506652" cy="461665"/>
    <xdr:sp macro="" textlink="">
      <xdr:nvSpPr>
        <xdr:cNvPr id="3" name="TextBox 2">
          <a:extLst>
            <a:ext uri="{FF2B5EF4-FFF2-40B4-BE49-F238E27FC236}">
              <a16:creationId xmlns:a16="http://schemas.microsoft.com/office/drawing/2014/main" id="{1BA158CA-94E8-46EC-96C7-11FAC19CC292}"/>
            </a:ext>
          </a:extLst>
        </xdr:cNvPr>
        <xdr:cNvSpPr txBox="1"/>
      </xdr:nvSpPr>
      <xdr:spPr>
        <a:xfrm>
          <a:off x="2259602" y="180975"/>
          <a:ext cx="3506652" cy="461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r>
            <a:rPr lang="en-US" sz="1200" b="1">
              <a:latin typeface="Roboto" pitchFamily="2" charset="0"/>
              <a:ea typeface="Roboto" pitchFamily="2" charset="0"/>
            </a:rPr>
            <a:t>5. MUNICIPAL PUBLIC SERVICES</a:t>
          </a:r>
          <a:endParaRPr lang="en-US" sz="1200" b="1" baseline="0">
            <a:latin typeface="Roboto" pitchFamily="2" charset="0"/>
            <a:ea typeface="Roboto" pitchFamily="2" charset="0"/>
          </a:endParaRPr>
        </a:p>
        <a:p>
          <a:pPr algn="r"/>
          <a:r>
            <a:rPr lang="en-US" sz="1200" baseline="0">
              <a:latin typeface="Roboto" pitchFamily="2" charset="0"/>
              <a:ea typeface="Roboto" pitchFamily="2" charset="0"/>
            </a:rPr>
            <a:t>Data Entry</a:t>
          </a:r>
          <a:endParaRPr lang="en-US" sz="1200">
            <a:latin typeface="Roboto" pitchFamily="2" charset="0"/>
            <a:ea typeface="Roboto" pitchFamily="2" charset="0"/>
          </a:endParaRPr>
        </a:p>
      </xdr:txBody>
    </xdr:sp>
    <xdr:clientData/>
  </xdr:oneCellAnchor>
  <xdr:twoCellAnchor editAs="oneCell">
    <xdr:from>
      <xdr:col>1</xdr:col>
      <xdr:colOff>87087</xdr:colOff>
      <xdr:row>96</xdr:row>
      <xdr:rowOff>105855</xdr:rowOff>
    </xdr:from>
    <xdr:to>
      <xdr:col>2</xdr:col>
      <xdr:colOff>550001</xdr:colOff>
      <xdr:row>98</xdr:row>
      <xdr:rowOff>96068</xdr:rowOff>
    </xdr:to>
    <xdr:pic>
      <xdr:nvPicPr>
        <xdr:cNvPr id="4" name="Picture 3">
          <a:extLst>
            <a:ext uri="{FF2B5EF4-FFF2-40B4-BE49-F238E27FC236}">
              <a16:creationId xmlns:a16="http://schemas.microsoft.com/office/drawing/2014/main" id="{0E510FE6-DAEA-4C69-875B-54377CF2170B}"/>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74742" y="25497600"/>
          <a:ext cx="1436369" cy="355973"/>
        </a:xfrm>
        <a:prstGeom prst="rect">
          <a:avLst/>
        </a:prstGeom>
      </xdr:spPr>
    </xdr:pic>
    <xdr:clientData/>
  </xdr:twoCellAnchor>
  <xdr:oneCellAnchor>
    <xdr:from>
      <xdr:col>1</xdr:col>
      <xdr:colOff>87087</xdr:colOff>
      <xdr:row>138</xdr:row>
      <xdr:rowOff>105855</xdr:rowOff>
    </xdr:from>
    <xdr:ext cx="1433284" cy="369306"/>
    <xdr:pic>
      <xdr:nvPicPr>
        <xdr:cNvPr id="5" name="Picture 4">
          <a:extLst>
            <a:ext uri="{FF2B5EF4-FFF2-40B4-BE49-F238E27FC236}">
              <a16:creationId xmlns:a16="http://schemas.microsoft.com/office/drawing/2014/main" id="{FB4AEEBF-815E-4904-A8CC-D5D43727C59C}"/>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74742" y="33984375"/>
          <a:ext cx="1433284" cy="369306"/>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1</xdr:col>
      <xdr:colOff>1</xdr:colOff>
      <xdr:row>0</xdr:row>
      <xdr:rowOff>0</xdr:rowOff>
    </xdr:from>
    <xdr:ext cx="5506719" cy="951869"/>
    <xdr:pic>
      <xdr:nvPicPr>
        <xdr:cNvPr id="2" name="Picture 1" descr="65.png">
          <a:extLst>
            <a:ext uri="{FF2B5EF4-FFF2-40B4-BE49-F238E27FC236}">
              <a16:creationId xmlns:a16="http://schemas.microsoft.com/office/drawing/2014/main" id="{72610843-B216-4437-872E-C43A0FAF4D1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1" y="0"/>
          <a:ext cx="5506719" cy="951869"/>
        </a:xfrm>
        <a:prstGeom prst="rect">
          <a:avLst/>
        </a:prstGeom>
        <a:noFill/>
        <a:ln>
          <a:noFill/>
        </a:ln>
      </xdr:spPr>
    </xdr:pic>
    <xdr:clientData/>
  </xdr:oneCellAnchor>
  <xdr:oneCellAnchor>
    <xdr:from>
      <xdr:col>3</xdr:col>
      <xdr:colOff>337457</xdr:colOff>
      <xdr:row>0</xdr:row>
      <xdr:rowOff>182880</xdr:rowOff>
    </xdr:from>
    <xdr:ext cx="3506652" cy="461665"/>
    <xdr:sp macro="" textlink="">
      <xdr:nvSpPr>
        <xdr:cNvPr id="3" name="TextBox 2">
          <a:extLst>
            <a:ext uri="{FF2B5EF4-FFF2-40B4-BE49-F238E27FC236}">
              <a16:creationId xmlns:a16="http://schemas.microsoft.com/office/drawing/2014/main" id="{281DB7CF-8EFC-4C50-B3A8-5A0060C70FEF}"/>
            </a:ext>
          </a:extLst>
        </xdr:cNvPr>
        <xdr:cNvSpPr txBox="1"/>
      </xdr:nvSpPr>
      <xdr:spPr>
        <a:xfrm>
          <a:off x="2261507" y="182880"/>
          <a:ext cx="3506652" cy="461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r>
            <a:rPr lang="en-US" sz="1200" b="1">
              <a:latin typeface="Roboto" pitchFamily="2" charset="0"/>
              <a:ea typeface="Roboto" pitchFamily="2" charset="0"/>
            </a:rPr>
            <a:t>5. MUNICIPAL PUBLIC SERVICES</a:t>
          </a:r>
          <a:endParaRPr lang="en-US" sz="1200" b="1" baseline="0">
            <a:latin typeface="Roboto" pitchFamily="2" charset="0"/>
            <a:ea typeface="Roboto" pitchFamily="2" charset="0"/>
          </a:endParaRPr>
        </a:p>
        <a:p>
          <a:pPr algn="r"/>
          <a:r>
            <a:rPr lang="en-US" sz="1200" baseline="0">
              <a:latin typeface="Roboto" pitchFamily="2" charset="0"/>
              <a:ea typeface="Roboto" pitchFamily="2" charset="0"/>
            </a:rPr>
            <a:t>Data Entry</a:t>
          </a:r>
          <a:endParaRPr lang="en-US" sz="1200">
            <a:latin typeface="Roboto" pitchFamily="2" charset="0"/>
            <a:ea typeface="Roboto" pitchFamily="2" charset="0"/>
          </a:endParaRPr>
        </a:p>
      </xdr:txBody>
    </xdr:sp>
    <xdr:clientData/>
  </xdr:oneCellAnchor>
  <xdr:twoCellAnchor editAs="oneCell">
    <xdr:from>
      <xdr:col>1</xdr:col>
      <xdr:colOff>87087</xdr:colOff>
      <xdr:row>113</xdr:row>
      <xdr:rowOff>105855</xdr:rowOff>
    </xdr:from>
    <xdr:to>
      <xdr:col>2</xdr:col>
      <xdr:colOff>550001</xdr:colOff>
      <xdr:row>115</xdr:row>
      <xdr:rowOff>96068</xdr:rowOff>
    </xdr:to>
    <xdr:pic>
      <xdr:nvPicPr>
        <xdr:cNvPr id="4" name="Picture 3">
          <a:extLst>
            <a:ext uri="{FF2B5EF4-FFF2-40B4-BE49-F238E27FC236}">
              <a16:creationId xmlns:a16="http://schemas.microsoft.com/office/drawing/2014/main" id="{4BD1DFBA-D3C4-4AEA-B75E-EEDA09BA8331}"/>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72837" y="38291580"/>
          <a:ext cx="1434464" cy="342638"/>
        </a:xfrm>
        <a:prstGeom prst="rect">
          <a:avLst/>
        </a:prstGeom>
      </xdr:spPr>
    </xdr:pic>
    <xdr:clientData/>
  </xdr:twoCellAnchor>
  <xdr:oneCellAnchor>
    <xdr:from>
      <xdr:col>1</xdr:col>
      <xdr:colOff>87087</xdr:colOff>
      <xdr:row>155</xdr:row>
      <xdr:rowOff>105855</xdr:rowOff>
    </xdr:from>
    <xdr:ext cx="1433284" cy="369306"/>
    <xdr:pic>
      <xdr:nvPicPr>
        <xdr:cNvPr id="5" name="Picture 4">
          <a:extLst>
            <a:ext uri="{FF2B5EF4-FFF2-40B4-BE49-F238E27FC236}">
              <a16:creationId xmlns:a16="http://schemas.microsoft.com/office/drawing/2014/main" id="{1E930271-B31E-4A9C-9B57-3ED89BE100C3}"/>
            </a:ext>
          </a:extLst>
        </xdr:cNvPr>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372837" y="46683105"/>
          <a:ext cx="1433284" cy="369306"/>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0</xdr:colOff>
      <xdr:row>4</xdr:row>
      <xdr:rowOff>0</xdr:rowOff>
    </xdr:from>
    <xdr:to>
      <xdr:col>11</xdr:col>
      <xdr:colOff>657678</xdr:colOff>
      <xdr:row>21</xdr:row>
      <xdr:rowOff>112196</xdr:rowOff>
    </xdr:to>
    <xdr:graphicFrame macro="">
      <xdr:nvGraphicFramePr>
        <xdr:cNvPr id="2" name="Chart 1">
          <a:extLst>
            <a:ext uri="{FF2B5EF4-FFF2-40B4-BE49-F238E27FC236}">
              <a16:creationId xmlns:a16="http://schemas.microsoft.com/office/drawing/2014/main" id="{C9A4A64F-5BB8-43CF-ABC3-38AEF20787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23</xdr:row>
      <xdr:rowOff>0</xdr:rowOff>
    </xdr:from>
    <xdr:to>
      <xdr:col>11</xdr:col>
      <xdr:colOff>657678</xdr:colOff>
      <xdr:row>42</xdr:row>
      <xdr:rowOff>44162</xdr:rowOff>
    </xdr:to>
    <xdr:graphicFrame macro="">
      <xdr:nvGraphicFramePr>
        <xdr:cNvPr id="3" name="Chart 2">
          <a:extLst>
            <a:ext uri="{FF2B5EF4-FFF2-40B4-BE49-F238E27FC236}">
              <a16:creationId xmlns:a16="http://schemas.microsoft.com/office/drawing/2014/main" id="{06AF4517-B238-4D4F-9120-0EBFE42E31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23</xdr:row>
      <xdr:rowOff>0</xdr:rowOff>
    </xdr:from>
    <xdr:to>
      <xdr:col>19</xdr:col>
      <xdr:colOff>748392</xdr:colOff>
      <xdr:row>42</xdr:row>
      <xdr:rowOff>22679</xdr:rowOff>
    </xdr:to>
    <xdr:graphicFrame macro="">
      <xdr:nvGraphicFramePr>
        <xdr:cNvPr id="4" name="Chart 3">
          <a:extLst>
            <a:ext uri="{FF2B5EF4-FFF2-40B4-BE49-F238E27FC236}">
              <a16:creationId xmlns:a16="http://schemas.microsoft.com/office/drawing/2014/main" id="{12A8DEF1-7F66-4BEA-908A-07642A62A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4</xdr:row>
      <xdr:rowOff>0</xdr:rowOff>
    </xdr:from>
    <xdr:to>
      <xdr:col>19</xdr:col>
      <xdr:colOff>748392</xdr:colOff>
      <xdr:row>21</xdr:row>
      <xdr:rowOff>90715</xdr:rowOff>
    </xdr:to>
    <xdr:graphicFrame macro="">
      <xdr:nvGraphicFramePr>
        <xdr:cNvPr id="5" name="Chart 4">
          <a:extLst>
            <a:ext uri="{FF2B5EF4-FFF2-40B4-BE49-F238E27FC236}">
              <a16:creationId xmlns:a16="http://schemas.microsoft.com/office/drawing/2014/main" id="{AAB85AA2-C588-4988-92AC-6C1343E442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44</xdr:row>
      <xdr:rowOff>0</xdr:rowOff>
    </xdr:from>
    <xdr:to>
      <xdr:col>11</xdr:col>
      <xdr:colOff>657678</xdr:colOff>
      <xdr:row>63</xdr:row>
      <xdr:rowOff>44161</xdr:rowOff>
    </xdr:to>
    <xdr:graphicFrame macro="">
      <xdr:nvGraphicFramePr>
        <xdr:cNvPr id="6" name="Chart 5">
          <a:extLst>
            <a:ext uri="{FF2B5EF4-FFF2-40B4-BE49-F238E27FC236}">
              <a16:creationId xmlns:a16="http://schemas.microsoft.com/office/drawing/2014/main" id="{25CA22C3-9386-4462-99CF-37DA563B4B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44</xdr:row>
      <xdr:rowOff>0</xdr:rowOff>
    </xdr:from>
    <xdr:to>
      <xdr:col>19</xdr:col>
      <xdr:colOff>748392</xdr:colOff>
      <xdr:row>63</xdr:row>
      <xdr:rowOff>22678</xdr:rowOff>
    </xdr:to>
    <xdr:graphicFrame macro="">
      <xdr:nvGraphicFramePr>
        <xdr:cNvPr id="7" name="Chart 6">
          <a:extLst>
            <a:ext uri="{FF2B5EF4-FFF2-40B4-BE49-F238E27FC236}">
              <a16:creationId xmlns:a16="http://schemas.microsoft.com/office/drawing/2014/main" id="{D0EA9DA8-FE1D-4046-8AC3-B40114294C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0</xdr:colOff>
      <xdr:row>69</xdr:row>
      <xdr:rowOff>124691</xdr:rowOff>
    </xdr:from>
    <xdr:to>
      <xdr:col>11</xdr:col>
      <xdr:colOff>642438</xdr:colOff>
      <xdr:row>88</xdr:row>
      <xdr:rowOff>191167</xdr:rowOff>
    </xdr:to>
    <xdr:graphicFrame macro="">
      <xdr:nvGraphicFramePr>
        <xdr:cNvPr id="8" name="Chart 7">
          <a:extLst>
            <a:ext uri="{FF2B5EF4-FFF2-40B4-BE49-F238E27FC236}">
              <a16:creationId xmlns:a16="http://schemas.microsoft.com/office/drawing/2014/main" id="{CAAA049A-A230-428F-9675-4DBBBC4558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45720</xdr:colOff>
      <xdr:row>118</xdr:row>
      <xdr:rowOff>55880</xdr:rowOff>
    </xdr:from>
    <xdr:to>
      <xdr:col>11</xdr:col>
      <xdr:colOff>688158</xdr:colOff>
      <xdr:row>137</xdr:row>
      <xdr:rowOff>168076</xdr:rowOff>
    </xdr:to>
    <xdr:graphicFrame macro="">
      <xdr:nvGraphicFramePr>
        <xdr:cNvPr id="9" name="Chart 8">
          <a:extLst>
            <a:ext uri="{FF2B5EF4-FFF2-40B4-BE49-F238E27FC236}">
              <a16:creationId xmlns:a16="http://schemas.microsoft.com/office/drawing/2014/main" id="{D539B479-F94B-44D7-88BB-03B7F3321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40640</xdr:colOff>
      <xdr:row>95</xdr:row>
      <xdr:rowOff>66040</xdr:rowOff>
    </xdr:from>
    <xdr:to>
      <xdr:col>11</xdr:col>
      <xdr:colOff>680538</xdr:colOff>
      <xdr:row>114</xdr:row>
      <xdr:rowOff>178236</xdr:rowOff>
    </xdr:to>
    <xdr:graphicFrame macro="">
      <xdr:nvGraphicFramePr>
        <xdr:cNvPr id="10" name="Chart 9">
          <a:extLst>
            <a:ext uri="{FF2B5EF4-FFF2-40B4-BE49-F238E27FC236}">
              <a16:creationId xmlns:a16="http://schemas.microsoft.com/office/drawing/2014/main" id="{FA573C07-6326-4105-8C0A-18E7D5D636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1</xdr:colOff>
      <xdr:row>0</xdr:row>
      <xdr:rowOff>0</xdr:rowOff>
    </xdr:from>
    <xdr:ext cx="5506719" cy="951869"/>
    <xdr:pic>
      <xdr:nvPicPr>
        <xdr:cNvPr id="11" name="Picture 10" descr="65.png">
          <a:extLst>
            <a:ext uri="{FF2B5EF4-FFF2-40B4-BE49-F238E27FC236}">
              <a16:creationId xmlns:a16="http://schemas.microsoft.com/office/drawing/2014/main" id="{BC3777BB-68DE-4E1E-822E-4CB1F0BA986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38151" y="0"/>
          <a:ext cx="5506719" cy="951869"/>
        </a:xfrm>
        <a:prstGeom prst="rect">
          <a:avLst/>
        </a:prstGeom>
        <a:noFill/>
        <a:ln>
          <a:noFill/>
        </a:ln>
      </xdr:spPr>
    </xdr:pic>
    <xdr:clientData/>
  </xdr:oneCellAnchor>
  <xdr:oneCellAnchor>
    <xdr:from>
      <xdr:col>3</xdr:col>
      <xdr:colOff>337457</xdr:colOff>
      <xdr:row>0</xdr:row>
      <xdr:rowOff>182880</xdr:rowOff>
    </xdr:from>
    <xdr:ext cx="3506652" cy="461665"/>
    <xdr:sp macro="" textlink="">
      <xdr:nvSpPr>
        <xdr:cNvPr id="12" name="TextBox 11">
          <a:extLst>
            <a:ext uri="{FF2B5EF4-FFF2-40B4-BE49-F238E27FC236}">
              <a16:creationId xmlns:a16="http://schemas.microsoft.com/office/drawing/2014/main" id="{BC86FC06-5D51-40B9-937B-CC09784DB6E7}"/>
            </a:ext>
          </a:extLst>
        </xdr:cNvPr>
        <xdr:cNvSpPr txBox="1"/>
      </xdr:nvSpPr>
      <xdr:spPr>
        <a:xfrm>
          <a:off x="3595007" y="182880"/>
          <a:ext cx="3506652" cy="461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r>
            <a:rPr lang="en-US" sz="1200" b="1">
              <a:latin typeface="Roboto" pitchFamily="2" charset="0"/>
              <a:ea typeface="Roboto" pitchFamily="2" charset="0"/>
            </a:rPr>
            <a:t>5. MUNICIPAL PUBLIC SERVICES</a:t>
          </a:r>
        </a:p>
        <a:p>
          <a:pPr algn="r"/>
          <a:r>
            <a:rPr lang="en-US" sz="1200" baseline="0">
              <a:latin typeface="Roboto" pitchFamily="2" charset="0"/>
              <a:ea typeface="Roboto" pitchFamily="2" charset="0"/>
            </a:rPr>
            <a:t>Data Collection Assessment </a:t>
          </a:r>
          <a:r>
            <a:rPr lang="en-US" sz="1200" b="1" baseline="0">
              <a:latin typeface="Roboto" pitchFamily="2" charset="0"/>
              <a:ea typeface="Roboto" pitchFamily="2" charset="0"/>
            </a:rPr>
            <a:t>General Overview</a:t>
          </a:r>
          <a:endParaRPr lang="en-US" sz="1200">
            <a:latin typeface="Roboto" pitchFamily="2" charset="0"/>
            <a:ea typeface="Roboto" pitchFamily="2" charset="0"/>
          </a:endParaRPr>
        </a:p>
      </xdr:txBody>
    </xdr:sp>
    <xdr:clientData/>
  </xdr:oneCellAnchor>
  <xdr:twoCellAnchor>
    <xdr:from>
      <xdr:col>5</xdr:col>
      <xdr:colOff>45720</xdr:colOff>
      <xdr:row>143</xdr:row>
      <xdr:rowOff>55880</xdr:rowOff>
    </xdr:from>
    <xdr:to>
      <xdr:col>11</xdr:col>
      <xdr:colOff>688158</xdr:colOff>
      <xdr:row>162</xdr:row>
      <xdr:rowOff>168076</xdr:rowOff>
    </xdr:to>
    <xdr:graphicFrame macro="">
      <xdr:nvGraphicFramePr>
        <xdr:cNvPr id="13" name="Chart 12">
          <a:extLst>
            <a:ext uri="{FF2B5EF4-FFF2-40B4-BE49-F238E27FC236}">
              <a16:creationId xmlns:a16="http://schemas.microsoft.com/office/drawing/2014/main" id="{6C37FEAF-12ED-4FB9-B999-AB9523FD5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426719</xdr:colOff>
      <xdr:row>168</xdr:row>
      <xdr:rowOff>73198</xdr:rowOff>
    </xdr:from>
    <xdr:to>
      <xdr:col>11</xdr:col>
      <xdr:colOff>636203</xdr:colOff>
      <xdr:row>187</xdr:row>
      <xdr:rowOff>185394</xdr:rowOff>
    </xdr:to>
    <xdr:graphicFrame macro="">
      <xdr:nvGraphicFramePr>
        <xdr:cNvPr id="18" name="Chart 17">
          <a:extLst>
            <a:ext uri="{FF2B5EF4-FFF2-40B4-BE49-F238E27FC236}">
              <a16:creationId xmlns:a16="http://schemas.microsoft.com/office/drawing/2014/main" id="{7BEE97F6-DD89-4B3E-8091-16CF70510F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6</xdr:row>
      <xdr:rowOff>15875</xdr:rowOff>
    </xdr:from>
    <xdr:to>
      <xdr:col>9</xdr:col>
      <xdr:colOff>766278</xdr:colOff>
      <xdr:row>20</xdr:row>
      <xdr:rowOff>184039</xdr:rowOff>
    </xdr:to>
    <xdr:graphicFrame macro="">
      <xdr:nvGraphicFramePr>
        <xdr:cNvPr id="2" name="Chart 1">
          <a:extLst>
            <a:ext uri="{FF2B5EF4-FFF2-40B4-BE49-F238E27FC236}">
              <a16:creationId xmlns:a16="http://schemas.microsoft.com/office/drawing/2014/main" id="{CF35D2CB-E3F4-4850-9932-A053130A05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346364</xdr:colOff>
      <xdr:row>30</xdr:row>
      <xdr:rowOff>182765</xdr:rowOff>
    </xdr:from>
    <xdr:to>
      <xdr:col>9</xdr:col>
      <xdr:colOff>721309</xdr:colOff>
      <xdr:row>45</xdr:row>
      <xdr:rowOff>169665</xdr:rowOff>
    </xdr:to>
    <xdr:graphicFrame macro="">
      <xdr:nvGraphicFramePr>
        <xdr:cNvPr id="3" name="Chart 2">
          <a:extLst>
            <a:ext uri="{FF2B5EF4-FFF2-40B4-BE49-F238E27FC236}">
              <a16:creationId xmlns:a16="http://schemas.microsoft.com/office/drawing/2014/main" id="{CB1BF026-ED84-49F6-9D65-1B55D71CF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350520</xdr:colOff>
      <xdr:row>61</xdr:row>
      <xdr:rowOff>0</xdr:rowOff>
    </xdr:from>
    <xdr:to>
      <xdr:col>9</xdr:col>
      <xdr:colOff>719923</xdr:colOff>
      <xdr:row>75</xdr:row>
      <xdr:rowOff>98893</xdr:rowOff>
    </xdr:to>
    <xdr:graphicFrame macro="">
      <xdr:nvGraphicFramePr>
        <xdr:cNvPr id="4" name="Chart 3">
          <a:extLst>
            <a:ext uri="{FF2B5EF4-FFF2-40B4-BE49-F238E27FC236}">
              <a16:creationId xmlns:a16="http://schemas.microsoft.com/office/drawing/2014/main" id="{7075079E-DAF7-4E70-AFC8-4144C0BC4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347749</xdr:colOff>
      <xdr:row>46</xdr:row>
      <xdr:rowOff>29095</xdr:rowOff>
    </xdr:from>
    <xdr:to>
      <xdr:col>9</xdr:col>
      <xdr:colOff>722694</xdr:colOff>
      <xdr:row>60</xdr:row>
      <xdr:rowOff>127985</xdr:rowOff>
    </xdr:to>
    <xdr:graphicFrame macro="">
      <xdr:nvGraphicFramePr>
        <xdr:cNvPr id="5" name="Chart 4">
          <a:extLst>
            <a:ext uri="{FF2B5EF4-FFF2-40B4-BE49-F238E27FC236}">
              <a16:creationId xmlns:a16="http://schemas.microsoft.com/office/drawing/2014/main" id="{B6F4A439-C5D8-4B99-933A-5CAD950220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1</xdr:colOff>
      <xdr:row>0</xdr:row>
      <xdr:rowOff>0</xdr:rowOff>
    </xdr:from>
    <xdr:ext cx="5506719" cy="951869"/>
    <xdr:pic>
      <xdr:nvPicPr>
        <xdr:cNvPr id="6" name="Picture 5" descr="65.png">
          <a:extLst>
            <a:ext uri="{FF2B5EF4-FFF2-40B4-BE49-F238E27FC236}">
              <a16:creationId xmlns:a16="http://schemas.microsoft.com/office/drawing/2014/main" id="{3FC7F509-D777-4A36-9460-BB64E775B1C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61951" y="0"/>
          <a:ext cx="5506719" cy="951869"/>
        </a:xfrm>
        <a:prstGeom prst="rect">
          <a:avLst/>
        </a:prstGeom>
        <a:noFill/>
        <a:ln>
          <a:noFill/>
        </a:ln>
      </xdr:spPr>
    </xdr:pic>
    <xdr:clientData/>
  </xdr:oneCellAnchor>
  <xdr:oneCellAnchor>
    <xdr:from>
      <xdr:col>3</xdr:col>
      <xdr:colOff>337457</xdr:colOff>
      <xdr:row>0</xdr:row>
      <xdr:rowOff>182880</xdr:rowOff>
    </xdr:from>
    <xdr:ext cx="3506652" cy="461665"/>
    <xdr:sp macro="" textlink="">
      <xdr:nvSpPr>
        <xdr:cNvPr id="7" name="TextBox 6">
          <a:extLst>
            <a:ext uri="{FF2B5EF4-FFF2-40B4-BE49-F238E27FC236}">
              <a16:creationId xmlns:a16="http://schemas.microsoft.com/office/drawing/2014/main" id="{C39BE409-97BD-4F35-A8B6-B0BD06B68EE2}"/>
            </a:ext>
          </a:extLst>
        </xdr:cNvPr>
        <xdr:cNvSpPr txBox="1"/>
      </xdr:nvSpPr>
      <xdr:spPr>
        <a:xfrm>
          <a:off x="3556907" y="182880"/>
          <a:ext cx="3506652" cy="461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r>
            <a:rPr lang="en-US" sz="1200" b="1">
              <a:latin typeface="Roboto" pitchFamily="2" charset="0"/>
              <a:ea typeface="Roboto" pitchFamily="2" charset="0"/>
            </a:rPr>
            <a:t>5. MUNICIPAL PUBLIC SERVICES</a:t>
          </a:r>
        </a:p>
        <a:p>
          <a:pPr algn="r"/>
          <a:r>
            <a:rPr lang="en-US" sz="1200" baseline="0">
              <a:latin typeface="Roboto" pitchFamily="2" charset="0"/>
              <a:ea typeface="Roboto" pitchFamily="2" charset="0"/>
            </a:rPr>
            <a:t>Benchmark Assessment </a:t>
          </a:r>
          <a:r>
            <a:rPr lang="en-US" sz="1200" b="1" baseline="0">
              <a:latin typeface="Roboto" pitchFamily="2" charset="0"/>
              <a:ea typeface="Roboto" pitchFamily="2" charset="0"/>
            </a:rPr>
            <a:t>General Overview</a:t>
          </a:r>
          <a:endParaRPr lang="en-US" sz="1200">
            <a:latin typeface="Roboto" pitchFamily="2" charset="0"/>
            <a:ea typeface="Roboto" pitchFamily="2" charset="0"/>
          </a:endParaRPr>
        </a:p>
      </xdr:txBody>
    </xdr:sp>
    <xdr:clientData/>
  </xdr:oneCellAnchor>
  <xdr:twoCellAnchor>
    <xdr:from>
      <xdr:col>4</xdr:col>
      <xdr:colOff>350520</xdr:colOff>
      <xdr:row>76</xdr:row>
      <xdr:rowOff>0</xdr:rowOff>
    </xdr:from>
    <xdr:to>
      <xdr:col>9</xdr:col>
      <xdr:colOff>719923</xdr:colOff>
      <xdr:row>90</xdr:row>
      <xdr:rowOff>98893</xdr:rowOff>
    </xdr:to>
    <xdr:graphicFrame macro="">
      <xdr:nvGraphicFramePr>
        <xdr:cNvPr id="8" name="Chart 7">
          <a:extLst>
            <a:ext uri="{FF2B5EF4-FFF2-40B4-BE49-F238E27FC236}">
              <a16:creationId xmlns:a16="http://schemas.microsoft.com/office/drawing/2014/main" id="{5D73CF0B-1182-4917-96A8-6088D64A38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350520</xdr:colOff>
      <xdr:row>91</xdr:row>
      <xdr:rowOff>0</xdr:rowOff>
    </xdr:from>
    <xdr:to>
      <xdr:col>9</xdr:col>
      <xdr:colOff>719923</xdr:colOff>
      <xdr:row>105</xdr:row>
      <xdr:rowOff>98893</xdr:rowOff>
    </xdr:to>
    <xdr:graphicFrame macro="">
      <xdr:nvGraphicFramePr>
        <xdr:cNvPr id="9" name="Chart 8">
          <a:extLst>
            <a:ext uri="{FF2B5EF4-FFF2-40B4-BE49-F238E27FC236}">
              <a16:creationId xmlns:a16="http://schemas.microsoft.com/office/drawing/2014/main" id="{4C867D8A-FD89-403B-B4B8-674036BBCD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rpp/Library/Containers/com.microsoft.Excel/Data/Documents/D:\CRPP\1%20CALIBRATION\03_BIN\03_BI%20-%20Data%20Entry%20+%20Assess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lists "/>
      <sheetName val="Auxiliar Values"/>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PPI%20Database_Template.xlsx" TargetMode="External"/><Relationship Id="rId1" Type="http://schemas.openxmlformats.org/officeDocument/2006/relationships/hyperlink" Target="Stakeholder%20Database_Template.xlsx"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PPI%20Database_Template.xlsx" TargetMode="External"/><Relationship Id="rId1" Type="http://schemas.openxmlformats.org/officeDocument/2006/relationships/hyperlink" Target="Stakeholder%20Database_Template.xlsx"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PPI%20Database_Template.xlsx" TargetMode="External"/><Relationship Id="rId1" Type="http://schemas.openxmlformats.org/officeDocument/2006/relationships/hyperlink" Target="Stakeholder%20Database_Template.xlsx"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PPI%20Database_Template.xlsx" TargetMode="External"/><Relationship Id="rId1" Type="http://schemas.openxmlformats.org/officeDocument/2006/relationships/hyperlink" Target="Stakeholder%20Database_Template.xlsx"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PPI%20Database_Template.xlsx" TargetMode="External"/><Relationship Id="rId1" Type="http://schemas.openxmlformats.org/officeDocument/2006/relationships/hyperlink" Target="Stakeholder%20Database_Template.xlsx"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33F4D-4217-408D-8583-E7188680FB42}">
  <sheetPr codeName="Sheet1">
    <outlinePr summaryBelow="0" summaryRight="0"/>
    <pageSetUpPr fitToPage="1"/>
  </sheetPr>
  <dimension ref="B1:H55"/>
  <sheetViews>
    <sheetView showGridLines="0" zoomScale="50" zoomScaleNormal="50" zoomScalePageLayoutView="90" workbookViewId="0">
      <selection activeCell="L2" sqref="L2"/>
    </sheetView>
  </sheetViews>
  <sheetFormatPr baseColWidth="10" defaultColWidth="15.1640625" defaultRowHeight="17"/>
  <cols>
    <col min="1" max="1" width="3.6640625" style="1084" customWidth="1"/>
    <col min="2" max="2" width="3.6640625" style="1086" customWidth="1"/>
    <col min="3" max="3" width="12.6640625" style="1085" customWidth="1"/>
    <col min="4" max="4" width="12.83203125" style="1084" customWidth="1"/>
    <col min="5" max="5" width="50.6640625" style="1084" customWidth="1"/>
    <col min="6" max="16384" width="15.1640625" style="1084"/>
  </cols>
  <sheetData>
    <row r="1" spans="2:8" s="1058" customFormat="1" ht="131.5" customHeight="1">
      <c r="B1" s="1057"/>
    </row>
    <row r="2" spans="2:8" s="1112" customFormat="1">
      <c r="B2" s="1145"/>
      <c r="C2" s="1145"/>
      <c r="D2" s="1145"/>
      <c r="E2" s="1145"/>
      <c r="F2" s="1145"/>
      <c r="G2" s="1145"/>
      <c r="H2" s="1145"/>
    </row>
    <row r="3" spans="2:8" s="1112" customFormat="1" ht="36" customHeight="1">
      <c r="B3" s="1145"/>
      <c r="C3" s="1145"/>
      <c r="D3" s="1145"/>
      <c r="E3" s="1145"/>
      <c r="F3" s="1145"/>
      <c r="G3" s="1145"/>
      <c r="H3" s="1145"/>
    </row>
    <row r="4" spans="2:8" s="1104" customFormat="1" ht="16">
      <c r="B4" s="1110"/>
      <c r="C4" s="1110"/>
      <c r="D4" s="1110"/>
      <c r="E4" s="1110"/>
      <c r="F4" s="1110"/>
      <c r="G4" s="1110"/>
      <c r="H4" s="1110"/>
    </row>
    <row r="5" spans="2:8" s="1104" customFormat="1" ht="7.25" customHeight="1">
      <c r="B5" s="1146"/>
      <c r="C5" s="1146"/>
      <c r="D5" s="1146"/>
      <c r="E5" s="1146"/>
      <c r="F5" s="1146"/>
      <c r="G5" s="1146"/>
      <c r="H5" s="1146"/>
    </row>
    <row r="6" spans="2:8" s="1104" customFormat="1" ht="16">
      <c r="B6" s="1147" t="s">
        <v>1253</v>
      </c>
      <c r="C6" s="1147"/>
      <c r="D6" s="1147"/>
      <c r="E6" s="1107"/>
      <c r="F6" s="1106"/>
      <c r="G6" s="1106"/>
      <c r="H6" s="1106"/>
    </row>
    <row r="7" spans="2:8" s="1104" customFormat="1" ht="6" customHeight="1">
      <c r="B7" s="1106"/>
      <c r="C7" s="1106"/>
      <c r="D7" s="1106"/>
      <c r="E7" s="1106"/>
      <c r="F7" s="1106"/>
      <c r="G7" s="1106"/>
      <c r="H7" s="1106"/>
    </row>
    <row r="8" spans="2:8" s="1104" customFormat="1" ht="16">
      <c r="B8" s="1148" t="s">
        <v>1252</v>
      </c>
      <c r="C8" s="1148"/>
      <c r="D8" s="1148"/>
      <c r="E8" s="1149" t="s">
        <v>1251</v>
      </c>
      <c r="F8" s="1149"/>
      <c r="G8" s="1149"/>
      <c r="H8" s="1109"/>
    </row>
    <row r="9" spans="2:8" s="1104" customFormat="1" ht="6" customHeight="1">
      <c r="B9" s="1106"/>
      <c r="C9" s="1106"/>
      <c r="D9" s="1106"/>
      <c r="E9" s="1106"/>
      <c r="F9" s="1106"/>
      <c r="G9" s="1106"/>
      <c r="H9" s="1106"/>
    </row>
    <row r="10" spans="2:8" s="1104" customFormat="1" ht="15" customHeight="1">
      <c r="B10" s="1144" t="s">
        <v>1250</v>
      </c>
      <c r="C10" s="1144"/>
      <c r="D10" s="1144"/>
      <c r="E10" s="1108"/>
      <c r="F10" s="1106"/>
      <c r="G10" s="1106"/>
      <c r="H10" s="1106"/>
    </row>
    <row r="11" spans="2:8" s="1104" customFormat="1" ht="6" customHeight="1">
      <c r="B11" s="1106"/>
      <c r="C11" s="1106"/>
      <c r="D11" s="1106"/>
      <c r="E11" s="1106"/>
      <c r="F11" s="1106"/>
      <c r="G11" s="1106"/>
      <c r="H11" s="1106"/>
    </row>
    <row r="12" spans="2:8" s="1104" customFormat="1" ht="15" customHeight="1">
      <c r="B12" s="1144" t="s">
        <v>1249</v>
      </c>
      <c r="C12" s="1144"/>
      <c r="D12" s="1144"/>
      <c r="E12" s="1108"/>
      <c r="F12" s="1106"/>
      <c r="G12" s="1106"/>
      <c r="H12" s="1106"/>
    </row>
    <row r="13" spans="2:8" s="1104" customFormat="1" ht="6" customHeight="1">
      <c r="B13" s="1106"/>
      <c r="C13" s="1106"/>
      <c r="D13" s="1106"/>
      <c r="E13" s="1106"/>
      <c r="F13" s="1106"/>
      <c r="G13" s="1106"/>
      <c r="H13" s="1106"/>
    </row>
    <row r="14" spans="2:8" s="1104" customFormat="1" ht="16">
      <c r="B14" s="1147" t="s">
        <v>1248</v>
      </c>
      <c r="C14" s="1147"/>
      <c r="D14" s="1147"/>
      <c r="E14" s="1107"/>
      <c r="F14" s="1106"/>
      <c r="G14" s="1106"/>
      <c r="H14" s="1106"/>
    </row>
    <row r="15" spans="2:8" s="1104" customFormat="1" ht="6" customHeight="1">
      <c r="B15" s="1106"/>
      <c r="C15" s="1106"/>
      <c r="D15" s="1106"/>
      <c r="E15" s="1106"/>
      <c r="F15" s="1106"/>
      <c r="G15" s="1106"/>
      <c r="H15" s="1106"/>
    </row>
    <row r="16" spans="2:8" s="1104" customFormat="1" ht="16">
      <c r="B16" s="1105"/>
      <c r="C16" s="1105"/>
      <c r="D16" s="1105"/>
      <c r="E16" s="1105"/>
      <c r="F16" s="1105"/>
      <c r="G16" s="1105"/>
      <c r="H16" s="1105"/>
    </row>
    <row r="17" spans="2:8" s="1104" customFormat="1" ht="16">
      <c r="B17" s="1154" t="s">
        <v>1247</v>
      </c>
      <c r="C17" s="1154"/>
      <c r="D17" s="1154"/>
      <c r="E17" s="1154"/>
      <c r="F17" s="1154"/>
      <c r="G17" s="1154"/>
      <c r="H17" s="1154"/>
    </row>
    <row r="18" spans="2:8" s="1104" customFormat="1" ht="122" customHeight="1">
      <c r="B18" s="1158" t="s">
        <v>1246</v>
      </c>
      <c r="C18" s="1158"/>
      <c r="D18" s="1158"/>
      <c r="E18" s="1158"/>
      <c r="F18" s="1158"/>
      <c r="G18" s="1158"/>
      <c r="H18" s="1158"/>
    </row>
    <row r="19" spans="2:8" s="1104" customFormat="1" ht="122" customHeight="1">
      <c r="B19" s="1158"/>
      <c r="C19" s="1158"/>
      <c r="D19" s="1158"/>
      <c r="E19" s="1158"/>
      <c r="F19" s="1158"/>
      <c r="G19" s="1158"/>
      <c r="H19" s="1158"/>
    </row>
    <row r="20" spans="2:8" s="1104" customFormat="1" ht="122" customHeight="1">
      <c r="B20" s="1158"/>
      <c r="C20" s="1158"/>
      <c r="D20" s="1158"/>
      <c r="E20" s="1158"/>
      <c r="F20" s="1158"/>
      <c r="G20" s="1158"/>
      <c r="H20" s="1158"/>
    </row>
    <row r="21" spans="2:8" s="1104" customFormat="1" ht="122" customHeight="1">
      <c r="B21" s="1158"/>
      <c r="C21" s="1158"/>
      <c r="D21" s="1158"/>
      <c r="E21" s="1158"/>
      <c r="F21" s="1158"/>
      <c r="G21" s="1158"/>
      <c r="H21" s="1158"/>
    </row>
    <row r="22" spans="2:8" s="1104" customFormat="1" ht="122" customHeight="1">
      <c r="B22" s="1158"/>
      <c r="C22" s="1158"/>
      <c r="D22" s="1158"/>
      <c r="E22" s="1158"/>
      <c r="F22" s="1158"/>
      <c r="G22" s="1158"/>
      <c r="H22" s="1158"/>
    </row>
    <row r="23" spans="2:8" s="1104" customFormat="1" ht="122" customHeight="1">
      <c r="B23" s="1158"/>
      <c r="C23" s="1158"/>
      <c r="D23" s="1158"/>
      <c r="E23" s="1158"/>
      <c r="F23" s="1158"/>
      <c r="G23" s="1158"/>
      <c r="H23" s="1158"/>
    </row>
    <row r="24" spans="2:8" s="1111" customFormat="1" ht="122" customHeight="1">
      <c r="B24" s="1158"/>
      <c r="C24" s="1158"/>
      <c r="D24" s="1158"/>
      <c r="E24" s="1158"/>
      <c r="F24" s="1158"/>
      <c r="G24" s="1158"/>
      <c r="H24" s="1158"/>
    </row>
    <row r="25" spans="2:8" s="1104" customFormat="1" ht="122" customHeight="1">
      <c r="B25" s="1158"/>
      <c r="C25" s="1158"/>
      <c r="D25" s="1158"/>
      <c r="E25" s="1158"/>
      <c r="F25" s="1158"/>
      <c r="G25" s="1158"/>
      <c r="H25" s="1158"/>
    </row>
    <row r="26" spans="2:8" s="1104" customFormat="1" ht="16">
      <c r="B26" s="1110"/>
      <c r="C26" s="1110"/>
      <c r="D26" s="1110"/>
      <c r="E26" s="1110"/>
      <c r="F26" s="1110"/>
      <c r="G26" s="1110"/>
      <c r="H26" s="1110"/>
    </row>
    <row r="27" spans="2:8" s="1104" customFormat="1" ht="7.25" customHeight="1">
      <c r="B27" s="1146"/>
      <c r="C27" s="1146"/>
      <c r="D27" s="1146"/>
      <c r="E27" s="1146"/>
      <c r="F27" s="1146"/>
      <c r="G27" s="1146"/>
      <c r="H27" s="1146"/>
    </row>
    <row r="28" spans="2:8" s="1104" customFormat="1" ht="16">
      <c r="B28" s="1147" t="s">
        <v>1245</v>
      </c>
      <c r="C28" s="1147"/>
      <c r="D28" s="1147"/>
      <c r="E28" s="1107"/>
      <c r="F28" s="1106"/>
      <c r="G28" s="1106"/>
      <c r="H28" s="1106"/>
    </row>
    <row r="29" spans="2:8" s="1104" customFormat="1" ht="6" customHeight="1">
      <c r="B29" s="1106"/>
      <c r="C29" s="1106"/>
      <c r="D29" s="1106"/>
      <c r="E29" s="1106"/>
      <c r="F29" s="1106"/>
      <c r="G29" s="1106"/>
      <c r="H29" s="1106"/>
    </row>
    <row r="30" spans="2:8" s="1104" customFormat="1" ht="16">
      <c r="B30" s="1148" t="s">
        <v>1244</v>
      </c>
      <c r="C30" s="1148"/>
      <c r="D30" s="1148"/>
      <c r="E30" s="1153" t="s">
        <v>1243</v>
      </c>
      <c r="F30" s="1153"/>
      <c r="G30" s="1153"/>
      <c r="H30" s="1109"/>
    </row>
    <row r="31" spans="2:8" s="1104" customFormat="1" ht="6" customHeight="1">
      <c r="B31" s="1106"/>
      <c r="C31" s="1106"/>
      <c r="D31" s="1106"/>
      <c r="E31" s="1106"/>
      <c r="F31" s="1106"/>
      <c r="G31" s="1106"/>
      <c r="H31" s="1106"/>
    </row>
    <row r="32" spans="2:8" s="1104" customFormat="1" ht="15" customHeight="1">
      <c r="B32" s="1144"/>
      <c r="C32" s="1144"/>
      <c r="D32" s="1144"/>
      <c r="E32" s="1108"/>
      <c r="F32" s="1106"/>
      <c r="G32" s="1106"/>
      <c r="H32" s="1106"/>
    </row>
    <row r="33" spans="2:8" s="1104" customFormat="1" ht="6" customHeight="1">
      <c r="B33" s="1106"/>
      <c r="C33" s="1106"/>
      <c r="D33" s="1106"/>
      <c r="E33" s="1106"/>
      <c r="F33" s="1106"/>
      <c r="G33" s="1106"/>
      <c r="H33" s="1106"/>
    </row>
    <row r="34" spans="2:8" s="1104" customFormat="1" ht="15" customHeight="1">
      <c r="B34" s="1144"/>
      <c r="C34" s="1144"/>
      <c r="D34" s="1144"/>
      <c r="E34" s="1108"/>
      <c r="F34" s="1106"/>
      <c r="G34" s="1106"/>
      <c r="H34" s="1106"/>
    </row>
    <row r="35" spans="2:8" s="1104" customFormat="1" ht="6" customHeight="1">
      <c r="B35" s="1106"/>
      <c r="C35" s="1106"/>
      <c r="D35" s="1106"/>
      <c r="E35" s="1106"/>
      <c r="F35" s="1106"/>
      <c r="G35" s="1106"/>
      <c r="H35" s="1106"/>
    </row>
    <row r="36" spans="2:8" s="1104" customFormat="1" ht="16">
      <c r="B36" s="1147" t="s">
        <v>1242</v>
      </c>
      <c r="C36" s="1147"/>
      <c r="D36" s="1147"/>
      <c r="E36" s="1107"/>
      <c r="F36" s="1106"/>
      <c r="G36" s="1106"/>
      <c r="H36" s="1106"/>
    </row>
    <row r="37" spans="2:8" s="1104" customFormat="1" ht="6" customHeight="1">
      <c r="B37" s="1106"/>
      <c r="C37" s="1106"/>
      <c r="D37" s="1106"/>
      <c r="E37" s="1106"/>
      <c r="F37" s="1106"/>
      <c r="G37" s="1106"/>
      <c r="H37" s="1106"/>
    </row>
    <row r="38" spans="2:8" s="1104" customFormat="1" ht="16">
      <c r="B38" s="1105"/>
      <c r="C38" s="1105"/>
      <c r="D38" s="1105"/>
      <c r="E38" s="1105"/>
      <c r="F38" s="1105"/>
      <c r="G38" s="1105"/>
      <c r="H38" s="1105"/>
    </row>
    <row r="39" spans="2:8" s="1104" customFormat="1" ht="16">
      <c r="B39" s="1154" t="s">
        <v>1241</v>
      </c>
      <c r="C39" s="1154"/>
      <c r="D39" s="1154"/>
      <c r="E39" s="1154"/>
      <c r="F39" s="1154"/>
      <c r="G39" s="1154"/>
      <c r="H39" s="1154"/>
    </row>
    <row r="40" spans="2:8" s="1104" customFormat="1" ht="15" customHeight="1">
      <c r="B40" s="1155" t="s">
        <v>1240</v>
      </c>
      <c r="C40" s="1156"/>
      <c r="D40" s="1156"/>
      <c r="E40" s="1156" t="s">
        <v>1238</v>
      </c>
      <c r="F40" s="1156"/>
      <c r="G40" s="1156"/>
      <c r="H40" s="1157"/>
    </row>
    <row r="41" spans="2:8" s="1104" customFormat="1" ht="15" customHeight="1">
      <c r="B41" s="1150" t="s">
        <v>1239</v>
      </c>
      <c r="C41" s="1151"/>
      <c r="D41" s="1151"/>
      <c r="E41" s="1151" t="s">
        <v>1238</v>
      </c>
      <c r="F41" s="1151"/>
      <c r="G41" s="1151"/>
      <c r="H41" s="1152"/>
    </row>
    <row r="42" spans="2:8" s="1104" customFormat="1" ht="16">
      <c r="B42" s="1150" t="s">
        <v>1237</v>
      </c>
      <c r="C42" s="1151"/>
      <c r="D42" s="1151"/>
      <c r="E42" s="1151" t="s">
        <v>1236</v>
      </c>
      <c r="F42" s="1151"/>
      <c r="G42" s="1151"/>
      <c r="H42" s="1152"/>
    </row>
    <row r="43" spans="2:8" s="1092" customFormat="1" ht="15" customHeight="1">
      <c r="B43" s="1098"/>
      <c r="C43" s="1101"/>
      <c r="D43" s="1103"/>
      <c r="E43" s="1102"/>
      <c r="F43" s="1094"/>
      <c r="G43" s="1094"/>
      <c r="H43" s="1093"/>
    </row>
    <row r="44" spans="2:8" s="1092" customFormat="1" ht="15" customHeight="1">
      <c r="B44" s="1098"/>
      <c r="C44" s="1101"/>
      <c r="D44" s="1100"/>
      <c r="E44" s="1099"/>
      <c r="F44" s="1094"/>
      <c r="G44" s="1094"/>
      <c r="H44" s="1093"/>
    </row>
    <row r="45" spans="2:8" s="1092" customFormat="1" ht="15" customHeight="1">
      <c r="B45" s="1098"/>
      <c r="C45" s="1097"/>
      <c r="D45" s="1096"/>
      <c r="E45" s="1095"/>
      <c r="F45" s="1094"/>
      <c r="G45" s="1094"/>
      <c r="H45" s="1093"/>
    </row>
    <row r="46" spans="2:8">
      <c r="C46" s="1091"/>
      <c r="D46" s="1090"/>
      <c r="E46" s="1089"/>
    </row>
    <row r="47" spans="2:8" ht="17" customHeight="1">
      <c r="C47" s="1091"/>
      <c r="D47" s="1090"/>
      <c r="E47" s="1089"/>
    </row>
    <row r="48" spans="2:8">
      <c r="C48" s="1091"/>
      <c r="D48" s="1090"/>
      <c r="E48" s="1089"/>
    </row>
    <row r="49" spans="3:5" ht="17" customHeight="1">
      <c r="C49" s="1091"/>
      <c r="D49" s="1090"/>
      <c r="E49" s="1089"/>
    </row>
    <row r="50" spans="3:5">
      <c r="C50" s="1091"/>
      <c r="D50" s="1090"/>
      <c r="E50" s="1089"/>
    </row>
    <row r="51" spans="3:5">
      <c r="C51" s="1088"/>
    </row>
    <row r="52" spans="3:5">
      <c r="C52" s="1088"/>
    </row>
    <row r="53" spans="3:5">
      <c r="C53" s="1088"/>
      <c r="E53" s="1087"/>
    </row>
    <row r="54" spans="3:5">
      <c r="C54" s="1088"/>
      <c r="E54" s="1087"/>
    </row>
    <row r="55" spans="3:5">
      <c r="E55" s="1087"/>
    </row>
  </sheetData>
  <dataConsolidate/>
  <mergeCells count="26">
    <mergeCell ref="B14:D14"/>
    <mergeCell ref="B17:H17"/>
    <mergeCell ref="B18:H25"/>
    <mergeCell ref="B27:E27"/>
    <mergeCell ref="F27:H27"/>
    <mergeCell ref="B42:D42"/>
    <mergeCell ref="E42:H42"/>
    <mergeCell ref="B28:D28"/>
    <mergeCell ref="B30:D30"/>
    <mergeCell ref="E30:G30"/>
    <mergeCell ref="B32:D32"/>
    <mergeCell ref="B34:D34"/>
    <mergeCell ref="B36:D36"/>
    <mergeCell ref="B39:H39"/>
    <mergeCell ref="B40:D40"/>
    <mergeCell ref="E40:H40"/>
    <mergeCell ref="B41:D41"/>
    <mergeCell ref="E41:H41"/>
    <mergeCell ref="B10:D10"/>
    <mergeCell ref="B12:D12"/>
    <mergeCell ref="B2:H3"/>
    <mergeCell ref="B5:E5"/>
    <mergeCell ref="F5:H5"/>
    <mergeCell ref="B6:D6"/>
    <mergeCell ref="B8:D8"/>
    <mergeCell ref="E8:G8"/>
  </mergeCells>
  <pageMargins left="0.75" right="0.75" top="1" bottom="1" header="0.5" footer="0.5"/>
  <pageSetup paperSize="8" scale="47" fitToHeight="0" orientation="landscape" horizontalDpi="4294967292" verticalDpi="4294967292"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outlinePr summaryBelow="0" summaryRight="0"/>
    <pageSetUpPr fitToPage="1"/>
  </sheetPr>
  <dimension ref="A1:AL1048224"/>
  <sheetViews>
    <sheetView showGridLines="0" zoomScaleNormal="100" zoomScalePageLayoutView="80" workbookViewId="0">
      <pane xSplit="4" ySplit="3" topLeftCell="E60" activePane="bottomRight" state="frozen"/>
      <selection activeCell="K26" sqref="K26:R26"/>
      <selection pane="topRight" activeCell="K26" sqref="K26:R26"/>
      <selection pane="bottomLeft" activeCell="K26" sqref="K26:R26"/>
      <selection pane="bottomRight" activeCell="D62" sqref="D62"/>
    </sheetView>
  </sheetViews>
  <sheetFormatPr baseColWidth="10" defaultColWidth="15.1640625" defaultRowHeight="17" outlineLevelCol="1"/>
  <cols>
    <col min="1" max="1" width="3.6640625" style="140" customWidth="1"/>
    <col min="2" max="2" width="12.6640625" style="30" customWidth="1"/>
    <col min="3" max="3" width="8.6640625" style="30" customWidth="1"/>
    <col min="4" max="4" width="50.6640625" style="30" customWidth="1"/>
    <col min="5" max="5" width="12.6640625" style="65" customWidth="1" outlineLevel="1"/>
    <col min="6" max="6" width="50.6640625" style="30" customWidth="1" outlineLevel="1"/>
    <col min="7" max="7" width="9.6640625" style="30" customWidth="1" outlineLevel="1"/>
    <col min="8" max="8" width="11" style="30" customWidth="1" outlineLevel="1"/>
    <col min="9" max="9" width="35.1640625" style="30" customWidth="1" outlineLevel="1"/>
    <col min="10" max="10" width="17.6640625" style="65" customWidth="1" outlineLevel="1"/>
    <col min="11" max="11" width="25.6640625" style="30" customWidth="1"/>
    <col min="12" max="12" width="19.6640625" style="220" customWidth="1"/>
    <col min="13" max="20" width="7.6640625" style="220" customWidth="1" outlineLevel="1"/>
    <col min="21" max="21" width="15.6640625" style="221" customWidth="1"/>
    <col min="22" max="22" width="25.5" style="220" customWidth="1" outlineLevel="1"/>
    <col min="23" max="23" width="15.1640625" style="220" customWidth="1" outlineLevel="1"/>
    <col min="24" max="24" width="16" style="220" customWidth="1" outlineLevel="1"/>
    <col min="25" max="25" width="15.1640625" style="220" customWidth="1" outlineLevel="1"/>
    <col min="26" max="26" width="12.6640625" style="220" customWidth="1" outlineLevel="1"/>
    <col min="27" max="27" width="20.6640625" style="220" customWidth="1" outlineLevel="1"/>
    <col min="28" max="28" width="14.1640625" style="220" customWidth="1" outlineLevel="1"/>
    <col min="29" max="29" width="16.6640625" style="220" customWidth="1" outlineLevel="1"/>
    <col min="30" max="31" width="15.1640625" style="220" customWidth="1" outlineLevel="1"/>
    <col min="32" max="32" width="15.6640625" style="519" customWidth="1" collapsed="1"/>
    <col min="33" max="33" width="50.6640625" style="220" customWidth="1"/>
    <col min="34" max="34" width="15.6640625" style="221" customWidth="1"/>
    <col min="35" max="36" width="50.6640625" style="220" customWidth="1"/>
    <col min="37" max="38" width="15.1640625" style="30"/>
    <col min="39" max="16384" width="15.1640625" style="61"/>
  </cols>
  <sheetData>
    <row r="1" spans="1:38" s="38" customFormat="1" ht="75.5" customHeight="1">
      <c r="A1" s="236"/>
      <c r="B1" s="1116"/>
      <c r="C1" s="53"/>
      <c r="D1" s="53"/>
      <c r="E1" s="190"/>
      <c r="F1" s="1117"/>
      <c r="G1" s="190"/>
      <c r="H1" s="190"/>
      <c r="I1" s="53"/>
      <c r="J1" s="190"/>
      <c r="K1" s="938"/>
      <c r="L1" s="200"/>
      <c r="M1" s="200"/>
      <c r="N1" s="200"/>
      <c r="O1" s="200"/>
      <c r="P1" s="200"/>
      <c r="Q1" s="200"/>
      <c r="R1" s="200"/>
      <c r="S1" s="200"/>
      <c r="T1" s="200"/>
      <c r="U1" s="830"/>
      <c r="V1" s="200"/>
      <c r="W1" s="567"/>
      <c r="X1" s="200"/>
      <c r="Y1" s="200"/>
      <c r="Z1" s="200"/>
      <c r="AA1" s="200"/>
      <c r="AB1" s="200"/>
      <c r="AC1" s="200"/>
      <c r="AD1" s="200"/>
      <c r="AE1" s="200"/>
      <c r="AF1" s="1114"/>
      <c r="AG1" s="200"/>
      <c r="AH1" s="830"/>
      <c r="AI1" s="200"/>
      <c r="AJ1" s="200"/>
    </row>
    <row r="2" spans="1:38" s="39" customFormat="1">
      <c r="A2" s="136"/>
      <c r="B2" s="1298"/>
      <c r="C2" s="1266" t="s">
        <v>69</v>
      </c>
      <c r="D2" s="1266"/>
      <c r="E2" s="1279" t="s">
        <v>70</v>
      </c>
      <c r="F2" s="1280"/>
      <c r="G2" s="1280"/>
      <c r="H2" s="1280"/>
      <c r="I2" s="1280"/>
      <c r="J2" s="1280"/>
      <c r="K2" s="1281"/>
      <c r="L2" s="1260" t="s">
        <v>71</v>
      </c>
      <c r="M2" s="1257"/>
      <c r="N2" s="1257"/>
      <c r="O2" s="1257"/>
      <c r="P2" s="1257"/>
      <c r="Q2" s="1257"/>
      <c r="R2" s="1257"/>
      <c r="S2" s="1257"/>
      <c r="T2" s="1257"/>
      <c r="U2" s="1261" t="s">
        <v>72</v>
      </c>
      <c r="V2" s="1256" t="s">
        <v>73</v>
      </c>
      <c r="W2" s="1257"/>
      <c r="X2" s="1257"/>
      <c r="Y2" s="1257"/>
      <c r="Z2" s="1257"/>
      <c r="AA2" s="1257"/>
      <c r="AB2" s="1257"/>
      <c r="AC2" s="1257"/>
      <c r="AD2" s="1254" t="s">
        <v>88</v>
      </c>
      <c r="AE2" s="1254" t="s">
        <v>90</v>
      </c>
      <c r="AF2" s="1258" t="s">
        <v>1</v>
      </c>
      <c r="AG2" s="1251" t="s">
        <v>464</v>
      </c>
      <c r="AH2" s="1268" t="s">
        <v>54</v>
      </c>
      <c r="AI2" s="1251" t="s">
        <v>465</v>
      </c>
      <c r="AJ2" s="1249" t="s">
        <v>466</v>
      </c>
    </row>
    <row r="3" spans="1:38" s="39" customFormat="1" ht="36" customHeight="1">
      <c r="A3" s="136"/>
      <c r="B3" s="1299"/>
      <c r="C3" s="1267"/>
      <c r="D3" s="1267"/>
      <c r="E3" s="40" t="s">
        <v>74</v>
      </c>
      <c r="F3" s="41" t="s">
        <v>458</v>
      </c>
      <c r="G3" s="41" t="s">
        <v>75</v>
      </c>
      <c r="H3" s="41" t="s">
        <v>76</v>
      </c>
      <c r="I3" s="41" t="s">
        <v>77</v>
      </c>
      <c r="J3" s="41" t="s">
        <v>78</v>
      </c>
      <c r="K3" s="42" t="s">
        <v>79</v>
      </c>
      <c r="L3" s="201" t="s">
        <v>80</v>
      </c>
      <c r="M3" s="1253" t="s">
        <v>14</v>
      </c>
      <c r="N3" s="1253"/>
      <c r="O3" s="1253"/>
      <c r="P3" s="1253"/>
      <c r="Q3" s="1253"/>
      <c r="R3" s="1253"/>
      <c r="S3" s="1253"/>
      <c r="T3" s="1253"/>
      <c r="U3" s="1262"/>
      <c r="V3" s="202" t="s">
        <v>81</v>
      </c>
      <c r="W3" s="202" t="s">
        <v>82</v>
      </c>
      <c r="X3" s="202" t="s">
        <v>83</v>
      </c>
      <c r="Y3" s="202" t="s">
        <v>84</v>
      </c>
      <c r="Z3" s="202" t="s">
        <v>85</v>
      </c>
      <c r="AA3" s="202" t="s">
        <v>86</v>
      </c>
      <c r="AB3" s="202" t="s">
        <v>87</v>
      </c>
      <c r="AC3" s="202" t="s">
        <v>89</v>
      </c>
      <c r="AD3" s="1255"/>
      <c r="AE3" s="1255"/>
      <c r="AF3" s="1259"/>
      <c r="AG3" s="1252"/>
      <c r="AH3" s="1269"/>
      <c r="AI3" s="1252"/>
      <c r="AJ3" s="1250"/>
    </row>
    <row r="4" spans="1:38" s="43" customFormat="1" ht="27" customHeight="1">
      <c r="A4" s="137"/>
      <c r="B4" s="95" t="s">
        <v>471</v>
      </c>
      <c r="C4" s="89" t="s">
        <v>472</v>
      </c>
      <c r="D4" s="96"/>
      <c r="E4" s="97"/>
      <c r="F4" s="98"/>
      <c r="G4" s="98"/>
      <c r="H4" s="98"/>
      <c r="I4" s="98"/>
      <c r="J4" s="98"/>
      <c r="K4" s="98"/>
      <c r="L4" s="506"/>
      <c r="M4" s="507"/>
      <c r="N4" s="507"/>
      <c r="O4" s="507"/>
      <c r="P4" s="507"/>
      <c r="Q4" s="507"/>
      <c r="R4" s="507"/>
      <c r="S4" s="507"/>
      <c r="T4" s="508"/>
      <c r="U4" s="489"/>
      <c r="V4" s="205"/>
      <c r="W4" s="205"/>
      <c r="X4" s="205"/>
      <c r="Y4" s="205"/>
      <c r="Z4" s="205"/>
      <c r="AA4" s="205"/>
      <c r="AB4" s="205"/>
      <c r="AC4" s="205"/>
      <c r="AD4" s="206"/>
      <c r="AE4" s="206"/>
      <c r="AF4" s="206"/>
      <c r="AG4" s="207"/>
      <c r="AH4" s="204"/>
      <c r="AI4" s="207"/>
      <c r="AJ4" s="203"/>
    </row>
    <row r="5" spans="1:38" s="51" customFormat="1" ht="27" customHeight="1" thickBot="1">
      <c r="A5" s="138" t="s">
        <v>34</v>
      </c>
      <c r="B5" s="44" t="s">
        <v>474</v>
      </c>
      <c r="C5" s="45" t="s">
        <v>473</v>
      </c>
      <c r="D5" s="46"/>
      <c r="E5" s="47"/>
      <c r="F5" s="48"/>
      <c r="G5" s="49"/>
      <c r="H5" s="49"/>
      <c r="I5" s="49"/>
      <c r="J5" s="49"/>
      <c r="K5" s="49"/>
      <c r="L5" s="143"/>
      <c r="M5" s="144"/>
      <c r="N5" s="144"/>
      <c r="O5" s="144"/>
      <c r="P5" s="144"/>
      <c r="Q5" s="144"/>
      <c r="R5" s="144"/>
      <c r="S5" s="144"/>
      <c r="T5" s="483"/>
      <c r="U5" s="145"/>
      <c r="V5" s="146"/>
      <c r="W5" s="146"/>
      <c r="X5" s="146"/>
      <c r="Y5" s="146"/>
      <c r="Z5" s="146"/>
      <c r="AA5" s="146"/>
      <c r="AB5" s="146"/>
      <c r="AC5" s="146"/>
      <c r="AD5" s="145"/>
      <c r="AE5" s="145"/>
      <c r="AF5" s="145"/>
      <c r="AG5" s="147"/>
      <c r="AH5" s="144"/>
      <c r="AI5" s="147"/>
      <c r="AJ5" s="143"/>
      <c r="AK5" s="50"/>
      <c r="AL5" s="50"/>
    </row>
    <row r="6" spans="1:38" s="53" customFormat="1" ht="17" customHeight="1">
      <c r="A6" s="139" t="s">
        <v>2</v>
      </c>
      <c r="B6" s="196"/>
      <c r="C6" s="1243" t="s">
        <v>475</v>
      </c>
      <c r="D6" s="1241" t="s">
        <v>476</v>
      </c>
      <c r="E6" s="1247" t="s">
        <v>1214</v>
      </c>
      <c r="F6" s="1245" t="s">
        <v>684</v>
      </c>
      <c r="G6" s="1273" t="s">
        <v>91</v>
      </c>
      <c r="H6" s="1189" t="s">
        <v>100</v>
      </c>
      <c r="I6" s="1275" t="s">
        <v>688</v>
      </c>
      <c r="J6" s="1277" t="s">
        <v>690</v>
      </c>
      <c r="K6" s="492"/>
      <c r="L6" s="509" t="s">
        <v>478</v>
      </c>
      <c r="M6" s="1300" t="s">
        <v>687</v>
      </c>
      <c r="N6" s="1301"/>
      <c r="O6" s="1301"/>
      <c r="P6" s="1301"/>
      <c r="Q6" s="1301"/>
      <c r="R6" s="1301"/>
      <c r="S6" s="1301"/>
      <c r="T6" s="1302"/>
      <c r="U6" s="1159" t="s">
        <v>11</v>
      </c>
      <c r="V6" s="54"/>
      <c r="W6" s="55"/>
      <c r="X6" s="55"/>
      <c r="Y6" s="55"/>
      <c r="Z6" s="55"/>
      <c r="AA6" s="55"/>
      <c r="AB6" s="55"/>
      <c r="AC6" s="476"/>
      <c r="AD6" s="106"/>
      <c r="AE6" s="106"/>
      <c r="AF6" s="521"/>
      <c r="AG6" s="56"/>
      <c r="AH6" s="1162" t="s">
        <v>44</v>
      </c>
      <c r="AI6" s="56"/>
      <c r="AJ6" s="118"/>
      <c r="AK6" s="52"/>
      <c r="AL6" s="52"/>
    </row>
    <row r="7" spans="1:38" s="53" customFormat="1" ht="17" customHeight="1">
      <c r="A7" s="139"/>
      <c r="B7" s="196"/>
      <c r="C7" s="1244"/>
      <c r="D7" s="1242"/>
      <c r="E7" s="1248"/>
      <c r="F7" s="1246"/>
      <c r="G7" s="1274"/>
      <c r="H7" s="1190"/>
      <c r="I7" s="1276"/>
      <c r="J7" s="1278"/>
      <c r="K7" s="769" t="s">
        <v>477</v>
      </c>
      <c r="L7" s="1118"/>
      <c r="M7" s="1263"/>
      <c r="N7" s="1264"/>
      <c r="O7" s="1264"/>
      <c r="P7" s="1264"/>
      <c r="Q7" s="1264"/>
      <c r="R7" s="1264"/>
      <c r="S7" s="1264"/>
      <c r="T7" s="1265"/>
      <c r="U7" s="1160"/>
      <c r="V7" s="57"/>
      <c r="W7" s="58"/>
      <c r="X7" s="58"/>
      <c r="Y7" s="58"/>
      <c r="Z7" s="58"/>
      <c r="AA7" s="58"/>
      <c r="AB7" s="58"/>
      <c r="AC7" s="477"/>
      <c r="AD7" s="107"/>
      <c r="AE7" s="107"/>
      <c r="AF7" s="522"/>
      <c r="AG7" s="59"/>
      <c r="AH7" s="1163"/>
      <c r="AI7" s="59"/>
      <c r="AJ7" s="119"/>
      <c r="AK7" s="52"/>
      <c r="AL7" s="52"/>
    </row>
    <row r="8" spans="1:38" s="53" customFormat="1" ht="17" customHeight="1">
      <c r="A8" s="139"/>
      <c r="B8" s="196"/>
      <c r="C8" s="1244"/>
      <c r="D8" s="1242"/>
      <c r="E8" s="1248"/>
      <c r="F8" s="1246"/>
      <c r="G8" s="1274"/>
      <c r="H8" s="1190"/>
      <c r="I8" s="1276"/>
      <c r="J8" s="1278"/>
      <c r="K8" s="769" t="s">
        <v>479</v>
      </c>
      <c r="L8" s="510"/>
      <c r="M8" s="1270"/>
      <c r="N8" s="1271"/>
      <c r="O8" s="1271"/>
      <c r="P8" s="1271"/>
      <c r="Q8" s="1271"/>
      <c r="R8" s="1271"/>
      <c r="S8" s="1271"/>
      <c r="T8" s="1272"/>
      <c r="U8" s="1160"/>
      <c r="V8" s="57"/>
      <c r="W8" s="58"/>
      <c r="X8" s="58"/>
      <c r="Y8" s="58"/>
      <c r="Z8" s="58"/>
      <c r="AA8" s="58"/>
      <c r="AB8" s="58"/>
      <c r="AC8" s="477"/>
      <c r="AD8" s="107"/>
      <c r="AE8" s="107"/>
      <c r="AF8" s="522"/>
      <c r="AG8" s="59"/>
      <c r="AH8" s="1163"/>
      <c r="AI8" s="59"/>
      <c r="AJ8" s="119"/>
      <c r="AK8" s="52"/>
      <c r="AL8" s="52"/>
    </row>
    <row r="9" spans="1:38" s="53" customFormat="1">
      <c r="A9" s="139"/>
      <c r="B9" s="196"/>
      <c r="C9" s="1244"/>
      <c r="D9" s="1242"/>
      <c r="E9" s="1248"/>
      <c r="F9" s="1246"/>
      <c r="G9" s="1274"/>
      <c r="H9" s="1190"/>
      <c r="I9" s="1276"/>
      <c r="J9" s="1278"/>
      <c r="K9" s="769" t="s">
        <v>480</v>
      </c>
      <c r="L9" s="510"/>
      <c r="M9" s="1270"/>
      <c r="N9" s="1271"/>
      <c r="O9" s="1271"/>
      <c r="P9" s="1271"/>
      <c r="Q9" s="1271"/>
      <c r="R9" s="1271"/>
      <c r="S9" s="1271"/>
      <c r="T9" s="1272"/>
      <c r="U9" s="1160"/>
      <c r="V9" s="57"/>
      <c r="W9" s="58"/>
      <c r="X9" s="58"/>
      <c r="Y9" s="58"/>
      <c r="Z9" s="58"/>
      <c r="AA9" s="58"/>
      <c r="AB9" s="58"/>
      <c r="AC9" s="477"/>
      <c r="AD9" s="107"/>
      <c r="AE9" s="107"/>
      <c r="AF9" s="522"/>
      <c r="AG9" s="59"/>
      <c r="AH9" s="1163"/>
      <c r="AI9" s="59"/>
      <c r="AJ9" s="119"/>
      <c r="AK9" s="52"/>
      <c r="AL9" s="52"/>
    </row>
    <row r="10" spans="1:38" s="53" customFormat="1" ht="28.25" customHeight="1">
      <c r="A10" s="139"/>
      <c r="B10" s="196"/>
      <c r="C10" s="1244"/>
      <c r="D10" s="1242"/>
      <c r="E10" s="1248"/>
      <c r="F10" s="1246"/>
      <c r="G10" s="1274"/>
      <c r="H10" s="1190"/>
      <c r="I10" s="1276"/>
      <c r="J10" s="1278"/>
      <c r="K10" s="769" t="s">
        <v>481</v>
      </c>
      <c r="L10" s="510"/>
      <c r="M10" s="1270"/>
      <c r="N10" s="1271"/>
      <c r="O10" s="1271"/>
      <c r="P10" s="1271"/>
      <c r="Q10" s="1271"/>
      <c r="R10" s="1271"/>
      <c r="S10" s="1271"/>
      <c r="T10" s="1272"/>
      <c r="U10" s="1160"/>
      <c r="V10" s="57"/>
      <c r="W10" s="58"/>
      <c r="X10" s="58"/>
      <c r="Y10" s="58"/>
      <c r="Z10" s="58"/>
      <c r="AA10" s="58"/>
      <c r="AB10" s="58"/>
      <c r="AC10" s="477"/>
      <c r="AD10" s="107"/>
      <c r="AE10" s="107"/>
      <c r="AF10" s="522"/>
      <c r="AG10" s="59"/>
      <c r="AH10" s="1163"/>
      <c r="AI10" s="59"/>
      <c r="AJ10" s="119"/>
      <c r="AK10" s="52"/>
      <c r="AL10" s="52"/>
    </row>
    <row r="11" spans="1:38" s="53" customFormat="1" ht="28">
      <c r="A11" s="139"/>
      <c r="B11" s="196"/>
      <c r="C11" s="1244"/>
      <c r="D11" s="1242"/>
      <c r="E11" s="1248"/>
      <c r="F11" s="1246"/>
      <c r="G11" s="1274"/>
      <c r="H11" s="1190"/>
      <c r="I11" s="1276"/>
      <c r="J11" s="1278"/>
      <c r="K11" s="769" t="s">
        <v>482</v>
      </c>
      <c r="L11" s="510"/>
      <c r="M11" s="1270"/>
      <c r="N11" s="1271"/>
      <c r="O11" s="1271"/>
      <c r="P11" s="1271"/>
      <c r="Q11" s="1271"/>
      <c r="R11" s="1271"/>
      <c r="S11" s="1271"/>
      <c r="T11" s="1272"/>
      <c r="U11" s="1160"/>
      <c r="V11" s="57"/>
      <c r="W11" s="58"/>
      <c r="X11" s="58"/>
      <c r="Y11" s="58"/>
      <c r="Z11" s="58"/>
      <c r="AA11" s="58"/>
      <c r="AB11" s="58"/>
      <c r="AC11" s="477"/>
      <c r="AD11" s="107"/>
      <c r="AE11" s="107"/>
      <c r="AF11" s="522"/>
      <c r="AG11" s="59"/>
      <c r="AH11" s="1163"/>
      <c r="AI11" s="59"/>
      <c r="AJ11" s="119"/>
      <c r="AK11" s="52"/>
      <c r="AL11" s="52"/>
    </row>
    <row r="12" spans="1:38" s="53" customFormat="1">
      <c r="A12" s="139"/>
      <c r="B12" s="196"/>
      <c r="C12" s="1244"/>
      <c r="D12" s="1242"/>
      <c r="E12" s="1248"/>
      <c r="F12" s="1246"/>
      <c r="G12" s="1274"/>
      <c r="H12" s="1190"/>
      <c r="I12" s="1276"/>
      <c r="J12" s="1278"/>
      <c r="K12" s="769" t="s">
        <v>483</v>
      </c>
      <c r="L12" s="510"/>
      <c r="M12" s="1270"/>
      <c r="N12" s="1271"/>
      <c r="O12" s="1271"/>
      <c r="P12" s="1271"/>
      <c r="Q12" s="1271"/>
      <c r="R12" s="1271"/>
      <c r="S12" s="1271"/>
      <c r="T12" s="1272"/>
      <c r="U12" s="1160"/>
      <c r="V12" s="57"/>
      <c r="W12" s="58"/>
      <c r="X12" s="58"/>
      <c r="Y12" s="58"/>
      <c r="Z12" s="58"/>
      <c r="AA12" s="58"/>
      <c r="AB12" s="58"/>
      <c r="AC12" s="477"/>
      <c r="AD12" s="107"/>
      <c r="AE12" s="107"/>
      <c r="AF12" s="522"/>
      <c r="AG12" s="59"/>
      <c r="AH12" s="1163"/>
      <c r="AI12" s="59"/>
      <c r="AJ12" s="119"/>
      <c r="AK12" s="52"/>
      <c r="AL12" s="52"/>
    </row>
    <row r="13" spans="1:38" s="53" customFormat="1" ht="28">
      <c r="A13" s="139"/>
      <c r="B13" s="196"/>
      <c r="C13" s="1244"/>
      <c r="D13" s="1242"/>
      <c r="E13" s="1248"/>
      <c r="F13" s="1246"/>
      <c r="G13" s="1274"/>
      <c r="H13" s="1190"/>
      <c r="I13" s="1276"/>
      <c r="J13" s="1278"/>
      <c r="K13" s="769" t="s">
        <v>484</v>
      </c>
      <c r="L13" s="510"/>
      <c r="M13" s="1270"/>
      <c r="N13" s="1271"/>
      <c r="O13" s="1271"/>
      <c r="P13" s="1271"/>
      <c r="Q13" s="1271"/>
      <c r="R13" s="1271"/>
      <c r="S13" s="1271"/>
      <c r="T13" s="1272"/>
      <c r="U13" s="1160"/>
      <c r="V13" s="57"/>
      <c r="W13" s="58"/>
      <c r="X13" s="58"/>
      <c r="Y13" s="58"/>
      <c r="Z13" s="58"/>
      <c r="AA13" s="58"/>
      <c r="AB13" s="58"/>
      <c r="AC13" s="477"/>
      <c r="AD13" s="107"/>
      <c r="AE13" s="107"/>
      <c r="AF13" s="522"/>
      <c r="AG13" s="59"/>
      <c r="AH13" s="1163"/>
      <c r="AI13" s="59"/>
      <c r="AJ13" s="119"/>
      <c r="AK13" s="52"/>
      <c r="AL13" s="52"/>
    </row>
    <row r="14" spans="1:38" s="53" customFormat="1">
      <c r="A14" s="139"/>
      <c r="B14" s="196"/>
      <c r="C14" s="1244"/>
      <c r="D14" s="1242"/>
      <c r="E14" s="1248"/>
      <c r="F14" s="1246"/>
      <c r="G14" s="1274"/>
      <c r="H14" s="1190"/>
      <c r="I14" s="1276"/>
      <c r="J14" s="1278"/>
      <c r="K14" s="769" t="s">
        <v>485</v>
      </c>
      <c r="L14" s="510"/>
      <c r="M14" s="1270"/>
      <c r="N14" s="1271"/>
      <c r="O14" s="1271"/>
      <c r="P14" s="1271"/>
      <c r="Q14" s="1271"/>
      <c r="R14" s="1271"/>
      <c r="S14" s="1271"/>
      <c r="T14" s="1272"/>
      <c r="U14" s="1160"/>
      <c r="V14" s="57"/>
      <c r="W14" s="58"/>
      <c r="X14" s="58"/>
      <c r="Y14" s="58"/>
      <c r="Z14" s="58"/>
      <c r="AA14" s="58"/>
      <c r="AB14" s="58"/>
      <c r="AC14" s="477"/>
      <c r="AD14" s="107"/>
      <c r="AE14" s="107"/>
      <c r="AF14" s="522"/>
      <c r="AG14" s="59"/>
      <c r="AH14" s="1163"/>
      <c r="AI14" s="59"/>
      <c r="AJ14" s="119"/>
      <c r="AK14" s="52"/>
      <c r="AL14" s="52"/>
    </row>
    <row r="15" spans="1:38" s="53" customFormat="1" ht="26" customHeight="1" thickBot="1">
      <c r="A15" s="139"/>
      <c r="B15" s="196"/>
      <c r="C15" s="1244"/>
      <c r="D15" s="1242"/>
      <c r="E15" s="1248"/>
      <c r="F15" s="1246"/>
      <c r="G15" s="1274"/>
      <c r="H15" s="1190"/>
      <c r="I15" s="1276"/>
      <c r="J15" s="1278"/>
      <c r="K15" s="769" t="s">
        <v>486</v>
      </c>
      <c r="L15" s="510"/>
      <c r="M15" s="1270"/>
      <c r="N15" s="1271"/>
      <c r="O15" s="1271"/>
      <c r="P15" s="1271"/>
      <c r="Q15" s="1271"/>
      <c r="R15" s="1271"/>
      <c r="S15" s="1271"/>
      <c r="T15" s="1272"/>
      <c r="U15" s="1161"/>
      <c r="V15" s="57"/>
      <c r="W15" s="58"/>
      <c r="X15" s="58"/>
      <c r="Y15" s="58"/>
      <c r="Z15" s="58"/>
      <c r="AA15" s="58"/>
      <c r="AB15" s="58"/>
      <c r="AC15" s="477"/>
      <c r="AD15" s="107"/>
      <c r="AE15" s="107"/>
      <c r="AF15" s="522"/>
      <c r="AG15" s="59"/>
      <c r="AH15" s="1163"/>
      <c r="AI15" s="59"/>
      <c r="AJ15" s="119"/>
      <c r="AK15" s="52"/>
      <c r="AL15" s="52"/>
    </row>
    <row r="16" spans="1:38" s="53" customFormat="1" ht="37.5" customHeight="1" thickBot="1">
      <c r="A16" s="236" t="s">
        <v>3</v>
      </c>
      <c r="B16" s="196"/>
      <c r="C16" s="404"/>
      <c r="D16" s="405" t="s">
        <v>685</v>
      </c>
      <c r="E16" s="1045" t="s">
        <v>1214</v>
      </c>
      <c r="F16" s="405"/>
      <c r="G16" s="407" t="s">
        <v>91</v>
      </c>
      <c r="H16" s="367" t="s">
        <v>247</v>
      </c>
      <c r="I16" s="406" t="s">
        <v>689</v>
      </c>
      <c r="J16" s="408" t="s">
        <v>686</v>
      </c>
      <c r="K16" s="770" t="s">
        <v>487</v>
      </c>
      <c r="L16" s="511"/>
      <c r="M16" s="1311"/>
      <c r="N16" s="1312"/>
      <c r="O16" s="1312"/>
      <c r="P16" s="1312"/>
      <c r="Q16" s="1312"/>
      <c r="R16" s="1312"/>
      <c r="S16" s="1312"/>
      <c r="T16" s="1313"/>
      <c r="U16" s="490" t="s">
        <v>11</v>
      </c>
      <c r="V16" s="409"/>
      <c r="W16" s="409"/>
      <c r="X16" s="409"/>
      <c r="Y16" s="410"/>
      <c r="Z16" s="409"/>
      <c r="AA16" s="409"/>
      <c r="AB16" s="409"/>
      <c r="AC16" s="411"/>
      <c r="AD16" s="412"/>
      <c r="AE16" s="412"/>
      <c r="AF16" s="523"/>
      <c r="AG16" s="413"/>
      <c r="AH16" s="472"/>
      <c r="AI16" s="413"/>
      <c r="AJ16" s="414"/>
      <c r="AK16" s="52"/>
      <c r="AL16" s="52"/>
    </row>
    <row r="17" spans="1:38" s="53" customFormat="1" ht="197" thickBot="1">
      <c r="A17" s="139" t="s">
        <v>2</v>
      </c>
      <c r="B17" s="196"/>
      <c r="C17" s="225" t="s">
        <v>488</v>
      </c>
      <c r="D17" s="359" t="s">
        <v>489</v>
      </c>
      <c r="E17" s="1046" t="s">
        <v>1214</v>
      </c>
      <c r="F17" s="237" t="s">
        <v>702</v>
      </c>
      <c r="G17" s="240" t="s">
        <v>91</v>
      </c>
      <c r="H17" s="366" t="s">
        <v>100</v>
      </c>
      <c r="I17" s="359" t="s">
        <v>694</v>
      </c>
      <c r="J17" s="358" t="s">
        <v>695</v>
      </c>
      <c r="K17" s="359"/>
      <c r="L17" s="1119"/>
      <c r="M17" s="1309"/>
      <c r="N17" s="1309"/>
      <c r="O17" s="1309"/>
      <c r="P17" s="1309"/>
      <c r="Q17" s="1309"/>
      <c r="R17" s="1309"/>
      <c r="S17" s="1309"/>
      <c r="T17" s="1310"/>
      <c r="U17" s="491" t="s">
        <v>11</v>
      </c>
      <c r="V17" s="54"/>
      <c r="W17" s="55"/>
      <c r="X17" s="55"/>
      <c r="Y17" s="55"/>
      <c r="Z17" s="55"/>
      <c r="AA17" s="55"/>
      <c r="AB17" s="55"/>
      <c r="AC17" s="476"/>
      <c r="AD17" s="106"/>
      <c r="AE17" s="106"/>
      <c r="AF17" s="521"/>
      <c r="AG17" s="56"/>
      <c r="AH17" s="239" t="s">
        <v>44</v>
      </c>
      <c r="AI17" s="56"/>
      <c r="AJ17" s="118"/>
      <c r="AK17" s="52"/>
      <c r="AL17" s="52"/>
    </row>
    <row r="18" spans="1:38" s="53" customFormat="1" ht="57" thickBot="1">
      <c r="A18" s="139" t="s">
        <v>3</v>
      </c>
      <c r="B18" s="196"/>
      <c r="C18" s="229"/>
      <c r="D18" s="368" t="s">
        <v>696</v>
      </c>
      <c r="E18" s="1047"/>
      <c r="F18" s="368"/>
      <c r="G18" s="228" t="s">
        <v>91</v>
      </c>
      <c r="H18" s="415" t="s">
        <v>111</v>
      </c>
      <c r="I18" s="368" t="s">
        <v>697</v>
      </c>
      <c r="J18" s="357" t="s">
        <v>695</v>
      </c>
      <c r="K18" s="369"/>
      <c r="L18" s="379"/>
      <c r="M18" s="1303"/>
      <c r="N18" s="1304"/>
      <c r="O18" s="1304"/>
      <c r="P18" s="1304"/>
      <c r="Q18" s="1304"/>
      <c r="R18" s="1304"/>
      <c r="S18" s="1304"/>
      <c r="T18" s="1305"/>
      <c r="U18" s="491" t="s">
        <v>11</v>
      </c>
      <c r="V18" s="231"/>
      <c r="W18" s="231"/>
      <c r="X18" s="231"/>
      <c r="Y18" s="231"/>
      <c r="Z18" s="231"/>
      <c r="AA18" s="231"/>
      <c r="AB18" s="231"/>
      <c r="AC18" s="233"/>
      <c r="AD18" s="234"/>
      <c r="AE18" s="234"/>
      <c r="AF18" s="522"/>
      <c r="AG18" s="235"/>
      <c r="AH18" s="370"/>
      <c r="AI18" s="235"/>
      <c r="AJ18" s="119"/>
      <c r="AK18" s="52"/>
      <c r="AL18" s="52"/>
    </row>
    <row r="19" spans="1:38" s="53" customFormat="1" ht="57" thickBot="1">
      <c r="A19" s="139" t="s">
        <v>3</v>
      </c>
      <c r="B19" s="196"/>
      <c r="C19" s="404"/>
      <c r="D19" s="416" t="s">
        <v>699</v>
      </c>
      <c r="E19" s="1048"/>
      <c r="F19" s="416"/>
      <c r="G19" s="407" t="s">
        <v>97</v>
      </c>
      <c r="H19" s="367" t="s">
        <v>111</v>
      </c>
      <c r="I19" s="416" t="s">
        <v>698</v>
      </c>
      <c r="J19" s="408" t="s">
        <v>695</v>
      </c>
      <c r="K19" s="417"/>
      <c r="L19" s="418"/>
      <c r="M19" s="1306"/>
      <c r="N19" s="1307"/>
      <c r="O19" s="1307"/>
      <c r="P19" s="1307"/>
      <c r="Q19" s="1307"/>
      <c r="R19" s="1307"/>
      <c r="S19" s="1307"/>
      <c r="T19" s="1308"/>
      <c r="U19" s="490" t="s">
        <v>11</v>
      </c>
      <c r="V19" s="409"/>
      <c r="W19" s="409"/>
      <c r="X19" s="409"/>
      <c r="Y19" s="409"/>
      <c r="Z19" s="409"/>
      <c r="AA19" s="409"/>
      <c r="AB19" s="409"/>
      <c r="AC19" s="411"/>
      <c r="AD19" s="412"/>
      <c r="AE19" s="412"/>
      <c r="AF19" s="523"/>
      <c r="AG19" s="413"/>
      <c r="AH19" s="419"/>
      <c r="AI19" s="413"/>
      <c r="AJ19" s="414"/>
      <c r="AK19" s="52"/>
      <c r="AL19" s="52"/>
    </row>
    <row r="20" spans="1:38" s="53" customFormat="1">
      <c r="A20" s="139" t="s">
        <v>2</v>
      </c>
      <c r="B20" s="196"/>
      <c r="C20" s="225" t="s">
        <v>700</v>
      </c>
      <c r="D20" s="1241" t="s">
        <v>701</v>
      </c>
      <c r="E20" s="1287" t="s">
        <v>1215</v>
      </c>
      <c r="F20" s="1285" t="s">
        <v>727</v>
      </c>
      <c r="G20" s="240" t="s">
        <v>91</v>
      </c>
      <c r="H20" s="1189" t="s">
        <v>254</v>
      </c>
      <c r="I20" s="1245" t="s">
        <v>704</v>
      </c>
      <c r="J20" s="1277" t="s">
        <v>703</v>
      </c>
      <c r="K20" s="493" t="s">
        <v>705</v>
      </c>
      <c r="L20" s="420"/>
      <c r="M20" s="1309"/>
      <c r="N20" s="1309"/>
      <c r="O20" s="1309"/>
      <c r="P20" s="1309"/>
      <c r="Q20" s="1309"/>
      <c r="R20" s="1309"/>
      <c r="S20" s="1309"/>
      <c r="T20" s="1310"/>
      <c r="U20" s="1159" t="s">
        <v>11</v>
      </c>
      <c r="V20" s="54"/>
      <c r="W20" s="55"/>
      <c r="X20" s="55"/>
      <c r="Y20" s="55"/>
      <c r="Z20" s="55"/>
      <c r="AA20" s="55"/>
      <c r="AB20" s="55"/>
      <c r="AC20" s="476"/>
      <c r="AD20" s="106"/>
      <c r="AE20" s="106"/>
      <c r="AF20" s="521"/>
      <c r="AG20" s="56"/>
      <c r="AH20" s="1162" t="s">
        <v>779</v>
      </c>
      <c r="AI20" s="56"/>
      <c r="AJ20" s="118"/>
      <c r="AK20" s="52"/>
      <c r="AL20" s="52"/>
    </row>
    <row r="21" spans="1:38" s="53" customFormat="1">
      <c r="A21" s="139"/>
      <c r="B21" s="196"/>
      <c r="C21" s="226"/>
      <c r="D21" s="1242"/>
      <c r="E21" s="1288"/>
      <c r="F21" s="1286"/>
      <c r="G21" s="238"/>
      <c r="H21" s="1190"/>
      <c r="I21" s="1246"/>
      <c r="J21" s="1278"/>
      <c r="K21" s="494" t="s">
        <v>706</v>
      </c>
      <c r="L21" s="377"/>
      <c r="M21" s="1238"/>
      <c r="N21" s="1239"/>
      <c r="O21" s="1239"/>
      <c r="P21" s="1239"/>
      <c r="Q21" s="1239"/>
      <c r="R21" s="1239"/>
      <c r="S21" s="1239"/>
      <c r="T21" s="1240"/>
      <c r="U21" s="1160"/>
      <c r="V21" s="57"/>
      <c r="W21" s="58"/>
      <c r="X21" s="58"/>
      <c r="Y21" s="58"/>
      <c r="Z21" s="58"/>
      <c r="AA21" s="58"/>
      <c r="AB21" s="58"/>
      <c r="AC21" s="477"/>
      <c r="AD21" s="107"/>
      <c r="AE21" s="107"/>
      <c r="AF21" s="522"/>
      <c r="AG21" s="59"/>
      <c r="AH21" s="1163"/>
      <c r="AI21" s="59"/>
      <c r="AJ21" s="119"/>
      <c r="AK21" s="52"/>
      <c r="AL21" s="52"/>
    </row>
    <row r="22" spans="1:38" s="53" customFormat="1" ht="28">
      <c r="A22" s="139"/>
      <c r="B22" s="196"/>
      <c r="C22" s="226"/>
      <c r="D22" s="1242"/>
      <c r="E22" s="1288"/>
      <c r="F22" s="1286"/>
      <c r="G22" s="238"/>
      <c r="H22" s="1190"/>
      <c r="I22" s="1246"/>
      <c r="J22" s="1278"/>
      <c r="K22" s="495" t="s">
        <v>707</v>
      </c>
      <c r="L22" s="377"/>
      <c r="M22" s="1238"/>
      <c r="N22" s="1239"/>
      <c r="O22" s="1239"/>
      <c r="P22" s="1239"/>
      <c r="Q22" s="1239"/>
      <c r="R22" s="1239"/>
      <c r="S22" s="1239"/>
      <c r="T22" s="1240"/>
      <c r="U22" s="1160"/>
      <c r="V22" s="57"/>
      <c r="W22" s="58"/>
      <c r="X22" s="58"/>
      <c r="Y22" s="58"/>
      <c r="Z22" s="58"/>
      <c r="AA22" s="58"/>
      <c r="AB22" s="58"/>
      <c r="AC22" s="477"/>
      <c r="AD22" s="107"/>
      <c r="AE22" s="107"/>
      <c r="AF22" s="522"/>
      <c r="AG22" s="59"/>
      <c r="AH22" s="1163"/>
      <c r="AI22" s="59"/>
      <c r="AJ22" s="119"/>
      <c r="AK22" s="52"/>
      <c r="AL22" s="52"/>
    </row>
    <row r="23" spans="1:38" ht="28">
      <c r="B23" s="196"/>
      <c r="C23" s="226"/>
      <c r="D23" s="1242"/>
      <c r="E23" s="1288"/>
      <c r="F23" s="1286"/>
      <c r="G23" s="238"/>
      <c r="H23" s="1190"/>
      <c r="I23" s="1246"/>
      <c r="J23" s="1278"/>
      <c r="K23" s="495" t="s">
        <v>708</v>
      </c>
      <c r="L23" s="377"/>
      <c r="M23" s="1238"/>
      <c r="N23" s="1239"/>
      <c r="O23" s="1239"/>
      <c r="P23" s="1239"/>
      <c r="Q23" s="1239"/>
      <c r="R23" s="1239"/>
      <c r="S23" s="1239"/>
      <c r="T23" s="1240"/>
      <c r="U23" s="1160"/>
      <c r="V23" s="57"/>
      <c r="W23" s="58"/>
      <c r="X23" s="58"/>
      <c r="Y23" s="58"/>
      <c r="Z23" s="58"/>
      <c r="AA23" s="58"/>
      <c r="AB23" s="58"/>
      <c r="AC23" s="477"/>
      <c r="AD23" s="107"/>
      <c r="AE23" s="107"/>
      <c r="AF23" s="522"/>
      <c r="AG23" s="59"/>
      <c r="AH23" s="1163"/>
      <c r="AI23" s="59"/>
      <c r="AJ23" s="119"/>
    </row>
    <row r="24" spans="1:38" s="53" customFormat="1">
      <c r="A24" s="139"/>
      <c r="B24" s="196"/>
      <c r="C24" s="226"/>
      <c r="D24" s="1242"/>
      <c r="E24" s="1288"/>
      <c r="F24" s="1286"/>
      <c r="G24" s="238"/>
      <c r="H24" s="1190"/>
      <c r="I24" s="1246"/>
      <c r="J24" s="1278"/>
      <c r="K24" s="494" t="s">
        <v>709</v>
      </c>
      <c r="L24" s="377"/>
      <c r="M24" s="1238"/>
      <c r="N24" s="1239"/>
      <c r="O24" s="1239"/>
      <c r="P24" s="1239"/>
      <c r="Q24" s="1239"/>
      <c r="R24" s="1239"/>
      <c r="S24" s="1239"/>
      <c r="T24" s="1240"/>
      <c r="U24" s="1160"/>
      <c r="V24" s="57"/>
      <c r="W24" s="58"/>
      <c r="X24" s="58"/>
      <c r="Y24" s="58"/>
      <c r="Z24" s="58"/>
      <c r="AA24" s="58"/>
      <c r="AB24" s="58"/>
      <c r="AC24" s="477"/>
      <c r="AD24" s="107"/>
      <c r="AE24" s="107"/>
      <c r="AF24" s="522"/>
      <c r="AG24" s="59"/>
      <c r="AH24" s="1163"/>
      <c r="AI24" s="59"/>
      <c r="AJ24" s="119"/>
      <c r="AK24" s="52"/>
      <c r="AL24" s="52"/>
    </row>
    <row r="25" spans="1:38" s="53" customFormat="1" ht="38" customHeight="1" thickBot="1">
      <c r="A25" s="139"/>
      <c r="B25" s="196"/>
      <c r="C25" s="226"/>
      <c r="D25" s="1242"/>
      <c r="E25" s="1289"/>
      <c r="F25" s="1286"/>
      <c r="G25" s="238"/>
      <c r="H25" s="1190"/>
      <c r="I25" s="1246"/>
      <c r="J25" s="1278"/>
      <c r="K25" s="496" t="s">
        <v>96</v>
      </c>
      <c r="L25" s="378"/>
      <c r="M25" s="1282"/>
      <c r="N25" s="1283"/>
      <c r="O25" s="1283"/>
      <c r="P25" s="1283"/>
      <c r="Q25" s="1283"/>
      <c r="R25" s="1283"/>
      <c r="S25" s="1283"/>
      <c r="T25" s="1284"/>
      <c r="U25" s="1160"/>
      <c r="V25" s="57"/>
      <c r="W25" s="58"/>
      <c r="X25" s="58"/>
      <c r="Y25" s="58"/>
      <c r="Z25" s="58"/>
      <c r="AA25" s="58"/>
      <c r="AB25" s="58"/>
      <c r="AC25" s="477"/>
      <c r="AD25" s="107"/>
      <c r="AE25" s="107"/>
      <c r="AF25" s="522"/>
      <c r="AG25" s="59"/>
      <c r="AH25" s="1164"/>
      <c r="AI25" s="59"/>
      <c r="AJ25" s="119"/>
      <c r="AK25" s="52"/>
      <c r="AL25" s="52"/>
    </row>
    <row r="26" spans="1:38" s="53" customFormat="1" ht="55" customHeight="1" thickBot="1">
      <c r="A26" s="139" t="s">
        <v>2</v>
      </c>
      <c r="B26" s="196"/>
      <c r="C26" s="225" t="s">
        <v>710</v>
      </c>
      <c r="D26" s="359" t="s">
        <v>711</v>
      </c>
      <c r="E26" s="1049" t="s">
        <v>1216</v>
      </c>
      <c r="F26" s="237" t="s">
        <v>1254</v>
      </c>
      <c r="G26" s="240" t="s">
        <v>91</v>
      </c>
      <c r="H26" s="366" t="s">
        <v>100</v>
      </c>
      <c r="I26" s="359" t="s">
        <v>712</v>
      </c>
      <c r="J26" s="358" t="s">
        <v>695</v>
      </c>
      <c r="K26" s="497"/>
      <c r="L26" s="471"/>
      <c r="M26" s="1230"/>
      <c r="N26" s="1230"/>
      <c r="O26" s="1230"/>
      <c r="P26" s="1230"/>
      <c r="Q26" s="1230"/>
      <c r="R26" s="1230"/>
      <c r="S26" s="1230"/>
      <c r="T26" s="1231"/>
      <c r="U26" s="491" t="s">
        <v>11</v>
      </c>
      <c r="V26" s="54"/>
      <c r="W26" s="55"/>
      <c r="X26" s="55"/>
      <c r="Y26" s="55"/>
      <c r="Z26" s="55"/>
      <c r="AA26" s="55"/>
      <c r="AB26" s="55"/>
      <c r="AC26" s="476"/>
      <c r="AD26" s="106"/>
      <c r="AE26" s="106"/>
      <c r="AF26" s="521"/>
      <c r="AG26" s="56"/>
      <c r="AH26" s="526"/>
      <c r="AI26" s="56"/>
      <c r="AJ26" s="118"/>
      <c r="AK26" s="52"/>
      <c r="AL26" s="52"/>
    </row>
    <row r="27" spans="1:38" s="53" customFormat="1" ht="26.5" customHeight="1">
      <c r="A27" s="1214" t="s">
        <v>3</v>
      </c>
      <c r="B27" s="196"/>
      <c r="C27" s="1215"/>
      <c r="D27" s="1217" t="s">
        <v>716</v>
      </c>
      <c r="E27" s="1219"/>
      <c r="F27" s="1221"/>
      <c r="G27" s="1224" t="s">
        <v>91</v>
      </c>
      <c r="H27" s="1226" t="s">
        <v>247</v>
      </c>
      <c r="I27" s="1221" t="s">
        <v>726</v>
      </c>
      <c r="J27" s="1228" t="s">
        <v>725</v>
      </c>
      <c r="K27" s="369"/>
      <c r="L27" s="1180" t="s">
        <v>724</v>
      </c>
      <c r="M27" s="1181"/>
      <c r="N27" s="1181"/>
      <c r="O27" s="1181"/>
      <c r="P27" s="1181"/>
      <c r="Q27" s="1181"/>
      <c r="R27" s="1181"/>
      <c r="S27" s="1181"/>
      <c r="T27" s="1182"/>
      <c r="U27" s="1159" t="s">
        <v>11</v>
      </c>
      <c r="V27" s="231"/>
      <c r="W27" s="231"/>
      <c r="X27" s="231"/>
      <c r="Y27" s="232"/>
      <c r="Z27" s="231"/>
      <c r="AA27" s="231"/>
      <c r="AB27" s="231"/>
      <c r="AC27" s="233"/>
      <c r="AD27" s="234"/>
      <c r="AE27" s="234"/>
      <c r="AF27" s="522"/>
      <c r="AG27" s="235"/>
      <c r="AH27" s="473"/>
      <c r="AI27" s="235"/>
      <c r="AJ27" s="119"/>
      <c r="AK27" s="52"/>
      <c r="AL27" s="52"/>
    </row>
    <row r="28" spans="1:38" s="53" customFormat="1">
      <c r="A28" s="1214"/>
      <c r="B28" s="196"/>
      <c r="C28" s="1215"/>
      <c r="D28" s="1217"/>
      <c r="E28" s="1219"/>
      <c r="F28" s="1221"/>
      <c r="G28" s="1224"/>
      <c r="H28" s="1226"/>
      <c r="I28" s="1221"/>
      <c r="J28" s="1228"/>
      <c r="K28" s="498" t="s">
        <v>717</v>
      </c>
      <c r="L28" s="383" t="s">
        <v>718</v>
      </c>
      <c r="M28" s="1234" t="s">
        <v>719</v>
      </c>
      <c r="N28" s="1235"/>
      <c r="O28" s="1234" t="s">
        <v>720</v>
      </c>
      <c r="P28" s="1235"/>
      <c r="Q28" s="1234" t="s">
        <v>721</v>
      </c>
      <c r="R28" s="1235"/>
      <c r="S28" s="1234" t="s">
        <v>722</v>
      </c>
      <c r="T28" s="1236"/>
      <c r="U28" s="1160"/>
      <c r="V28" s="231"/>
      <c r="W28" s="231"/>
      <c r="X28" s="231"/>
      <c r="Y28" s="232"/>
      <c r="Z28" s="231"/>
      <c r="AA28" s="231"/>
      <c r="AB28" s="231"/>
      <c r="AC28" s="233"/>
      <c r="AD28" s="234"/>
      <c r="AE28" s="234"/>
      <c r="AF28" s="522"/>
      <c r="AG28" s="235"/>
      <c r="AH28" s="473"/>
      <c r="AI28" s="235"/>
      <c r="AJ28" s="119"/>
      <c r="AK28" s="52"/>
      <c r="AL28" s="52"/>
    </row>
    <row r="29" spans="1:38" s="53" customFormat="1" ht="29" thickBot="1">
      <c r="A29" s="1214"/>
      <c r="B29" s="196"/>
      <c r="C29" s="1216"/>
      <c r="D29" s="1218"/>
      <c r="E29" s="1220"/>
      <c r="F29" s="1222"/>
      <c r="G29" s="1225"/>
      <c r="H29" s="1227"/>
      <c r="I29" s="1222"/>
      <c r="J29" s="1229"/>
      <c r="K29" s="499" t="s">
        <v>723</v>
      </c>
      <c r="L29" s="421"/>
      <c r="M29" s="1232"/>
      <c r="N29" s="1233"/>
      <c r="O29" s="1232"/>
      <c r="P29" s="1233"/>
      <c r="Q29" s="1232"/>
      <c r="R29" s="1233"/>
      <c r="S29" s="1232"/>
      <c r="T29" s="1237"/>
      <c r="U29" s="1161"/>
      <c r="V29" s="409"/>
      <c r="W29" s="409"/>
      <c r="X29" s="409"/>
      <c r="Y29" s="410"/>
      <c r="Z29" s="409"/>
      <c r="AA29" s="409"/>
      <c r="AB29" s="409"/>
      <c r="AC29" s="411"/>
      <c r="AD29" s="412"/>
      <c r="AE29" s="412"/>
      <c r="AF29" s="523"/>
      <c r="AG29" s="413"/>
      <c r="AH29" s="474"/>
      <c r="AI29" s="413"/>
      <c r="AJ29" s="414"/>
      <c r="AK29" s="52"/>
      <c r="AL29" s="52"/>
    </row>
    <row r="30" spans="1:38" s="53" customFormat="1" ht="25.5" customHeight="1">
      <c r="A30" s="236" t="s">
        <v>2</v>
      </c>
      <c r="B30" s="196"/>
      <c r="C30" s="1183" t="s">
        <v>728</v>
      </c>
      <c r="D30" s="1185" t="s">
        <v>729</v>
      </c>
      <c r="E30" s="1296" t="s">
        <v>1214</v>
      </c>
      <c r="F30" s="1187" t="s">
        <v>1255</v>
      </c>
      <c r="G30" s="240" t="s">
        <v>91</v>
      </c>
      <c r="H30" s="1189" t="s">
        <v>102</v>
      </c>
      <c r="I30" s="1191" t="s">
        <v>730</v>
      </c>
      <c r="J30" s="467" t="s">
        <v>731</v>
      </c>
      <c r="K30" s="1142" t="s">
        <v>1256</v>
      </c>
      <c r="L30" s="420"/>
      <c r="M30" s="1172"/>
      <c r="N30" s="1173"/>
      <c r="O30" s="1173"/>
      <c r="P30" s="1173"/>
      <c r="Q30" s="1173"/>
      <c r="R30" s="1173"/>
      <c r="S30" s="1173"/>
      <c r="T30" s="1174"/>
      <c r="U30" s="1159" t="s">
        <v>11</v>
      </c>
      <c r="V30" s="54"/>
      <c r="W30" s="54"/>
      <c r="X30" s="54"/>
      <c r="Y30" s="424"/>
      <c r="Z30" s="54"/>
      <c r="AA30" s="54"/>
      <c r="AB30" s="54"/>
      <c r="AC30" s="479"/>
      <c r="AD30" s="480"/>
      <c r="AE30" s="480"/>
      <c r="AF30" s="521"/>
      <c r="AG30" s="56"/>
      <c r="AH30" s="1162" t="s">
        <v>779</v>
      </c>
      <c r="AI30" s="56"/>
      <c r="AJ30" s="118"/>
      <c r="AK30" s="52"/>
      <c r="AL30" s="52"/>
    </row>
    <row r="31" spans="1:38" s="53" customFormat="1" ht="25.5" customHeight="1">
      <c r="A31" s="236"/>
      <c r="B31" s="196"/>
      <c r="C31" s="1184"/>
      <c r="D31" s="1186"/>
      <c r="E31" s="1297"/>
      <c r="F31" s="1188"/>
      <c r="G31" s="923"/>
      <c r="H31" s="1190"/>
      <c r="I31" s="1192"/>
      <c r="J31" s="926"/>
      <c r="K31" s="1137" t="s">
        <v>732</v>
      </c>
      <c r="L31" s="1138"/>
      <c r="M31" s="1139"/>
      <c r="N31" s="1140"/>
      <c r="O31" s="1140"/>
      <c r="P31" s="1140"/>
      <c r="Q31" s="1140"/>
      <c r="R31" s="1140"/>
      <c r="S31" s="1140"/>
      <c r="T31" s="1141"/>
      <c r="U31" s="1160"/>
      <c r="V31" s="924"/>
      <c r="W31" s="924"/>
      <c r="X31" s="924"/>
      <c r="Y31" s="925"/>
      <c r="Z31" s="924"/>
      <c r="AA31" s="924"/>
      <c r="AB31" s="924"/>
      <c r="AC31" s="481"/>
      <c r="AD31" s="482"/>
      <c r="AE31" s="482"/>
      <c r="AF31" s="522"/>
      <c r="AG31" s="59"/>
      <c r="AH31" s="1163"/>
      <c r="AI31" s="59"/>
      <c r="AJ31" s="119"/>
      <c r="AK31" s="52"/>
      <c r="AL31" s="52"/>
    </row>
    <row r="32" spans="1:38" s="53" customFormat="1" ht="28">
      <c r="A32" s="236"/>
      <c r="B32" s="196"/>
      <c r="C32" s="1184"/>
      <c r="D32" s="1186"/>
      <c r="E32" s="1297"/>
      <c r="F32" s="1188"/>
      <c r="G32" s="386"/>
      <c r="H32" s="1190"/>
      <c r="I32" s="1192"/>
      <c r="J32" s="356"/>
      <c r="K32" s="388" t="s">
        <v>733</v>
      </c>
      <c r="L32" s="377"/>
      <c r="M32" s="1175"/>
      <c r="N32" s="1176"/>
      <c r="O32" s="1176"/>
      <c r="P32" s="1176"/>
      <c r="Q32" s="1176"/>
      <c r="R32" s="1176"/>
      <c r="S32" s="1176"/>
      <c r="T32" s="1177"/>
      <c r="U32" s="1160"/>
      <c r="V32" s="57"/>
      <c r="W32" s="57"/>
      <c r="X32" s="57"/>
      <c r="Y32" s="198"/>
      <c r="Z32" s="57"/>
      <c r="AA32" s="57"/>
      <c r="AB32" s="57"/>
      <c r="AC32" s="481"/>
      <c r="AD32" s="482"/>
      <c r="AE32" s="482"/>
      <c r="AF32" s="522"/>
      <c r="AG32" s="59"/>
      <c r="AH32" s="1163"/>
      <c r="AI32" s="59"/>
      <c r="AJ32" s="119"/>
      <c r="AK32" s="52"/>
      <c r="AL32" s="52"/>
    </row>
    <row r="33" spans="1:38" s="53" customFormat="1" ht="28">
      <c r="A33" s="236"/>
      <c r="B33" s="196"/>
      <c r="C33" s="1184"/>
      <c r="D33" s="1186"/>
      <c r="E33" s="1297"/>
      <c r="F33" s="1188"/>
      <c r="G33" s="386"/>
      <c r="H33" s="1190"/>
      <c r="I33" s="1192"/>
      <c r="J33" s="356"/>
      <c r="K33" s="388" t="s">
        <v>554</v>
      </c>
      <c r="L33" s="377"/>
      <c r="M33" s="1175"/>
      <c r="N33" s="1176"/>
      <c r="O33" s="1176"/>
      <c r="P33" s="1176"/>
      <c r="Q33" s="1176"/>
      <c r="R33" s="1176"/>
      <c r="S33" s="1176"/>
      <c r="T33" s="1177"/>
      <c r="U33" s="1160"/>
      <c r="V33" s="57"/>
      <c r="W33" s="57"/>
      <c r="X33" s="57"/>
      <c r="Y33" s="198"/>
      <c r="Z33" s="57"/>
      <c r="AA33" s="57"/>
      <c r="AB33" s="57"/>
      <c r="AC33" s="481"/>
      <c r="AD33" s="482"/>
      <c r="AE33" s="482"/>
      <c r="AF33" s="522"/>
      <c r="AG33" s="59"/>
      <c r="AH33" s="1163"/>
      <c r="AI33" s="59"/>
      <c r="AJ33" s="119"/>
      <c r="AK33" s="52"/>
      <c r="AL33" s="52"/>
    </row>
    <row r="34" spans="1:38" s="53" customFormat="1" ht="28">
      <c r="A34" s="236"/>
      <c r="B34" s="196"/>
      <c r="C34" s="1184"/>
      <c r="D34" s="1186"/>
      <c r="E34" s="1297"/>
      <c r="F34" s="1188"/>
      <c r="G34" s="386"/>
      <c r="H34" s="1190"/>
      <c r="I34" s="1192"/>
      <c r="J34" s="356"/>
      <c r="K34" s="388" t="s">
        <v>734</v>
      </c>
      <c r="L34" s="377"/>
      <c r="M34" s="1175"/>
      <c r="N34" s="1176"/>
      <c r="O34" s="1176"/>
      <c r="P34" s="1176"/>
      <c r="Q34" s="1176"/>
      <c r="R34" s="1176"/>
      <c r="S34" s="1176"/>
      <c r="T34" s="1177"/>
      <c r="U34" s="1160"/>
      <c r="V34" s="57"/>
      <c r="W34" s="57"/>
      <c r="X34" s="57"/>
      <c r="Y34" s="198"/>
      <c r="Z34" s="57"/>
      <c r="AA34" s="57"/>
      <c r="AB34" s="57"/>
      <c r="AC34" s="481"/>
      <c r="AD34" s="482"/>
      <c r="AE34" s="482"/>
      <c r="AF34" s="522"/>
      <c r="AG34" s="59"/>
      <c r="AH34" s="1163"/>
      <c r="AI34" s="59"/>
      <c r="AJ34" s="119"/>
      <c r="AK34" s="52"/>
      <c r="AL34" s="52"/>
    </row>
    <row r="35" spans="1:38" s="53" customFormat="1">
      <c r="A35" s="236"/>
      <c r="B35" s="196"/>
      <c r="C35" s="1184"/>
      <c r="D35" s="1186"/>
      <c r="E35" s="1297"/>
      <c r="F35" s="1188"/>
      <c r="G35" s="386"/>
      <c r="H35" s="1190"/>
      <c r="I35" s="1192"/>
      <c r="J35" s="356"/>
      <c r="K35" s="388" t="s">
        <v>556</v>
      </c>
      <c r="L35" s="377"/>
      <c r="M35" s="1175"/>
      <c r="N35" s="1176"/>
      <c r="O35" s="1176"/>
      <c r="P35" s="1176"/>
      <c r="Q35" s="1176"/>
      <c r="R35" s="1176"/>
      <c r="S35" s="1176"/>
      <c r="T35" s="1177"/>
      <c r="U35" s="1160"/>
      <c r="V35" s="57"/>
      <c r="W35" s="57"/>
      <c r="X35" s="57"/>
      <c r="Y35" s="198"/>
      <c r="Z35" s="57"/>
      <c r="AA35" s="57"/>
      <c r="AB35" s="57"/>
      <c r="AC35" s="481"/>
      <c r="AD35" s="482"/>
      <c r="AE35" s="482"/>
      <c r="AF35" s="522"/>
      <c r="AG35" s="59"/>
      <c r="AH35" s="1163"/>
      <c r="AI35" s="59"/>
      <c r="AJ35" s="119"/>
      <c r="AK35" s="52"/>
      <c r="AL35" s="52"/>
    </row>
    <row r="36" spans="1:38" s="53" customFormat="1" ht="18" thickBot="1">
      <c r="A36" s="236"/>
      <c r="B36" s="196"/>
      <c r="C36" s="1184"/>
      <c r="D36" s="1186"/>
      <c r="E36" s="1297"/>
      <c r="F36" s="1188"/>
      <c r="G36" s="386"/>
      <c r="H36" s="1190"/>
      <c r="I36" s="1192"/>
      <c r="J36" s="356"/>
      <c r="K36" s="389" t="s">
        <v>96</v>
      </c>
      <c r="L36" s="377"/>
      <c r="M36" s="1175"/>
      <c r="N36" s="1176"/>
      <c r="O36" s="1176"/>
      <c r="P36" s="1176"/>
      <c r="Q36" s="1176"/>
      <c r="R36" s="1176"/>
      <c r="S36" s="1176"/>
      <c r="T36" s="1177"/>
      <c r="U36" s="1160"/>
      <c r="V36" s="57"/>
      <c r="W36" s="57"/>
      <c r="X36" s="57"/>
      <c r="Y36" s="198"/>
      <c r="Z36" s="57"/>
      <c r="AA36" s="57"/>
      <c r="AB36" s="57"/>
      <c r="AC36" s="481"/>
      <c r="AD36" s="482"/>
      <c r="AE36" s="482"/>
      <c r="AF36" s="522"/>
      <c r="AG36" s="59"/>
      <c r="AH36" s="1163"/>
      <c r="AI36" s="59"/>
      <c r="AJ36" s="119"/>
      <c r="AK36" s="52"/>
      <c r="AL36" s="52"/>
    </row>
    <row r="37" spans="1:38" s="53" customFormat="1" ht="29" thickBot="1">
      <c r="A37" s="236" t="s">
        <v>3</v>
      </c>
      <c r="B37" s="196"/>
      <c r="C37" s="229"/>
      <c r="D37" s="230" t="s">
        <v>735</v>
      </c>
      <c r="E37" s="397"/>
      <c r="F37" s="381"/>
      <c r="G37" s="228" t="s">
        <v>91</v>
      </c>
      <c r="H37" s="415" t="s">
        <v>247</v>
      </c>
      <c r="I37" s="381" t="s">
        <v>736</v>
      </c>
      <c r="J37" s="382" t="s">
        <v>690</v>
      </c>
      <c r="K37" s="384"/>
      <c r="L37" s="512"/>
      <c r="M37" s="385"/>
      <c r="N37" s="392"/>
      <c r="O37" s="392"/>
      <c r="P37" s="392"/>
      <c r="Q37" s="392"/>
      <c r="R37" s="392"/>
      <c r="S37" s="392"/>
      <c r="T37" s="513"/>
      <c r="U37" s="491" t="s">
        <v>11</v>
      </c>
      <c r="V37" s="231"/>
      <c r="W37" s="231"/>
      <c r="X37" s="231"/>
      <c r="Y37" s="232"/>
      <c r="Z37" s="231"/>
      <c r="AA37" s="231"/>
      <c r="AB37" s="231"/>
      <c r="AC37" s="233"/>
      <c r="AD37" s="234"/>
      <c r="AE37" s="234"/>
      <c r="AF37" s="522"/>
      <c r="AG37" s="235"/>
      <c r="AH37" s="473"/>
      <c r="AI37" s="235"/>
      <c r="AJ37" s="119"/>
      <c r="AK37" s="52"/>
      <c r="AL37" s="52"/>
    </row>
    <row r="38" spans="1:38" s="53" customFormat="1" ht="26.5" customHeight="1">
      <c r="A38" s="1214" t="s">
        <v>3</v>
      </c>
      <c r="B38" s="196"/>
      <c r="C38" s="1215"/>
      <c r="D38" s="1217" t="s">
        <v>737</v>
      </c>
      <c r="E38" s="1219"/>
      <c r="F38" s="1221"/>
      <c r="G38" s="1223" t="s">
        <v>91</v>
      </c>
      <c r="H38" s="1226" t="s">
        <v>247</v>
      </c>
      <c r="I38" s="1221" t="s">
        <v>726</v>
      </c>
      <c r="J38" s="1228" t="s">
        <v>725</v>
      </c>
      <c r="K38" s="369"/>
      <c r="L38" s="1180" t="s">
        <v>724</v>
      </c>
      <c r="M38" s="1181"/>
      <c r="N38" s="1181"/>
      <c r="O38" s="1181"/>
      <c r="P38" s="1181"/>
      <c r="Q38" s="1181"/>
      <c r="R38" s="1181"/>
      <c r="S38" s="1181"/>
      <c r="T38" s="1182"/>
      <c r="U38" s="1159" t="s">
        <v>11</v>
      </c>
      <c r="V38" s="231"/>
      <c r="W38" s="231"/>
      <c r="X38" s="231"/>
      <c r="Y38" s="232"/>
      <c r="Z38" s="231"/>
      <c r="AA38" s="231"/>
      <c r="AB38" s="231"/>
      <c r="AC38" s="233"/>
      <c r="AD38" s="234"/>
      <c r="AE38" s="234"/>
      <c r="AF38" s="522"/>
      <c r="AG38" s="235"/>
      <c r="AH38" s="473"/>
      <c r="AI38" s="235"/>
      <c r="AJ38" s="119"/>
      <c r="AK38" s="52"/>
      <c r="AL38" s="52"/>
    </row>
    <row r="39" spans="1:38" s="53" customFormat="1">
      <c r="A39" s="1214"/>
      <c r="B39" s="196"/>
      <c r="C39" s="1215"/>
      <c r="D39" s="1217"/>
      <c r="E39" s="1219"/>
      <c r="F39" s="1221"/>
      <c r="G39" s="1224"/>
      <c r="H39" s="1226"/>
      <c r="I39" s="1221"/>
      <c r="J39" s="1228"/>
      <c r="K39" s="498" t="s">
        <v>717</v>
      </c>
      <c r="L39" s="383" t="s">
        <v>718</v>
      </c>
      <c r="M39" s="1234" t="s">
        <v>719</v>
      </c>
      <c r="N39" s="1235"/>
      <c r="O39" s="1234" t="s">
        <v>720</v>
      </c>
      <c r="P39" s="1235"/>
      <c r="Q39" s="1234" t="s">
        <v>721</v>
      </c>
      <c r="R39" s="1235"/>
      <c r="S39" s="1234" t="s">
        <v>722</v>
      </c>
      <c r="T39" s="1236"/>
      <c r="U39" s="1160"/>
      <c r="V39" s="231"/>
      <c r="W39" s="231"/>
      <c r="X39" s="231"/>
      <c r="Y39" s="232"/>
      <c r="Z39" s="231"/>
      <c r="AA39" s="231"/>
      <c r="AB39" s="231"/>
      <c r="AC39" s="233"/>
      <c r="AD39" s="234"/>
      <c r="AE39" s="234"/>
      <c r="AF39" s="522"/>
      <c r="AG39" s="235"/>
      <c r="AH39" s="473"/>
      <c r="AI39" s="235"/>
      <c r="AJ39" s="119"/>
      <c r="AK39" s="52"/>
      <c r="AL39" s="52"/>
    </row>
    <row r="40" spans="1:38" s="53" customFormat="1" ht="29" thickBot="1">
      <c r="A40" s="1214"/>
      <c r="B40" s="196"/>
      <c r="C40" s="1216"/>
      <c r="D40" s="1218"/>
      <c r="E40" s="1220"/>
      <c r="F40" s="1222"/>
      <c r="G40" s="1225"/>
      <c r="H40" s="1227"/>
      <c r="I40" s="1222"/>
      <c r="J40" s="1229"/>
      <c r="K40" s="499" t="s">
        <v>723</v>
      </c>
      <c r="L40" s="421"/>
      <c r="M40" s="1232"/>
      <c r="N40" s="1233"/>
      <c r="O40" s="1232"/>
      <c r="P40" s="1233"/>
      <c r="Q40" s="1232"/>
      <c r="R40" s="1233"/>
      <c r="S40" s="1232"/>
      <c r="T40" s="1237"/>
      <c r="U40" s="1161"/>
      <c r="V40" s="409"/>
      <c r="W40" s="409"/>
      <c r="X40" s="409"/>
      <c r="Y40" s="410"/>
      <c r="Z40" s="409"/>
      <c r="AA40" s="409"/>
      <c r="AB40" s="409"/>
      <c r="AC40" s="411"/>
      <c r="AD40" s="412"/>
      <c r="AE40" s="412"/>
      <c r="AF40" s="523"/>
      <c r="AG40" s="413"/>
      <c r="AH40" s="474"/>
      <c r="AI40" s="413"/>
      <c r="AJ40" s="414"/>
      <c r="AK40" s="52"/>
      <c r="AL40" s="52"/>
    </row>
    <row r="41" spans="1:38" s="51" customFormat="1" ht="27" customHeight="1" thickBot="1">
      <c r="A41" s="138" t="s">
        <v>34</v>
      </c>
      <c r="B41" s="44" t="s">
        <v>739</v>
      </c>
      <c r="C41" s="45" t="s">
        <v>738</v>
      </c>
      <c r="D41" s="46"/>
      <c r="E41" s="47"/>
      <c r="F41" s="48"/>
      <c r="G41" s="49"/>
      <c r="H41" s="49"/>
      <c r="I41" s="49"/>
      <c r="J41" s="49"/>
      <c r="K41" s="49"/>
      <c r="L41" s="143"/>
      <c r="M41" s="144"/>
      <c r="N41" s="144"/>
      <c r="O41" s="144"/>
      <c r="P41" s="144"/>
      <c r="Q41" s="144"/>
      <c r="R41" s="144"/>
      <c r="S41" s="517"/>
      <c r="T41" s="517"/>
      <c r="U41" s="517"/>
      <c r="V41" s="517"/>
      <c r="W41" s="517"/>
      <c r="X41" s="517"/>
      <c r="Y41" s="517"/>
      <c r="Z41" s="517"/>
      <c r="AA41" s="517"/>
      <c r="AB41" s="517"/>
      <c r="AC41" s="517"/>
      <c r="AD41" s="517"/>
      <c r="AE41" s="517"/>
      <c r="AF41" s="517"/>
      <c r="AG41" s="517"/>
      <c r="AH41" s="517"/>
      <c r="AI41" s="517"/>
      <c r="AJ41" s="517"/>
      <c r="AK41" s="50"/>
      <c r="AL41" s="50"/>
    </row>
    <row r="42" spans="1:38" s="53" customFormat="1" ht="26.5" customHeight="1">
      <c r="A42" s="236" t="s">
        <v>2</v>
      </c>
      <c r="B42" s="196"/>
      <c r="C42" s="425" t="s">
        <v>740</v>
      </c>
      <c r="D42" s="1185" t="s">
        <v>741</v>
      </c>
      <c r="E42" s="1049" t="s">
        <v>1216</v>
      </c>
      <c r="F42" s="1187" t="s">
        <v>1257</v>
      </c>
      <c r="G42" s="428" t="s">
        <v>91</v>
      </c>
      <c r="H42" s="429" t="s">
        <v>100</v>
      </c>
      <c r="I42" s="1191" t="s">
        <v>753</v>
      </c>
      <c r="J42" s="467" t="s">
        <v>695</v>
      </c>
      <c r="K42" s="503"/>
      <c r="L42" s="396" t="s">
        <v>744</v>
      </c>
      <c r="M42" s="1209" t="s">
        <v>743</v>
      </c>
      <c r="N42" s="1210"/>
      <c r="O42" s="1193"/>
      <c r="P42" s="1194"/>
      <c r="Q42" s="1194"/>
      <c r="R42" s="1194"/>
      <c r="S42" s="1194"/>
      <c r="T42" s="1195"/>
      <c r="U42" s="1159" t="s">
        <v>11</v>
      </c>
      <c r="V42" s="54"/>
      <c r="W42" s="54"/>
      <c r="X42" s="54"/>
      <c r="Y42" s="424"/>
      <c r="Z42" s="54"/>
      <c r="AA42" s="54"/>
      <c r="AB42" s="54"/>
      <c r="AC42" s="479"/>
      <c r="AD42" s="480"/>
      <c r="AE42" s="480"/>
      <c r="AF42" s="521"/>
      <c r="AG42" s="56"/>
      <c r="AH42" s="527"/>
      <c r="AI42" s="56"/>
      <c r="AJ42" s="118"/>
      <c r="AK42" s="52"/>
      <c r="AL42" s="52"/>
    </row>
    <row r="43" spans="1:38" s="53" customFormat="1">
      <c r="A43" s="236"/>
      <c r="B43" s="196"/>
      <c r="C43" s="430"/>
      <c r="D43" s="1186"/>
      <c r="E43" s="397"/>
      <c r="F43" s="1188"/>
      <c r="G43" s="386"/>
      <c r="H43" s="431"/>
      <c r="I43" s="1192"/>
      <c r="J43" s="356"/>
      <c r="K43" s="504" t="s">
        <v>742</v>
      </c>
      <c r="L43" s="378"/>
      <c r="M43" s="1211"/>
      <c r="N43" s="1211"/>
      <c r="O43" s="1196"/>
      <c r="P43" s="1197"/>
      <c r="Q43" s="1197"/>
      <c r="R43" s="1197"/>
      <c r="S43" s="1197"/>
      <c r="T43" s="1198"/>
      <c r="U43" s="1160"/>
      <c r="V43" s="57"/>
      <c r="W43" s="57"/>
      <c r="X43" s="57"/>
      <c r="Y43" s="198"/>
      <c r="Z43" s="57"/>
      <c r="AA43" s="57"/>
      <c r="AB43" s="57"/>
      <c r="AC43" s="481"/>
      <c r="AD43" s="482"/>
      <c r="AE43" s="482"/>
      <c r="AF43" s="522"/>
      <c r="AG43" s="59"/>
      <c r="AH43" s="528"/>
      <c r="AI43" s="59"/>
      <c r="AJ43" s="119"/>
      <c r="AK43" s="52"/>
      <c r="AL43" s="52"/>
    </row>
    <row r="44" spans="1:38" s="53" customFormat="1">
      <c r="A44" s="236"/>
      <c r="B44" s="196"/>
      <c r="C44" s="430"/>
      <c r="D44" s="1186"/>
      <c r="E44" s="397"/>
      <c r="F44" s="1188"/>
      <c r="G44" s="386"/>
      <c r="H44" s="431"/>
      <c r="I44" s="1192"/>
      <c r="J44" s="356"/>
      <c r="K44" s="504" t="s">
        <v>749</v>
      </c>
      <c r="L44" s="377"/>
      <c r="M44" s="1207"/>
      <c r="N44" s="1207"/>
      <c r="O44" s="1196"/>
      <c r="P44" s="1197"/>
      <c r="Q44" s="1197"/>
      <c r="R44" s="1197"/>
      <c r="S44" s="1197"/>
      <c r="T44" s="1198"/>
      <c r="U44" s="1160"/>
      <c r="V44" s="57"/>
      <c r="W44" s="57"/>
      <c r="X44" s="57"/>
      <c r="Y44" s="198"/>
      <c r="Z44" s="57"/>
      <c r="AA44" s="57"/>
      <c r="AB44" s="57"/>
      <c r="AC44" s="481"/>
      <c r="AD44" s="482"/>
      <c r="AE44" s="482"/>
      <c r="AF44" s="522"/>
      <c r="AG44" s="59"/>
      <c r="AH44" s="528"/>
      <c r="AI44" s="59"/>
      <c r="AJ44" s="119"/>
      <c r="AK44" s="52"/>
      <c r="AL44" s="52"/>
    </row>
    <row r="45" spans="1:38" s="53" customFormat="1">
      <c r="A45" s="236"/>
      <c r="B45" s="196"/>
      <c r="C45" s="430"/>
      <c r="D45" s="1186"/>
      <c r="E45" s="397"/>
      <c r="F45" s="1188"/>
      <c r="G45" s="386"/>
      <c r="H45" s="431"/>
      <c r="I45" s="1192"/>
      <c r="J45" s="356"/>
      <c r="K45" s="504" t="s">
        <v>750</v>
      </c>
      <c r="L45" s="377"/>
      <c r="M45" s="1207"/>
      <c r="N45" s="1207"/>
      <c r="O45" s="1196"/>
      <c r="P45" s="1197"/>
      <c r="Q45" s="1197"/>
      <c r="R45" s="1197"/>
      <c r="S45" s="1197"/>
      <c r="T45" s="1198"/>
      <c r="U45" s="1160"/>
      <c r="V45" s="57"/>
      <c r="W45" s="57"/>
      <c r="X45" s="57"/>
      <c r="Y45" s="198"/>
      <c r="Z45" s="57"/>
      <c r="AA45" s="57"/>
      <c r="AB45" s="57"/>
      <c r="AC45" s="481"/>
      <c r="AD45" s="482"/>
      <c r="AE45" s="482"/>
      <c r="AF45" s="522"/>
      <c r="AG45" s="59"/>
      <c r="AH45" s="528"/>
      <c r="AI45" s="59"/>
      <c r="AJ45" s="119"/>
      <c r="AK45" s="52"/>
      <c r="AL45" s="52"/>
    </row>
    <row r="46" spans="1:38" s="53" customFormat="1">
      <c r="A46" s="236"/>
      <c r="B46" s="196"/>
      <c r="C46" s="430"/>
      <c r="D46" s="1186"/>
      <c r="E46" s="397"/>
      <c r="F46" s="1188"/>
      <c r="G46" s="386"/>
      <c r="H46" s="431"/>
      <c r="I46" s="1192"/>
      <c r="J46" s="356"/>
      <c r="K46" s="504" t="s">
        <v>751</v>
      </c>
      <c r="L46" s="377"/>
      <c r="M46" s="1207"/>
      <c r="N46" s="1207"/>
      <c r="O46" s="1196"/>
      <c r="P46" s="1197"/>
      <c r="Q46" s="1197"/>
      <c r="R46" s="1197"/>
      <c r="S46" s="1197"/>
      <c r="T46" s="1198"/>
      <c r="U46" s="1160"/>
      <c r="V46" s="57"/>
      <c r="W46" s="57"/>
      <c r="X46" s="57"/>
      <c r="Y46" s="198"/>
      <c r="Z46" s="57"/>
      <c r="AA46" s="57"/>
      <c r="AB46" s="57"/>
      <c r="AC46" s="481"/>
      <c r="AD46" s="482"/>
      <c r="AE46" s="482"/>
      <c r="AF46" s="522"/>
      <c r="AG46" s="59"/>
      <c r="AH46" s="528"/>
      <c r="AI46" s="59"/>
      <c r="AJ46" s="119"/>
      <c r="AK46" s="52"/>
      <c r="AL46" s="52"/>
    </row>
    <row r="47" spans="1:38" s="53" customFormat="1" ht="29" customHeight="1" thickBot="1">
      <c r="A47" s="236"/>
      <c r="B47" s="196"/>
      <c r="C47" s="432"/>
      <c r="D47" s="1212"/>
      <c r="E47" s="433"/>
      <c r="F47" s="1213"/>
      <c r="G47" s="435"/>
      <c r="H47" s="436"/>
      <c r="I47" s="1202"/>
      <c r="J47" s="468"/>
      <c r="K47" s="505" t="s">
        <v>752</v>
      </c>
      <c r="L47" s="437"/>
      <c r="M47" s="1208"/>
      <c r="N47" s="1208"/>
      <c r="O47" s="1199"/>
      <c r="P47" s="1200"/>
      <c r="Q47" s="1200"/>
      <c r="R47" s="1200"/>
      <c r="S47" s="1200"/>
      <c r="T47" s="1201"/>
      <c r="U47" s="1161"/>
      <c r="V47" s="438"/>
      <c r="W47" s="438"/>
      <c r="X47" s="438"/>
      <c r="Y47" s="439"/>
      <c r="Z47" s="438"/>
      <c r="AA47" s="438"/>
      <c r="AB47" s="438"/>
      <c r="AC47" s="484"/>
      <c r="AD47" s="485"/>
      <c r="AE47" s="485"/>
      <c r="AF47" s="523"/>
      <c r="AG47" s="475"/>
      <c r="AH47" s="529"/>
      <c r="AI47" s="475"/>
      <c r="AJ47" s="414"/>
      <c r="AK47" s="52"/>
      <c r="AL47" s="52"/>
    </row>
    <row r="48" spans="1:38" s="53" customFormat="1" ht="29" thickBot="1">
      <c r="A48" s="236" t="s">
        <v>2</v>
      </c>
      <c r="B48" s="196"/>
      <c r="C48" s="425" t="s">
        <v>754</v>
      </c>
      <c r="D48" s="426" t="s">
        <v>755</v>
      </c>
      <c r="E48" s="1049" t="s">
        <v>1216</v>
      </c>
      <c r="F48" s="1187" t="s">
        <v>1258</v>
      </c>
      <c r="G48" s="428" t="s">
        <v>91</v>
      </c>
      <c r="H48" s="429" t="s">
        <v>247</v>
      </c>
      <c r="I48" s="440" t="s">
        <v>736</v>
      </c>
      <c r="J48" s="467" t="s">
        <v>690</v>
      </c>
      <c r="K48" s="501"/>
      <c r="L48" s="514"/>
      <c r="M48" s="441"/>
      <c r="N48" s="442"/>
      <c r="O48" s="442"/>
      <c r="P48" s="442"/>
      <c r="Q48" s="442"/>
      <c r="R48" s="442"/>
      <c r="S48" s="442"/>
      <c r="T48" s="515"/>
      <c r="U48" s="491" t="s">
        <v>11</v>
      </c>
      <c r="V48" s="54"/>
      <c r="W48" s="54"/>
      <c r="X48" s="54"/>
      <c r="Y48" s="424"/>
      <c r="Z48" s="54"/>
      <c r="AA48" s="54"/>
      <c r="AB48" s="54"/>
      <c r="AC48" s="479"/>
      <c r="AD48" s="480"/>
      <c r="AE48" s="480"/>
      <c r="AF48" s="521"/>
      <c r="AG48" s="56"/>
      <c r="AH48" s="527"/>
      <c r="AI48" s="56"/>
      <c r="AJ48" s="118"/>
      <c r="AK48" s="52"/>
      <c r="AL48" s="52"/>
    </row>
    <row r="49" spans="1:38" s="53" customFormat="1" ht="29" thickBot="1">
      <c r="A49" s="236" t="s">
        <v>3</v>
      </c>
      <c r="B49" s="196"/>
      <c r="C49" s="229"/>
      <c r="D49" s="230" t="s">
        <v>756</v>
      </c>
      <c r="E49" s="397"/>
      <c r="F49" s="1188"/>
      <c r="G49" s="400"/>
      <c r="H49" s="443"/>
      <c r="I49" s="398"/>
      <c r="J49" s="469"/>
      <c r="K49" s="502"/>
      <c r="L49" s="771"/>
      <c r="M49" s="1205"/>
      <c r="N49" s="1205"/>
      <c r="O49" s="1205"/>
      <c r="P49" s="1205"/>
      <c r="Q49" s="1205"/>
      <c r="R49" s="1205"/>
      <c r="S49" s="1205"/>
      <c r="T49" s="1206"/>
      <c r="U49" s="491" t="s">
        <v>11</v>
      </c>
      <c r="V49" s="231"/>
      <c r="W49" s="231"/>
      <c r="X49" s="231"/>
      <c r="Y49" s="232"/>
      <c r="Z49" s="231"/>
      <c r="AA49" s="231"/>
      <c r="AB49" s="231"/>
      <c r="AC49" s="233"/>
      <c r="AD49" s="234"/>
      <c r="AE49" s="234"/>
      <c r="AF49" s="522"/>
      <c r="AG49" s="235"/>
      <c r="AH49" s="473"/>
      <c r="AI49" s="235"/>
      <c r="AJ49" s="119"/>
      <c r="AK49" s="52"/>
      <c r="AL49" s="52"/>
    </row>
    <row r="50" spans="1:38" s="53" customFormat="1" ht="36" customHeight="1" thickBot="1">
      <c r="A50" s="236" t="s">
        <v>3</v>
      </c>
      <c r="B50" s="196"/>
      <c r="C50" s="404"/>
      <c r="D50" s="405" t="s">
        <v>757</v>
      </c>
      <c r="E50" s="433"/>
      <c r="F50" s="1213"/>
      <c r="G50" s="407" t="s">
        <v>91</v>
      </c>
      <c r="H50" s="367" t="s">
        <v>247</v>
      </c>
      <c r="I50" s="444" t="s">
        <v>736</v>
      </c>
      <c r="J50" s="470" t="s">
        <v>690</v>
      </c>
      <c r="K50" s="445"/>
      <c r="L50" s="403"/>
      <c r="M50" s="1165"/>
      <c r="N50" s="1165"/>
      <c r="O50" s="1165"/>
      <c r="P50" s="1165"/>
      <c r="Q50" s="1165"/>
      <c r="R50" s="1165"/>
      <c r="S50" s="1165"/>
      <c r="T50" s="1166"/>
      <c r="U50" s="490" t="s">
        <v>11</v>
      </c>
      <c r="V50" s="409"/>
      <c r="W50" s="409"/>
      <c r="X50" s="409"/>
      <c r="Y50" s="410"/>
      <c r="Z50" s="409"/>
      <c r="AA50" s="409"/>
      <c r="AB50" s="409"/>
      <c r="AC50" s="411"/>
      <c r="AD50" s="412"/>
      <c r="AE50" s="412"/>
      <c r="AF50" s="523"/>
      <c r="AG50" s="413"/>
      <c r="AH50" s="474"/>
      <c r="AI50" s="413"/>
      <c r="AJ50" s="414"/>
      <c r="AK50" s="52"/>
      <c r="AL50" s="52"/>
    </row>
    <row r="51" spans="1:38" s="53" customFormat="1" ht="57" thickBot="1">
      <c r="A51" s="236" t="s">
        <v>2</v>
      </c>
      <c r="B51" s="196"/>
      <c r="C51" s="446" t="s">
        <v>759</v>
      </c>
      <c r="D51" s="447" t="s">
        <v>758</v>
      </c>
      <c r="E51" s="1049" t="s">
        <v>1216</v>
      </c>
      <c r="F51" s="448"/>
      <c r="G51" s="449" t="s">
        <v>91</v>
      </c>
      <c r="H51" s="450" t="s">
        <v>247</v>
      </c>
      <c r="I51" s="447" t="s">
        <v>694</v>
      </c>
      <c r="J51" s="451" t="s">
        <v>695</v>
      </c>
      <c r="K51" s="447"/>
      <c r="L51" s="452"/>
      <c r="M51" s="1203"/>
      <c r="N51" s="1203"/>
      <c r="O51" s="1203"/>
      <c r="P51" s="1203"/>
      <c r="Q51" s="1203"/>
      <c r="R51" s="1203"/>
      <c r="S51" s="1203"/>
      <c r="T51" s="1204"/>
      <c r="U51" s="490" t="s">
        <v>11</v>
      </c>
      <c r="V51" s="453"/>
      <c r="W51" s="454"/>
      <c r="X51" s="454"/>
      <c r="Y51" s="454"/>
      <c r="Z51" s="454"/>
      <c r="AA51" s="454"/>
      <c r="AB51" s="454"/>
      <c r="AC51" s="486"/>
      <c r="AD51" s="455"/>
      <c r="AE51" s="455"/>
      <c r="AF51" s="524"/>
      <c r="AG51" s="456"/>
      <c r="AH51" s="527"/>
      <c r="AI51" s="456"/>
      <c r="AJ51" s="457"/>
      <c r="AK51" s="52"/>
      <c r="AL51" s="52"/>
    </row>
    <row r="52" spans="1:38" s="53" customFormat="1" ht="29" thickBot="1">
      <c r="A52" s="236" t="s">
        <v>2</v>
      </c>
      <c r="B52" s="196"/>
      <c r="C52" s="458" t="s">
        <v>760</v>
      </c>
      <c r="D52" s="459" t="s">
        <v>761</v>
      </c>
      <c r="E52" s="460"/>
      <c r="F52" s="461"/>
      <c r="G52" s="449" t="s">
        <v>91</v>
      </c>
      <c r="H52" s="450" t="s">
        <v>247</v>
      </c>
      <c r="I52" s="462" t="s">
        <v>764</v>
      </c>
      <c r="J52" s="451" t="s">
        <v>695</v>
      </c>
      <c r="K52" s="463"/>
      <c r="L52" s="516"/>
      <c r="M52" s="1167"/>
      <c r="N52" s="1168"/>
      <c r="O52" s="1168"/>
      <c r="P52" s="1168"/>
      <c r="Q52" s="1168"/>
      <c r="R52" s="1168"/>
      <c r="S52" s="1168"/>
      <c r="T52" s="1169"/>
      <c r="U52" s="490" t="s">
        <v>11</v>
      </c>
      <c r="V52" s="453"/>
      <c r="W52" s="453"/>
      <c r="X52" s="453"/>
      <c r="Y52" s="464"/>
      <c r="Z52" s="453"/>
      <c r="AA52" s="453"/>
      <c r="AB52" s="453"/>
      <c r="AC52" s="487"/>
      <c r="AD52" s="488"/>
      <c r="AE52" s="488"/>
      <c r="AF52" s="524"/>
      <c r="AG52" s="456"/>
      <c r="AH52" s="530"/>
      <c r="AI52" s="456"/>
      <c r="AJ52" s="457"/>
      <c r="AK52" s="52"/>
      <c r="AL52" s="52"/>
    </row>
    <row r="53" spans="1:38" s="53" customFormat="1" ht="42">
      <c r="A53" s="236" t="s">
        <v>2</v>
      </c>
      <c r="B53" s="196"/>
      <c r="C53" s="1183" t="s">
        <v>762</v>
      </c>
      <c r="D53" s="1185" t="s">
        <v>729</v>
      </c>
      <c r="E53" s="1049" t="s">
        <v>1216</v>
      </c>
      <c r="F53" s="1187" t="s">
        <v>1261</v>
      </c>
      <c r="G53" s="240" t="s">
        <v>91</v>
      </c>
      <c r="H53" s="1189" t="s">
        <v>102</v>
      </c>
      <c r="I53" s="1191" t="s">
        <v>730</v>
      </c>
      <c r="J53" s="467" t="s">
        <v>731</v>
      </c>
      <c r="K53" s="500" t="s">
        <v>1259</v>
      </c>
      <c r="L53" s="420"/>
      <c r="M53" s="1178"/>
      <c r="N53" s="1178"/>
      <c r="O53" s="1178"/>
      <c r="P53" s="1178"/>
      <c r="Q53" s="1178"/>
      <c r="R53" s="1178"/>
      <c r="S53" s="1178"/>
      <c r="T53" s="1179"/>
      <c r="U53" s="1159" t="s">
        <v>11</v>
      </c>
      <c r="V53" s="54"/>
      <c r="W53" s="54"/>
      <c r="X53" s="54"/>
      <c r="Y53" s="424"/>
      <c r="Z53" s="54"/>
      <c r="AA53" s="54"/>
      <c r="AB53" s="54"/>
      <c r="AC53" s="479"/>
      <c r="AD53" s="480"/>
      <c r="AE53" s="480"/>
      <c r="AF53" s="521"/>
      <c r="AG53" s="56"/>
      <c r="AH53" s="527"/>
      <c r="AI53" s="56"/>
      <c r="AJ53" s="118"/>
      <c r="AK53" s="52"/>
      <c r="AL53" s="52"/>
    </row>
    <row r="54" spans="1:38" s="53" customFormat="1" ht="28">
      <c r="A54" s="236"/>
      <c r="B54" s="196"/>
      <c r="C54" s="1184"/>
      <c r="D54" s="1186"/>
      <c r="E54" s="397"/>
      <c r="F54" s="1188"/>
      <c r="G54" s="386"/>
      <c r="H54" s="1190"/>
      <c r="I54" s="1192"/>
      <c r="J54" s="356"/>
      <c r="K54" s="388" t="s">
        <v>1260</v>
      </c>
      <c r="L54" s="377"/>
      <c r="M54" s="1175"/>
      <c r="N54" s="1176"/>
      <c r="O54" s="1176"/>
      <c r="P54" s="1176"/>
      <c r="Q54" s="1176"/>
      <c r="R54" s="1176"/>
      <c r="S54" s="1176"/>
      <c r="T54" s="1177"/>
      <c r="U54" s="1160"/>
      <c r="V54" s="57"/>
      <c r="W54" s="57"/>
      <c r="X54" s="57"/>
      <c r="Y54" s="198"/>
      <c r="Z54" s="57"/>
      <c r="AA54" s="57"/>
      <c r="AB54" s="57"/>
      <c r="AC54" s="481"/>
      <c r="AD54" s="482"/>
      <c r="AE54" s="482"/>
      <c r="AF54" s="522"/>
      <c r="AG54" s="59"/>
      <c r="AH54" s="528"/>
      <c r="AI54" s="59"/>
      <c r="AJ54" s="119"/>
      <c r="AK54" s="52"/>
      <c r="AL54" s="52"/>
    </row>
    <row r="55" spans="1:38" s="53" customFormat="1" ht="28">
      <c r="A55" s="236"/>
      <c r="B55" s="196"/>
      <c r="C55" s="1184"/>
      <c r="D55" s="1186"/>
      <c r="E55" s="397"/>
      <c r="F55" s="1188"/>
      <c r="G55" s="386"/>
      <c r="H55" s="1190"/>
      <c r="I55" s="1192"/>
      <c r="J55" s="356"/>
      <c r="K55" s="388" t="s">
        <v>554</v>
      </c>
      <c r="L55" s="377"/>
      <c r="M55" s="1175"/>
      <c r="N55" s="1176"/>
      <c r="O55" s="1176"/>
      <c r="P55" s="1176"/>
      <c r="Q55" s="1176"/>
      <c r="R55" s="1176"/>
      <c r="S55" s="1176"/>
      <c r="T55" s="1177"/>
      <c r="U55" s="1160"/>
      <c r="V55" s="57"/>
      <c r="W55" s="57"/>
      <c r="X55" s="57"/>
      <c r="Y55" s="198"/>
      <c r="Z55" s="57"/>
      <c r="AA55" s="57"/>
      <c r="AB55" s="57"/>
      <c r="AC55" s="481"/>
      <c r="AD55" s="482"/>
      <c r="AE55" s="482"/>
      <c r="AF55" s="522"/>
      <c r="AG55" s="59"/>
      <c r="AH55" s="528"/>
      <c r="AI55" s="59"/>
      <c r="AJ55" s="119"/>
      <c r="AK55" s="52"/>
      <c r="AL55" s="52"/>
    </row>
    <row r="56" spans="1:38" s="53" customFormat="1" ht="28">
      <c r="A56" s="236"/>
      <c r="B56" s="196"/>
      <c r="C56" s="1184"/>
      <c r="D56" s="1186"/>
      <c r="E56" s="397"/>
      <c r="F56" s="1188"/>
      <c r="G56" s="386"/>
      <c r="H56" s="1190"/>
      <c r="I56" s="1192"/>
      <c r="J56" s="356"/>
      <c r="K56" s="388" t="s">
        <v>734</v>
      </c>
      <c r="L56" s="377"/>
      <c r="M56" s="1175"/>
      <c r="N56" s="1176"/>
      <c r="O56" s="1176"/>
      <c r="P56" s="1176"/>
      <c r="Q56" s="1176"/>
      <c r="R56" s="1176"/>
      <c r="S56" s="1176"/>
      <c r="T56" s="1177"/>
      <c r="U56" s="1160"/>
      <c r="V56" s="57"/>
      <c r="W56" s="57"/>
      <c r="X56" s="57"/>
      <c r="Y56" s="198"/>
      <c r="Z56" s="57"/>
      <c r="AA56" s="57"/>
      <c r="AB56" s="57"/>
      <c r="AC56" s="481"/>
      <c r="AD56" s="482"/>
      <c r="AE56" s="482"/>
      <c r="AF56" s="522"/>
      <c r="AG56" s="59"/>
      <c r="AH56" s="528"/>
      <c r="AI56" s="59"/>
      <c r="AJ56" s="119"/>
      <c r="AK56" s="52"/>
      <c r="AL56" s="52"/>
    </row>
    <row r="57" spans="1:38" s="53" customFormat="1">
      <c r="A57" s="236"/>
      <c r="B57" s="196"/>
      <c r="C57" s="1184"/>
      <c r="D57" s="1186"/>
      <c r="E57" s="397"/>
      <c r="F57" s="1188"/>
      <c r="G57" s="386"/>
      <c r="H57" s="1190"/>
      <c r="I57" s="1192"/>
      <c r="J57" s="356"/>
      <c r="K57" s="388" t="s">
        <v>556</v>
      </c>
      <c r="L57" s="377"/>
      <c r="M57" s="1175"/>
      <c r="N57" s="1176"/>
      <c r="O57" s="1176"/>
      <c r="P57" s="1176"/>
      <c r="Q57" s="1176"/>
      <c r="R57" s="1176"/>
      <c r="S57" s="1176"/>
      <c r="T57" s="1177"/>
      <c r="U57" s="1160"/>
      <c r="V57" s="57"/>
      <c r="W57" s="57"/>
      <c r="X57" s="57"/>
      <c r="Y57" s="198"/>
      <c r="Z57" s="57"/>
      <c r="AA57" s="57"/>
      <c r="AB57" s="57"/>
      <c r="AC57" s="481"/>
      <c r="AD57" s="482"/>
      <c r="AE57" s="482"/>
      <c r="AF57" s="522"/>
      <c r="AG57" s="59"/>
      <c r="AH57" s="528"/>
      <c r="AI57" s="59"/>
      <c r="AJ57" s="119"/>
      <c r="AK57" s="52"/>
      <c r="AL57" s="52"/>
    </row>
    <row r="58" spans="1:38" s="53" customFormat="1" ht="18" thickBot="1">
      <c r="A58" s="236"/>
      <c r="B58" s="196"/>
      <c r="C58" s="1184"/>
      <c r="D58" s="1186"/>
      <c r="E58" s="397"/>
      <c r="F58" s="1188"/>
      <c r="G58" s="386"/>
      <c r="H58" s="1190"/>
      <c r="I58" s="1192"/>
      <c r="J58" s="356"/>
      <c r="K58" s="389" t="s">
        <v>96</v>
      </c>
      <c r="L58" s="377"/>
      <c r="M58" s="1175"/>
      <c r="N58" s="1176"/>
      <c r="O58" s="1176"/>
      <c r="P58" s="1176"/>
      <c r="Q58" s="1176"/>
      <c r="R58" s="1176"/>
      <c r="S58" s="1176"/>
      <c r="T58" s="1177"/>
      <c r="U58" s="1160"/>
      <c r="V58" s="57"/>
      <c r="W58" s="57"/>
      <c r="X58" s="57"/>
      <c r="Y58" s="198"/>
      <c r="Z58" s="57"/>
      <c r="AA58" s="57"/>
      <c r="AB58" s="57"/>
      <c r="AC58" s="481"/>
      <c r="AD58" s="482"/>
      <c r="AE58" s="482"/>
      <c r="AF58" s="522"/>
      <c r="AG58" s="59"/>
      <c r="AH58" s="528"/>
      <c r="AI58" s="59"/>
      <c r="AJ58" s="119"/>
      <c r="AK58" s="52"/>
      <c r="AL58" s="52"/>
    </row>
    <row r="59" spans="1:38" s="53" customFormat="1" ht="29" thickBot="1">
      <c r="A59" s="236" t="s">
        <v>3</v>
      </c>
      <c r="B59" s="196"/>
      <c r="C59" s="404"/>
      <c r="D59" s="405" t="s">
        <v>763</v>
      </c>
      <c r="E59" s="433"/>
      <c r="F59" s="434"/>
      <c r="G59" s="407" t="s">
        <v>91</v>
      </c>
      <c r="H59" s="367" t="s">
        <v>247</v>
      </c>
      <c r="I59" s="444" t="s">
        <v>736</v>
      </c>
      <c r="J59" s="470" t="s">
        <v>690</v>
      </c>
      <c r="K59" s="445"/>
      <c r="L59" s="403"/>
      <c r="M59" s="1165"/>
      <c r="N59" s="1165"/>
      <c r="O59" s="1165"/>
      <c r="P59" s="1165"/>
      <c r="Q59" s="1165"/>
      <c r="R59" s="1165"/>
      <c r="S59" s="1165"/>
      <c r="T59" s="1166"/>
      <c r="U59" s="490" t="s">
        <v>11</v>
      </c>
      <c r="V59" s="409"/>
      <c r="W59" s="409"/>
      <c r="X59" s="409"/>
      <c r="Y59" s="410"/>
      <c r="Z59" s="409"/>
      <c r="AA59" s="409"/>
      <c r="AB59" s="409"/>
      <c r="AC59" s="411"/>
      <c r="AD59" s="412"/>
      <c r="AE59" s="412"/>
      <c r="AF59" s="523"/>
      <c r="AG59" s="413"/>
      <c r="AH59" s="474"/>
      <c r="AI59" s="413"/>
      <c r="AJ59" s="414"/>
      <c r="AK59" s="52"/>
      <c r="AL59" s="52"/>
    </row>
    <row r="60" spans="1:38" s="53" customFormat="1" ht="18" thickBot="1">
      <c r="A60" s="236" t="s">
        <v>34</v>
      </c>
      <c r="B60" s="44" t="s">
        <v>769</v>
      </c>
      <c r="C60" s="45" t="s">
        <v>768</v>
      </c>
      <c r="D60" s="46"/>
      <c r="E60" s="47"/>
      <c r="F60" s="48"/>
      <c r="G60" s="49"/>
      <c r="H60" s="49"/>
      <c r="I60" s="49"/>
      <c r="J60" s="49"/>
      <c r="K60" s="49"/>
      <c r="L60" s="143"/>
      <c r="M60" s="517"/>
      <c r="N60" s="517"/>
      <c r="O60" s="517"/>
      <c r="P60" s="517"/>
      <c r="Q60" s="517"/>
      <c r="R60" s="517"/>
      <c r="S60" s="517"/>
      <c r="T60" s="517"/>
      <c r="U60" s="517"/>
      <c r="V60" s="517"/>
      <c r="W60" s="517"/>
      <c r="X60" s="517"/>
      <c r="Y60" s="517"/>
      <c r="Z60" s="517"/>
      <c r="AA60" s="517"/>
      <c r="AB60" s="517"/>
      <c r="AC60" s="517"/>
      <c r="AD60" s="517"/>
      <c r="AE60" s="517"/>
      <c r="AF60" s="517"/>
      <c r="AG60" s="517"/>
      <c r="AH60" s="517"/>
      <c r="AI60" s="517"/>
      <c r="AJ60" s="517"/>
      <c r="AK60" s="52"/>
      <c r="AL60" s="52"/>
    </row>
    <row r="61" spans="1:38" s="53" customFormat="1" ht="68" customHeight="1" thickBot="1">
      <c r="A61" s="236" t="s">
        <v>2</v>
      </c>
      <c r="B61" s="196"/>
      <c r="C61" s="458" t="s">
        <v>770</v>
      </c>
      <c r="D61" s="459" t="s">
        <v>771</v>
      </c>
      <c r="E61" s="1049" t="s">
        <v>1216</v>
      </c>
      <c r="F61" s="461" t="s">
        <v>1262</v>
      </c>
      <c r="G61" s="449" t="s">
        <v>91</v>
      </c>
      <c r="H61" s="450" t="s">
        <v>247</v>
      </c>
      <c r="I61" s="462" t="s">
        <v>764</v>
      </c>
      <c r="J61" s="451" t="s">
        <v>695</v>
      </c>
      <c r="K61" s="463"/>
      <c r="L61" s="516"/>
      <c r="M61" s="1170"/>
      <c r="N61" s="1170"/>
      <c r="O61" s="1170"/>
      <c r="P61" s="1170"/>
      <c r="Q61" s="1170"/>
      <c r="R61" s="1170"/>
      <c r="S61" s="1170"/>
      <c r="T61" s="1171"/>
      <c r="U61" s="490" t="s">
        <v>11</v>
      </c>
      <c r="V61" s="453"/>
      <c r="W61" s="453"/>
      <c r="X61" s="453"/>
      <c r="Y61" s="464"/>
      <c r="Z61" s="453"/>
      <c r="AA61" s="453"/>
      <c r="AB61" s="453"/>
      <c r="AC61" s="487"/>
      <c r="AD61" s="488"/>
      <c r="AE61" s="488"/>
      <c r="AF61" s="524"/>
      <c r="AG61" s="456"/>
      <c r="AH61" s="530"/>
      <c r="AI61" s="456"/>
      <c r="AJ61" s="457"/>
      <c r="AK61" s="52"/>
      <c r="AL61" s="52"/>
    </row>
    <row r="62" spans="1:38" s="53" customFormat="1" ht="28">
      <c r="A62" s="236" t="s">
        <v>2</v>
      </c>
      <c r="B62" s="196"/>
      <c r="C62" s="425" t="s">
        <v>772</v>
      </c>
      <c r="D62" s="426" t="s">
        <v>773</v>
      </c>
      <c r="E62" s="1049" t="s">
        <v>1216</v>
      </c>
      <c r="F62" s="1187" t="s">
        <v>1263</v>
      </c>
      <c r="G62" s="240" t="s">
        <v>91</v>
      </c>
      <c r="H62" s="366" t="s">
        <v>247</v>
      </c>
      <c r="I62" s="440" t="s">
        <v>775</v>
      </c>
      <c r="J62" s="358" t="s">
        <v>695</v>
      </c>
      <c r="K62" s="503" t="s">
        <v>776</v>
      </c>
      <c r="L62" s="420"/>
      <c r="M62" s="1172"/>
      <c r="N62" s="1173"/>
      <c r="O62" s="1173"/>
      <c r="P62" s="1173"/>
      <c r="Q62" s="1173"/>
      <c r="R62" s="1173"/>
      <c r="S62" s="1173"/>
      <c r="T62" s="1174"/>
      <c r="U62" s="1159" t="s">
        <v>11</v>
      </c>
      <c r="V62" s="54"/>
      <c r="W62" s="54"/>
      <c r="X62" s="54"/>
      <c r="Y62" s="424"/>
      <c r="Z62" s="54"/>
      <c r="AA62" s="54"/>
      <c r="AB62" s="54"/>
      <c r="AC62" s="479"/>
      <c r="AD62" s="480"/>
      <c r="AE62" s="480"/>
      <c r="AF62" s="521"/>
      <c r="AG62" s="56"/>
      <c r="AH62" s="527"/>
      <c r="AI62" s="56"/>
      <c r="AJ62" s="118"/>
      <c r="AK62" s="52"/>
      <c r="AL62" s="52"/>
    </row>
    <row r="63" spans="1:38" s="53" customFormat="1">
      <c r="A63" s="236"/>
      <c r="B63" s="196"/>
      <c r="C63" s="430"/>
      <c r="D63" s="227"/>
      <c r="E63" s="397"/>
      <c r="F63" s="1188"/>
      <c r="G63" s="386"/>
      <c r="H63" s="431"/>
      <c r="I63" s="195"/>
      <c r="J63" s="356"/>
      <c r="K63" s="504" t="s">
        <v>777</v>
      </c>
      <c r="L63" s="377"/>
      <c r="M63" s="1175"/>
      <c r="N63" s="1176"/>
      <c r="O63" s="1176"/>
      <c r="P63" s="1176"/>
      <c r="Q63" s="1176"/>
      <c r="R63" s="1176"/>
      <c r="S63" s="1176"/>
      <c r="T63" s="1177"/>
      <c r="U63" s="1160"/>
      <c r="V63" s="57"/>
      <c r="W63" s="57"/>
      <c r="X63" s="57"/>
      <c r="Y63" s="198"/>
      <c r="Z63" s="57"/>
      <c r="AA63" s="57"/>
      <c r="AB63" s="57"/>
      <c r="AC63" s="481"/>
      <c r="AD63" s="482"/>
      <c r="AE63" s="482"/>
      <c r="AF63" s="522"/>
      <c r="AG63" s="59"/>
      <c r="AH63" s="528"/>
      <c r="AI63" s="59"/>
      <c r="AJ63" s="119"/>
      <c r="AK63" s="52"/>
      <c r="AL63" s="52"/>
    </row>
    <row r="64" spans="1:38" s="53" customFormat="1" ht="120" customHeight="1" thickBot="1">
      <c r="A64" s="236"/>
      <c r="B64" s="196"/>
      <c r="C64" s="432"/>
      <c r="D64" s="465"/>
      <c r="E64" s="433"/>
      <c r="F64" s="1213"/>
      <c r="G64" s="435"/>
      <c r="H64" s="436"/>
      <c r="I64" s="466"/>
      <c r="J64" s="468"/>
      <c r="K64" s="505" t="s">
        <v>778</v>
      </c>
      <c r="L64" s="437"/>
      <c r="M64" s="1293"/>
      <c r="N64" s="1294"/>
      <c r="O64" s="1294"/>
      <c r="P64" s="1294"/>
      <c r="Q64" s="1294"/>
      <c r="R64" s="1294"/>
      <c r="S64" s="1294"/>
      <c r="T64" s="1295"/>
      <c r="U64" s="1161"/>
      <c r="V64" s="438"/>
      <c r="W64" s="438"/>
      <c r="X64" s="438"/>
      <c r="Y64" s="439"/>
      <c r="Z64" s="438"/>
      <c r="AA64" s="438"/>
      <c r="AB64" s="438"/>
      <c r="AC64" s="484"/>
      <c r="AD64" s="485"/>
      <c r="AE64" s="485"/>
      <c r="AF64" s="523"/>
      <c r="AG64" s="475"/>
      <c r="AH64" s="529"/>
      <c r="AI64" s="475"/>
      <c r="AJ64" s="414"/>
      <c r="AK64" s="52"/>
      <c r="AL64" s="52"/>
    </row>
    <row r="65" spans="1:38" ht="36" customHeight="1" thickBot="1">
      <c r="B65" s="86"/>
      <c r="C65" s="89" t="s">
        <v>454</v>
      </c>
      <c r="D65" s="90"/>
      <c r="E65" s="91"/>
      <c r="F65" s="92"/>
      <c r="G65" s="93"/>
      <c r="H65" s="93"/>
      <c r="I65" s="94"/>
      <c r="J65" s="93"/>
      <c r="K65" s="94"/>
      <c r="L65" s="208"/>
      <c r="M65" s="208"/>
      <c r="N65" s="208"/>
      <c r="O65" s="208"/>
      <c r="P65" s="208"/>
      <c r="Q65" s="208"/>
      <c r="R65" s="208"/>
      <c r="S65" s="208"/>
      <c r="T65" s="208"/>
      <c r="U65" s="212"/>
      <c r="V65" s="208"/>
      <c r="W65" s="208"/>
      <c r="X65" s="208"/>
      <c r="Y65" s="208"/>
      <c r="Z65" s="208"/>
      <c r="AA65" s="208"/>
      <c r="AB65" s="208"/>
      <c r="AC65" s="208"/>
      <c r="AD65" s="208"/>
      <c r="AE65" s="208"/>
      <c r="AF65" s="209"/>
      <c r="AG65" s="208"/>
      <c r="AH65" s="212"/>
      <c r="AI65" s="208"/>
      <c r="AJ65" s="213"/>
      <c r="AK65" s="60"/>
      <c r="AL65" s="60"/>
    </row>
    <row r="66" spans="1:38" s="39" customFormat="1" ht="57" thickBot="1">
      <c r="A66" s="136"/>
      <c r="B66" s="87"/>
      <c r="C66" s="62"/>
      <c r="D66" s="63" t="s">
        <v>455</v>
      </c>
      <c r="E66" s="104"/>
      <c r="F66" s="103"/>
      <c r="G66" s="103"/>
      <c r="H66" s="103"/>
      <c r="I66" s="103" t="s">
        <v>462</v>
      </c>
      <c r="J66" s="360"/>
      <c r="K66" s="105"/>
      <c r="L66" s="1290" t="s">
        <v>461</v>
      </c>
      <c r="M66" s="1291"/>
      <c r="N66" s="1291"/>
      <c r="O66" s="1291"/>
      <c r="P66" s="1291"/>
      <c r="Q66" s="1291"/>
      <c r="R66" s="1291"/>
      <c r="S66" s="1291"/>
      <c r="T66" s="1292"/>
      <c r="U66" s="209"/>
      <c r="V66" s="210"/>
      <c r="W66" s="210"/>
      <c r="X66" s="210"/>
      <c r="Y66" s="210"/>
      <c r="Z66" s="210"/>
      <c r="AA66" s="210"/>
      <c r="AB66" s="210"/>
      <c r="AC66" s="210"/>
      <c r="AD66" s="210"/>
      <c r="AE66" s="210"/>
      <c r="AF66" s="209"/>
      <c r="AG66" s="210"/>
      <c r="AH66" s="209"/>
      <c r="AI66" s="210"/>
      <c r="AJ66" s="211"/>
      <c r="AK66" s="64"/>
      <c r="AL66" s="64"/>
    </row>
    <row r="67" spans="1:38" ht="37" customHeight="1" thickBot="1">
      <c r="B67" s="86"/>
      <c r="C67" s="89" t="s">
        <v>101</v>
      </c>
      <c r="D67" s="90"/>
      <c r="E67" s="91"/>
      <c r="F67" s="92"/>
      <c r="G67" s="93"/>
      <c r="H67" s="93"/>
      <c r="I67" s="94"/>
      <c r="J67" s="93"/>
      <c r="K67" s="94"/>
      <c r="L67" s="838"/>
      <c r="M67" s="839"/>
      <c r="N67" s="839"/>
      <c r="O67" s="839"/>
      <c r="P67" s="839"/>
      <c r="Q67" s="839"/>
      <c r="R67" s="839"/>
      <c r="S67" s="839"/>
      <c r="T67" s="839"/>
      <c r="U67" s="212"/>
      <c r="V67" s="208"/>
      <c r="W67" s="208"/>
      <c r="X67" s="208"/>
      <c r="Y67" s="208"/>
      <c r="Z67" s="208"/>
      <c r="AA67" s="208"/>
      <c r="AB67" s="208"/>
      <c r="AC67" s="208"/>
      <c r="AD67" s="208"/>
      <c r="AE67" s="208"/>
      <c r="AF67" s="209"/>
      <c r="AG67" s="208"/>
      <c r="AH67" s="212"/>
      <c r="AI67" s="208"/>
      <c r="AJ67" s="213"/>
      <c r="AK67" s="60"/>
      <c r="AL67" s="60"/>
    </row>
    <row r="68" spans="1:38" s="39" customFormat="1" ht="57" thickBot="1">
      <c r="A68" s="136"/>
      <c r="B68" s="88"/>
      <c r="C68" s="62"/>
      <c r="D68" s="63" t="s">
        <v>456</v>
      </c>
      <c r="E68" s="104"/>
      <c r="F68" s="103"/>
      <c r="G68" s="103"/>
      <c r="H68" s="103"/>
      <c r="I68" s="103" t="s">
        <v>463</v>
      </c>
      <c r="J68" s="360"/>
      <c r="K68" s="105"/>
      <c r="L68" s="1290" t="s">
        <v>460</v>
      </c>
      <c r="M68" s="1291"/>
      <c r="N68" s="1291"/>
      <c r="O68" s="1291"/>
      <c r="P68" s="1291"/>
      <c r="Q68" s="1291"/>
      <c r="R68" s="1291"/>
      <c r="S68" s="1291"/>
      <c r="T68" s="1292"/>
      <c r="U68" s="209"/>
      <c r="V68" s="210"/>
      <c r="W68" s="210"/>
      <c r="X68" s="210"/>
      <c r="Y68" s="210"/>
      <c r="Z68" s="210"/>
      <c r="AA68" s="210"/>
      <c r="AB68" s="210"/>
      <c r="AC68" s="210"/>
      <c r="AD68" s="210"/>
      <c r="AE68" s="210"/>
      <c r="AF68" s="209"/>
      <c r="AG68" s="210"/>
      <c r="AH68" s="209"/>
      <c r="AI68" s="210"/>
      <c r="AJ68" s="211"/>
      <c r="AK68" s="64"/>
      <c r="AL68" s="64"/>
    </row>
    <row r="69" spans="1:38" s="102" customFormat="1" ht="15" customHeight="1">
      <c r="A69" s="142"/>
      <c r="B69" s="85"/>
      <c r="C69" s="80"/>
      <c r="D69" s="81"/>
      <c r="E69" s="79"/>
      <c r="F69" s="79"/>
      <c r="G69" s="79"/>
      <c r="H69" s="79"/>
      <c r="I69" s="79"/>
      <c r="J69" s="361"/>
      <c r="K69" s="79"/>
      <c r="L69" s="214"/>
      <c r="M69" s="215"/>
      <c r="N69" s="216"/>
      <c r="O69" s="216"/>
      <c r="P69" s="214"/>
      <c r="Q69" s="217"/>
      <c r="R69" s="217"/>
      <c r="S69" s="217"/>
      <c r="T69" s="217"/>
      <c r="U69" s="218"/>
      <c r="V69" s="217"/>
      <c r="W69" s="217"/>
      <c r="X69" s="217"/>
      <c r="Y69" s="217"/>
      <c r="Z69" s="217"/>
      <c r="AA69" s="217"/>
      <c r="AB69" s="217"/>
      <c r="AC69" s="217"/>
      <c r="AD69" s="217"/>
      <c r="AE69" s="217"/>
      <c r="AF69" s="518"/>
      <c r="AG69" s="217"/>
      <c r="AH69" s="218"/>
      <c r="AI69" s="217"/>
      <c r="AJ69" s="219"/>
    </row>
    <row r="70" spans="1:38" s="102" customFormat="1" ht="13">
      <c r="A70" s="142"/>
      <c r="B70" s="85"/>
      <c r="C70" s="99"/>
      <c r="D70" s="100"/>
      <c r="E70" s="101"/>
      <c r="F70" s="101"/>
      <c r="G70" s="101"/>
      <c r="H70" s="101"/>
      <c r="I70" s="101"/>
      <c r="J70" s="362"/>
      <c r="K70" s="85"/>
      <c r="L70" s="214"/>
      <c r="M70" s="215"/>
      <c r="N70" s="216"/>
      <c r="O70" s="216"/>
      <c r="P70" s="214"/>
      <c r="Q70" s="217"/>
      <c r="R70" s="217"/>
      <c r="S70" s="217"/>
      <c r="T70" s="217"/>
      <c r="U70" s="218"/>
      <c r="V70" s="217"/>
      <c r="W70" s="217"/>
      <c r="X70" s="217"/>
      <c r="Y70" s="217"/>
      <c r="Z70" s="217"/>
      <c r="AA70" s="217"/>
      <c r="AB70" s="217"/>
      <c r="AC70" s="217"/>
      <c r="AD70" s="217"/>
      <c r="AE70" s="217"/>
      <c r="AF70" s="518"/>
      <c r="AG70" s="217"/>
      <c r="AH70" s="218"/>
      <c r="AI70" s="217"/>
      <c r="AJ70" s="219"/>
    </row>
    <row r="71" spans="1:38" s="102" customFormat="1" ht="13">
      <c r="A71" s="142"/>
      <c r="B71" s="82"/>
      <c r="C71" s="83"/>
      <c r="D71" s="84"/>
      <c r="E71" s="32"/>
      <c r="F71" s="32"/>
      <c r="G71" s="32"/>
      <c r="H71" s="32"/>
      <c r="I71" s="32"/>
      <c r="J71" s="363"/>
      <c r="K71" s="82"/>
      <c r="L71" s="214"/>
      <c r="M71" s="215"/>
      <c r="N71" s="216"/>
      <c r="O71" s="216"/>
      <c r="P71" s="214"/>
      <c r="Q71" s="217"/>
      <c r="R71" s="217"/>
      <c r="S71" s="217"/>
      <c r="T71" s="217"/>
      <c r="U71" s="218"/>
      <c r="V71" s="217"/>
      <c r="W71" s="217"/>
      <c r="X71" s="217"/>
      <c r="Y71" s="217"/>
      <c r="Z71" s="217"/>
      <c r="AA71" s="217"/>
      <c r="AB71" s="217"/>
      <c r="AC71" s="217"/>
      <c r="AD71" s="217"/>
      <c r="AE71" s="217"/>
      <c r="AF71" s="518"/>
      <c r="AG71" s="217"/>
      <c r="AH71" s="218"/>
      <c r="AI71" s="217"/>
      <c r="AJ71" s="219"/>
    </row>
    <row r="72" spans="1:38" s="53" customFormat="1">
      <c r="A72" s="139"/>
      <c r="B72" s="72" t="s">
        <v>457</v>
      </c>
      <c r="C72" s="30"/>
      <c r="D72" s="30"/>
      <c r="E72" s="65"/>
      <c r="F72" s="30"/>
      <c r="G72" s="30"/>
      <c r="H72" s="30"/>
      <c r="I72" s="30"/>
      <c r="J72" s="65"/>
      <c r="K72" s="30"/>
      <c r="L72" s="220"/>
      <c r="M72" s="220"/>
      <c r="N72" s="220"/>
      <c r="O72" s="220"/>
      <c r="P72" s="220"/>
      <c r="Q72" s="220"/>
      <c r="R72" s="220"/>
      <c r="S72" s="220"/>
      <c r="T72" s="220"/>
      <c r="U72" s="221"/>
      <c r="V72" s="220"/>
      <c r="W72" s="220"/>
      <c r="X72" s="220"/>
      <c r="Y72" s="220"/>
      <c r="Z72" s="220"/>
      <c r="AA72" s="220"/>
      <c r="AB72" s="220"/>
      <c r="AC72" s="220"/>
      <c r="AD72" s="220"/>
      <c r="AE72" s="220"/>
      <c r="AF72" s="519"/>
      <c r="AG72" s="220"/>
      <c r="AH72" s="221"/>
      <c r="AI72" s="220"/>
      <c r="AJ72" s="220"/>
      <c r="AK72" s="30"/>
      <c r="AL72" s="30"/>
    </row>
    <row r="73" spans="1:38" s="53" customFormat="1">
      <c r="A73" s="139"/>
      <c r="B73" s="30"/>
      <c r="C73" s="30"/>
      <c r="D73" s="30"/>
      <c r="E73" s="65"/>
      <c r="F73" s="30"/>
      <c r="G73" s="30"/>
      <c r="H73" s="30"/>
      <c r="I73" s="30"/>
      <c r="J73" s="65"/>
      <c r="K73" s="30"/>
      <c r="L73" s="220"/>
      <c r="M73" s="220"/>
      <c r="N73" s="220"/>
      <c r="O73" s="220"/>
      <c r="P73" s="220"/>
      <c r="Q73" s="220"/>
      <c r="R73" s="220"/>
      <c r="S73" s="220"/>
      <c r="T73" s="220"/>
      <c r="U73" s="221"/>
      <c r="V73" s="220"/>
      <c r="W73" s="220"/>
      <c r="X73" s="220"/>
      <c r="Y73" s="220"/>
      <c r="Z73" s="220"/>
      <c r="AA73" s="220"/>
      <c r="AB73" s="220"/>
      <c r="AC73" s="220"/>
      <c r="AD73" s="220"/>
      <c r="AE73" s="220"/>
      <c r="AF73" s="519"/>
      <c r="AG73" s="220"/>
      <c r="AH73" s="221"/>
      <c r="AI73" s="220"/>
      <c r="AJ73" s="220"/>
      <c r="AK73" s="30"/>
      <c r="AL73" s="30"/>
    </row>
    <row r="74" spans="1:38" s="53" customFormat="1">
      <c r="A74" s="139"/>
      <c r="B74" s="128" t="s">
        <v>467</v>
      </c>
      <c r="C74" s="31"/>
      <c r="D74" s="31"/>
      <c r="E74" s="134"/>
      <c r="F74" s="135"/>
      <c r="G74" s="135"/>
      <c r="H74" s="135"/>
      <c r="I74" s="135"/>
      <c r="J74" s="134"/>
      <c r="K74" s="135"/>
      <c r="L74" s="222"/>
      <c r="M74" s="222"/>
      <c r="N74" s="222"/>
      <c r="O74" s="222"/>
      <c r="P74" s="222"/>
      <c r="Q74" s="222"/>
      <c r="R74" s="222"/>
      <c r="S74" s="222"/>
      <c r="T74" s="222"/>
      <c r="U74" s="223"/>
      <c r="V74" s="222"/>
      <c r="W74" s="222"/>
      <c r="X74" s="222"/>
      <c r="Y74" s="222"/>
      <c r="Z74" s="222"/>
      <c r="AA74" s="222"/>
      <c r="AB74" s="222"/>
      <c r="AC74" s="222"/>
      <c r="AD74" s="222"/>
      <c r="AE74" s="222"/>
      <c r="AF74" s="520"/>
      <c r="AG74" s="222"/>
      <c r="AH74" s="223"/>
      <c r="AI74" s="222"/>
      <c r="AJ74" s="224"/>
      <c r="AK74" s="30"/>
      <c r="AL74" s="30"/>
    </row>
    <row r="75" spans="1:38">
      <c r="B75" s="129" t="s">
        <v>0</v>
      </c>
      <c r="C75" s="73" t="s">
        <v>20</v>
      </c>
      <c r="D75" s="74" t="s">
        <v>17</v>
      </c>
      <c r="E75" s="134"/>
      <c r="F75" s="135"/>
      <c r="G75" s="135"/>
      <c r="H75" s="135"/>
      <c r="I75" s="135"/>
      <c r="J75" s="134"/>
      <c r="K75" s="135"/>
      <c r="L75" s="222"/>
      <c r="M75" s="222"/>
      <c r="N75" s="222"/>
      <c r="O75" s="222"/>
      <c r="P75" s="222"/>
      <c r="Q75" s="222"/>
      <c r="R75" s="222"/>
      <c r="S75" s="222"/>
      <c r="T75" s="222"/>
      <c r="U75" s="223"/>
      <c r="V75" s="222"/>
      <c r="W75" s="222"/>
      <c r="X75" s="222"/>
      <c r="Y75" s="222"/>
      <c r="Z75" s="222"/>
      <c r="AA75" s="222"/>
      <c r="AB75" s="222"/>
      <c r="AC75" s="222"/>
      <c r="AD75" s="222"/>
      <c r="AE75" s="222"/>
      <c r="AF75" s="520"/>
      <c r="AG75" s="222"/>
      <c r="AH75" s="223"/>
      <c r="AI75" s="222"/>
      <c r="AJ75" s="224"/>
    </row>
    <row r="76" spans="1:38">
      <c r="B76" s="130" t="s">
        <v>18</v>
      </c>
      <c r="C76" s="75"/>
      <c r="D76" s="75"/>
      <c r="E76" s="134"/>
      <c r="F76" s="135"/>
      <c r="G76" s="135"/>
      <c r="H76" s="135"/>
      <c r="I76" s="135"/>
      <c r="J76" s="134"/>
      <c r="K76" s="135"/>
      <c r="L76" s="222"/>
      <c r="M76" s="222"/>
      <c r="N76" s="222"/>
      <c r="O76" s="222"/>
      <c r="P76" s="222"/>
      <c r="Q76" s="222"/>
      <c r="R76" s="222"/>
      <c r="S76" s="222"/>
      <c r="T76" s="222"/>
      <c r="U76" s="223"/>
      <c r="V76" s="222"/>
      <c r="W76" s="222"/>
      <c r="X76" s="222"/>
      <c r="Y76" s="222"/>
      <c r="Z76" s="222"/>
      <c r="AA76" s="222"/>
      <c r="AB76" s="222"/>
      <c r="AC76" s="222"/>
      <c r="AD76" s="222"/>
      <c r="AE76" s="222"/>
      <c r="AF76" s="520"/>
      <c r="AG76" s="222"/>
      <c r="AH76" s="223"/>
      <c r="AI76" s="222"/>
      <c r="AJ76" s="224"/>
    </row>
    <row r="77" spans="1:38">
      <c r="B77" s="131" t="s">
        <v>10</v>
      </c>
      <c r="C77" s="29">
        <f>COUNTIFS($U$6:$U$64,"Complete",$A$6:$A$64,"SI")</f>
        <v>0</v>
      </c>
      <c r="D77" s="76">
        <f>(100*(COUNTIFS($U$6:$U$64,"Complete",$A$6:$A$64,"SI")))/COUNTIF($A$6:$A$64,"SI")</f>
        <v>0</v>
      </c>
      <c r="E77" s="134"/>
      <c r="F77" s="135"/>
      <c r="G77" s="135"/>
      <c r="H77" s="135"/>
      <c r="I77" s="135"/>
      <c r="J77" s="134"/>
      <c r="K77" s="135"/>
      <c r="L77" s="222"/>
      <c r="M77" s="222"/>
      <c r="N77" s="222"/>
      <c r="O77" s="222"/>
      <c r="P77" s="222"/>
      <c r="Q77" s="222"/>
      <c r="R77" s="222"/>
      <c r="S77" s="222"/>
      <c r="T77" s="222"/>
      <c r="U77" s="223"/>
      <c r="V77" s="222"/>
      <c r="W77" s="222"/>
      <c r="X77" s="222"/>
      <c r="Y77" s="222"/>
      <c r="Z77" s="222"/>
      <c r="AA77" s="222"/>
      <c r="AB77" s="222"/>
      <c r="AC77" s="222"/>
      <c r="AD77" s="222"/>
      <c r="AE77" s="222"/>
      <c r="AF77" s="520"/>
      <c r="AG77" s="222"/>
      <c r="AH77" s="223"/>
      <c r="AI77" s="222"/>
      <c r="AJ77" s="224"/>
    </row>
    <row r="78" spans="1:38">
      <c r="B78" s="131" t="s">
        <v>11</v>
      </c>
      <c r="C78" s="29">
        <f>COUNTIFS($U$6:$U$64,"Incomplete",$A$6:$A$64,"SI")</f>
        <v>12</v>
      </c>
      <c r="D78" s="76">
        <f>(100*(COUNTIFS($U$6:$U$64,"Incomplete",$A$6:$A$64,"SI")))/COUNTIF($A$6:$A$64,"SI")</f>
        <v>100</v>
      </c>
      <c r="E78" s="134"/>
      <c r="F78" s="135"/>
      <c r="G78" s="135"/>
      <c r="H78" s="135"/>
      <c r="I78" s="135"/>
      <c r="J78" s="134"/>
      <c r="K78" s="135"/>
      <c r="L78" s="222"/>
      <c r="M78" s="222"/>
      <c r="N78" s="222"/>
      <c r="O78" s="222"/>
      <c r="P78" s="222"/>
      <c r="Q78" s="222"/>
      <c r="R78" s="222"/>
      <c r="S78" s="222"/>
      <c r="T78" s="222"/>
      <c r="U78" s="223"/>
      <c r="V78" s="222"/>
      <c r="W78" s="222"/>
      <c r="X78" s="222"/>
      <c r="Y78" s="222"/>
      <c r="Z78" s="222"/>
      <c r="AA78" s="222"/>
      <c r="AB78" s="222"/>
      <c r="AC78" s="222"/>
      <c r="AD78" s="222"/>
      <c r="AE78" s="222"/>
      <c r="AF78" s="520"/>
      <c r="AG78" s="222"/>
      <c r="AH78" s="223"/>
      <c r="AI78" s="222"/>
      <c r="AJ78" s="224"/>
    </row>
    <row r="79" spans="1:38">
      <c r="B79" s="131" t="s">
        <v>6</v>
      </c>
      <c r="C79" s="29">
        <f>COUNTIFS($U$6:$U$64,"Pending",$A$6:$A$64,"SI")</f>
        <v>0</v>
      </c>
      <c r="D79" s="76">
        <f>(100*(COUNTIFS($U$6:$U$64,"Pending",$A$6:$A$64,"SI")))/COUNTIF($A$6:$A$64,"SI")</f>
        <v>0</v>
      </c>
      <c r="E79" s="134"/>
      <c r="F79" s="135"/>
      <c r="G79" s="135"/>
      <c r="H79" s="135"/>
      <c r="I79" s="135"/>
      <c r="J79" s="134"/>
      <c r="K79" s="135"/>
      <c r="L79" s="222"/>
      <c r="M79" s="222"/>
      <c r="N79" s="222"/>
      <c r="O79" s="222"/>
      <c r="P79" s="222"/>
      <c r="Q79" s="222"/>
      <c r="R79" s="222"/>
      <c r="S79" s="222"/>
      <c r="T79" s="222"/>
      <c r="U79" s="223"/>
      <c r="V79" s="222"/>
      <c r="W79" s="222"/>
      <c r="X79" s="222"/>
      <c r="Y79" s="222"/>
      <c r="Z79" s="222"/>
      <c r="AA79" s="222"/>
      <c r="AB79" s="222"/>
      <c r="AC79" s="222"/>
      <c r="AD79" s="222"/>
      <c r="AE79" s="222"/>
      <c r="AF79" s="520"/>
      <c r="AG79" s="222"/>
      <c r="AH79" s="223"/>
      <c r="AI79" s="222"/>
      <c r="AJ79" s="224"/>
    </row>
    <row r="80" spans="1:38">
      <c r="B80" s="131" t="s">
        <v>12</v>
      </c>
      <c r="C80" s="29">
        <f>COUNTIFS($U$6:$U$64,"Not available",$A$6:$A$64,"SI")</f>
        <v>0</v>
      </c>
      <c r="D80" s="76">
        <f>(100*(COUNTIFS($U$6:$U$64,"Not available",$A$6:$A$64,"SI")))/COUNTIF($A$6:$A$64,"SI")</f>
        <v>0</v>
      </c>
      <c r="E80" s="134"/>
      <c r="F80" s="135"/>
      <c r="G80" s="135"/>
      <c r="H80" s="135"/>
      <c r="I80" s="135"/>
      <c r="J80" s="134"/>
      <c r="K80" s="135"/>
      <c r="L80" s="222"/>
      <c r="M80" s="222"/>
      <c r="N80" s="222"/>
      <c r="O80" s="222"/>
      <c r="P80" s="222"/>
      <c r="Q80" s="222"/>
      <c r="R80" s="222"/>
      <c r="S80" s="222"/>
      <c r="T80" s="222"/>
      <c r="U80" s="223"/>
      <c r="V80" s="222"/>
      <c r="W80" s="222"/>
      <c r="X80" s="222"/>
      <c r="Y80" s="222"/>
      <c r="Z80" s="222"/>
      <c r="AA80" s="222"/>
      <c r="AB80" s="222"/>
      <c r="AC80" s="222"/>
      <c r="AD80" s="222"/>
      <c r="AE80" s="222"/>
      <c r="AF80" s="520"/>
      <c r="AG80" s="222"/>
      <c r="AH80" s="223"/>
      <c r="AI80" s="222"/>
      <c r="AJ80" s="224"/>
    </row>
    <row r="81" spans="2:36">
      <c r="B81" s="131" t="s">
        <v>5</v>
      </c>
      <c r="C81" s="29">
        <f>COUNTIFS($U$6:$U$64,"Not applicable",$A$6:$A$64,"SI")</f>
        <v>0</v>
      </c>
      <c r="D81" s="76">
        <f>(100*(COUNTIFS($U$6:$U$64,"Not applicable",$A$6:$A$64,"SI")))/COUNTIF($A$6:$A$64,"SI")</f>
        <v>0</v>
      </c>
      <c r="E81" s="134"/>
      <c r="F81" s="135"/>
      <c r="G81" s="135"/>
      <c r="H81" s="135"/>
      <c r="I81" s="135"/>
      <c r="J81" s="134"/>
      <c r="K81" s="135"/>
      <c r="L81" s="222"/>
      <c r="M81" s="222"/>
      <c r="N81" s="222"/>
      <c r="O81" s="222"/>
      <c r="P81" s="222"/>
      <c r="Q81" s="222"/>
      <c r="R81" s="222"/>
      <c r="S81" s="222"/>
      <c r="T81" s="222"/>
      <c r="U81" s="223"/>
      <c r="V81" s="222"/>
      <c r="W81" s="222"/>
      <c r="X81" s="222"/>
      <c r="Y81" s="222"/>
      <c r="Z81" s="222"/>
      <c r="AA81" s="222"/>
      <c r="AB81" s="222"/>
      <c r="AC81" s="222"/>
      <c r="AD81" s="222"/>
      <c r="AE81" s="222"/>
      <c r="AF81" s="520"/>
      <c r="AG81" s="222"/>
      <c r="AH81" s="223"/>
      <c r="AI81" s="222"/>
      <c r="AJ81" s="224"/>
    </row>
    <row r="82" spans="2:36">
      <c r="B82" s="131" t="s">
        <v>7</v>
      </c>
      <c r="C82" s="29">
        <f>COUNTIFS($U$6:$U$64,"Alternative",$A$6:$A$64,"SI")</f>
        <v>0</v>
      </c>
      <c r="D82" s="76">
        <f>(100*(COUNTIFS($U$6:$U$64,"Alternative",$A$6:$A$64,"SI")))/COUNTIF($A$6:$A$64,"SI")</f>
        <v>0</v>
      </c>
      <c r="E82" s="134"/>
      <c r="F82" s="135"/>
      <c r="G82" s="135"/>
      <c r="H82" s="135"/>
      <c r="I82" s="135"/>
      <c r="J82" s="134"/>
      <c r="K82" s="135"/>
      <c r="L82" s="222"/>
      <c r="M82" s="222"/>
      <c r="N82" s="222"/>
      <c r="O82" s="222"/>
      <c r="P82" s="222"/>
      <c r="Q82" s="222"/>
      <c r="R82" s="222"/>
      <c r="S82" s="222"/>
      <c r="T82" s="222"/>
      <c r="U82" s="223"/>
      <c r="V82" s="222"/>
      <c r="W82" s="222"/>
      <c r="X82" s="222"/>
      <c r="Y82" s="222"/>
      <c r="Z82" s="222"/>
      <c r="AA82" s="222"/>
      <c r="AB82" s="222"/>
      <c r="AC82" s="222"/>
      <c r="AD82" s="222"/>
      <c r="AE82" s="222"/>
      <c r="AF82" s="520"/>
      <c r="AG82" s="222"/>
      <c r="AH82" s="223"/>
      <c r="AI82" s="222"/>
      <c r="AJ82" s="224"/>
    </row>
    <row r="83" spans="2:36">
      <c r="B83" s="130" t="s">
        <v>19</v>
      </c>
      <c r="C83" s="75"/>
      <c r="D83" s="75"/>
      <c r="E83" s="134"/>
      <c r="F83" s="135"/>
      <c r="G83" s="135"/>
      <c r="H83" s="135"/>
      <c r="I83" s="135"/>
      <c r="J83" s="134"/>
      <c r="K83" s="135"/>
      <c r="L83" s="222"/>
      <c r="M83" s="222"/>
      <c r="N83" s="222"/>
      <c r="O83" s="222"/>
      <c r="P83" s="222"/>
      <c r="Q83" s="222"/>
      <c r="R83" s="222"/>
      <c r="S83" s="222"/>
      <c r="T83" s="222"/>
      <c r="U83" s="223"/>
      <c r="V83" s="222"/>
      <c r="W83" s="222"/>
      <c r="X83" s="222"/>
      <c r="Y83" s="222"/>
      <c r="Z83" s="222"/>
      <c r="AA83" s="222"/>
      <c r="AB83" s="222"/>
      <c r="AC83" s="222"/>
      <c r="AD83" s="222"/>
      <c r="AE83" s="222"/>
      <c r="AF83" s="520"/>
      <c r="AG83" s="222"/>
      <c r="AH83" s="223"/>
      <c r="AI83" s="222"/>
      <c r="AJ83" s="224"/>
    </row>
    <row r="84" spans="2:36">
      <c r="B84" s="131" t="s">
        <v>10</v>
      </c>
      <c r="C84" s="29">
        <f>COUNTIFS($U$6:$U$64,"Complete",$A$6:$A$64,"RQ")</f>
        <v>0</v>
      </c>
      <c r="D84" s="76">
        <f>(100*(COUNTIFS($U$6:$U$64,"Complete",$A$6:$A$64,"RQ")))/COUNTIF($A$6:$A$64,"RQ")</f>
        <v>0</v>
      </c>
      <c r="E84" s="134"/>
      <c r="F84" s="135"/>
      <c r="G84" s="135"/>
      <c r="H84" s="135"/>
      <c r="I84" s="135"/>
      <c r="J84" s="134"/>
      <c r="K84" s="135"/>
      <c r="L84" s="222"/>
      <c r="M84" s="222"/>
      <c r="N84" s="222"/>
      <c r="O84" s="222"/>
      <c r="P84" s="222"/>
      <c r="Q84" s="222"/>
      <c r="R84" s="222"/>
      <c r="S84" s="222"/>
      <c r="T84" s="222"/>
      <c r="U84" s="223"/>
      <c r="V84" s="222"/>
      <c r="W84" s="222"/>
      <c r="X84" s="222"/>
      <c r="Y84" s="222"/>
      <c r="Z84" s="222"/>
      <c r="AA84" s="222"/>
      <c r="AB84" s="222"/>
      <c r="AC84" s="222"/>
      <c r="AD84" s="222"/>
      <c r="AE84" s="222"/>
      <c r="AF84" s="520"/>
      <c r="AG84" s="222"/>
      <c r="AH84" s="223"/>
      <c r="AI84" s="222"/>
      <c r="AJ84" s="224"/>
    </row>
    <row r="85" spans="2:36">
      <c r="B85" s="131" t="s">
        <v>11</v>
      </c>
      <c r="C85" s="29">
        <f>COUNTIFS($U$5:$U$64,"Incomplete",$A$5:$A$64,"RQ")</f>
        <v>9</v>
      </c>
      <c r="D85" s="76">
        <f>(100*(COUNTIFS($U$6:$U$64,"Incomplete",$A$6:$A$64,"RQ")))/COUNTIF($A$6:$A$64,"RQ")</f>
        <v>100</v>
      </c>
      <c r="E85" s="134"/>
      <c r="F85" s="135"/>
      <c r="G85" s="135"/>
      <c r="H85" s="135"/>
      <c r="I85" s="135"/>
      <c r="J85" s="134"/>
      <c r="K85" s="135"/>
      <c r="L85" s="222"/>
      <c r="M85" s="222"/>
      <c r="N85" s="222"/>
      <c r="O85" s="222"/>
      <c r="P85" s="222"/>
      <c r="Q85" s="222"/>
      <c r="R85" s="222"/>
      <c r="S85" s="222"/>
      <c r="T85" s="222"/>
      <c r="U85" s="223"/>
      <c r="V85" s="222"/>
      <c r="W85" s="222"/>
      <c r="X85" s="222"/>
      <c r="Y85" s="222"/>
      <c r="Z85" s="222"/>
      <c r="AA85" s="222"/>
      <c r="AB85" s="222"/>
      <c r="AC85" s="222"/>
      <c r="AD85" s="222"/>
      <c r="AE85" s="222"/>
      <c r="AF85" s="520"/>
      <c r="AG85" s="222"/>
      <c r="AH85" s="223"/>
      <c r="AI85" s="222"/>
      <c r="AJ85" s="224"/>
    </row>
    <row r="86" spans="2:36">
      <c r="B86" s="131" t="s">
        <v>6</v>
      </c>
      <c r="C86" s="29">
        <f>COUNTIFS($U$5:$U$64,"Pending",$A$5:$A$64,"RQ")</f>
        <v>0</v>
      </c>
      <c r="D86" s="76">
        <f>(100*(COUNTIFS($U$6:$U$64,"Pending",$A$6:$A$64,"RQ")))/COUNTIF($A$6:$A$64,"RQ")</f>
        <v>0</v>
      </c>
      <c r="E86" s="134"/>
      <c r="F86" s="135"/>
      <c r="G86" s="135"/>
      <c r="H86" s="135"/>
      <c r="I86" s="135"/>
      <c r="J86" s="134"/>
      <c r="K86" s="135"/>
      <c r="L86" s="222"/>
      <c r="M86" s="222"/>
      <c r="N86" s="222"/>
      <c r="O86" s="222"/>
      <c r="P86" s="222"/>
      <c r="Q86" s="222"/>
      <c r="R86" s="222"/>
      <c r="S86" s="222"/>
      <c r="T86" s="222"/>
      <c r="U86" s="223"/>
      <c r="V86" s="222"/>
      <c r="W86" s="222"/>
      <c r="X86" s="222"/>
      <c r="Y86" s="222"/>
      <c r="Z86" s="222"/>
      <c r="AA86" s="222"/>
      <c r="AB86" s="222"/>
      <c r="AC86" s="222"/>
      <c r="AD86" s="222"/>
      <c r="AE86" s="222"/>
      <c r="AF86" s="520"/>
      <c r="AG86" s="222"/>
      <c r="AH86" s="223"/>
      <c r="AI86" s="222"/>
      <c r="AJ86" s="224"/>
    </row>
    <row r="87" spans="2:36">
      <c r="B87" s="131" t="s">
        <v>12</v>
      </c>
      <c r="C87" s="29">
        <f>COUNTIFS($U$6:$U$64,"Not available",$A$6:$A$64,"RQ")</f>
        <v>0</v>
      </c>
      <c r="D87" s="76">
        <f>(100*(COUNTIFS($U$6:$U$64,"Not available",$A$6:$A$64,"RQ")))/COUNTIF($A$6:$A$64,"RQ")</f>
        <v>0</v>
      </c>
      <c r="E87" s="134"/>
      <c r="F87" s="135"/>
      <c r="G87" s="135"/>
      <c r="H87" s="135"/>
      <c r="I87" s="135"/>
      <c r="J87" s="134"/>
      <c r="K87" s="135"/>
      <c r="L87" s="222"/>
      <c r="M87" s="222"/>
      <c r="N87" s="222"/>
      <c r="O87" s="222"/>
      <c r="P87" s="222"/>
      <c r="Q87" s="222"/>
      <c r="R87" s="222"/>
      <c r="S87" s="222"/>
      <c r="T87" s="222"/>
      <c r="U87" s="223"/>
      <c r="V87" s="222"/>
      <c r="W87" s="222"/>
      <c r="X87" s="222"/>
      <c r="Y87" s="222"/>
      <c r="Z87" s="222"/>
      <c r="AA87" s="222"/>
      <c r="AB87" s="222"/>
      <c r="AC87" s="222"/>
      <c r="AD87" s="222"/>
      <c r="AE87" s="222"/>
      <c r="AF87" s="520"/>
      <c r="AG87" s="222"/>
      <c r="AH87" s="223"/>
      <c r="AI87" s="222"/>
      <c r="AJ87" s="224"/>
    </row>
    <row r="88" spans="2:36">
      <c r="B88" s="131" t="s">
        <v>5</v>
      </c>
      <c r="C88" s="29">
        <f>COUNTIFS($D$6:$D$64,"Not applicable",$A$6:$A$64,"RQ")</f>
        <v>0</v>
      </c>
      <c r="D88" s="76">
        <f>(100*(COUNTIFS($U$6:$U$64,"Not applicable",$A$6:$A$64,"RQ")))/COUNTIF($A$6:$A$64,"RQ")</f>
        <v>0</v>
      </c>
      <c r="E88" s="134"/>
      <c r="F88" s="135"/>
      <c r="G88" s="135"/>
      <c r="H88" s="135"/>
      <c r="I88" s="135"/>
      <c r="J88" s="134"/>
      <c r="K88" s="135"/>
      <c r="L88" s="222"/>
      <c r="M88" s="222"/>
      <c r="N88" s="222"/>
      <c r="O88" s="222"/>
      <c r="P88" s="222"/>
      <c r="Q88" s="222"/>
      <c r="R88" s="222"/>
      <c r="S88" s="222"/>
      <c r="T88" s="222"/>
      <c r="U88" s="223"/>
      <c r="V88" s="222"/>
      <c r="W88" s="222"/>
      <c r="X88" s="222"/>
      <c r="Y88" s="222"/>
      <c r="Z88" s="222"/>
      <c r="AA88" s="222"/>
      <c r="AB88" s="222"/>
      <c r="AC88" s="222"/>
      <c r="AD88" s="222"/>
      <c r="AE88" s="222"/>
      <c r="AF88" s="520"/>
      <c r="AG88" s="222"/>
      <c r="AH88" s="223"/>
      <c r="AI88" s="222"/>
      <c r="AJ88" s="224"/>
    </row>
    <row r="89" spans="2:36">
      <c r="B89" s="131" t="s">
        <v>7</v>
      </c>
      <c r="C89" s="29">
        <f>COUNTIFS($U$6:$U$64,"Alternative",$A$6:$A$64,"RQ")</f>
        <v>0</v>
      </c>
      <c r="D89" s="76">
        <f>(100*(COUNTIFS($U$6:$U$64,"Alternative",$A$6:$A$64,"RQ")))/COUNTIF($A$6:$A$64,"RQ")</f>
        <v>0</v>
      </c>
      <c r="E89" s="134"/>
      <c r="F89" s="135"/>
      <c r="G89" s="135"/>
      <c r="H89" s="135"/>
      <c r="I89" s="135"/>
      <c r="J89" s="134"/>
      <c r="K89" s="135"/>
      <c r="L89" s="222"/>
      <c r="M89" s="222"/>
      <c r="N89" s="222"/>
      <c r="O89" s="222"/>
      <c r="P89" s="222"/>
      <c r="Q89" s="222"/>
      <c r="R89" s="222"/>
      <c r="S89" s="222"/>
      <c r="T89" s="222"/>
      <c r="U89" s="223"/>
      <c r="V89" s="222"/>
      <c r="W89" s="222"/>
      <c r="X89" s="222"/>
      <c r="Y89" s="222"/>
      <c r="Z89" s="222"/>
      <c r="AA89" s="222"/>
      <c r="AB89" s="222"/>
      <c r="AC89" s="222"/>
      <c r="AD89" s="222"/>
      <c r="AE89" s="222"/>
      <c r="AF89" s="520"/>
      <c r="AG89" s="222"/>
      <c r="AH89" s="223"/>
      <c r="AI89" s="222"/>
      <c r="AJ89" s="224"/>
    </row>
    <row r="90" spans="2:36">
      <c r="B90" s="130" t="s">
        <v>22</v>
      </c>
      <c r="C90" s="75"/>
      <c r="D90" s="75"/>
      <c r="E90" s="134"/>
      <c r="F90" s="135"/>
      <c r="G90" s="135"/>
      <c r="H90" s="135"/>
      <c r="I90" s="135"/>
      <c r="J90" s="134"/>
      <c r="K90" s="135"/>
      <c r="L90" s="222"/>
      <c r="M90" s="222"/>
      <c r="N90" s="222"/>
      <c r="O90" s="222"/>
      <c r="P90" s="222"/>
      <c r="Q90" s="222"/>
      <c r="R90" s="222"/>
      <c r="S90" s="222"/>
      <c r="T90" s="222"/>
      <c r="U90" s="223"/>
      <c r="V90" s="222"/>
      <c r="W90" s="222"/>
      <c r="X90" s="222"/>
      <c r="Y90" s="222"/>
      <c r="Z90" s="222"/>
      <c r="AA90" s="222"/>
      <c r="AB90" s="222"/>
      <c r="AC90" s="222"/>
      <c r="AD90" s="222"/>
      <c r="AE90" s="222"/>
      <c r="AF90" s="520"/>
      <c r="AG90" s="222"/>
      <c r="AH90" s="223"/>
      <c r="AI90" s="222"/>
      <c r="AJ90" s="224"/>
    </row>
    <row r="91" spans="2:36">
      <c r="B91" s="131" t="s">
        <v>10</v>
      </c>
      <c r="C91" s="29">
        <f>COUNTIF($U$6:$U$64,"Complete")</f>
        <v>0</v>
      </c>
      <c r="D91" s="76">
        <f t="shared" ref="D91:D96" si="0">(C91/(COUNTIF($A$6:$A$64,"SI")+COUNTIFS($A$6:$A$64,"RQ"))*100)</f>
        <v>0</v>
      </c>
      <c r="E91" s="134"/>
      <c r="F91" s="135"/>
      <c r="G91" s="135"/>
      <c r="H91" s="135"/>
      <c r="I91" s="135"/>
      <c r="J91" s="134"/>
      <c r="K91" s="135"/>
      <c r="L91" s="222"/>
      <c r="M91" s="222"/>
      <c r="N91" s="222"/>
      <c r="O91" s="222"/>
      <c r="P91" s="222"/>
      <c r="Q91" s="222"/>
      <c r="R91" s="222"/>
      <c r="S91" s="222"/>
      <c r="T91" s="222"/>
      <c r="U91" s="223"/>
      <c r="V91" s="222"/>
      <c r="W91" s="222"/>
      <c r="X91" s="222"/>
      <c r="Y91" s="222"/>
      <c r="Z91" s="222"/>
      <c r="AA91" s="222"/>
      <c r="AB91" s="222"/>
      <c r="AC91" s="222"/>
      <c r="AD91" s="222"/>
      <c r="AE91" s="222"/>
      <c r="AF91" s="520"/>
      <c r="AG91" s="222"/>
      <c r="AH91" s="223"/>
      <c r="AI91" s="222"/>
      <c r="AJ91" s="224"/>
    </row>
    <row r="92" spans="2:36">
      <c r="B92" s="131" t="s">
        <v>11</v>
      </c>
      <c r="C92" s="29">
        <f>COUNTIF($U$6:$U$64,"Incomplete")</f>
        <v>21</v>
      </c>
      <c r="D92" s="76">
        <f t="shared" si="0"/>
        <v>100</v>
      </c>
      <c r="E92" s="134"/>
      <c r="F92" s="135"/>
      <c r="G92" s="135"/>
      <c r="H92" s="135"/>
      <c r="I92" s="135"/>
      <c r="J92" s="134"/>
      <c r="K92" s="135"/>
      <c r="L92" s="222"/>
      <c r="M92" s="222"/>
      <c r="N92" s="222"/>
      <c r="O92" s="222"/>
      <c r="P92" s="222"/>
      <c r="Q92" s="222"/>
      <c r="R92" s="222"/>
      <c r="S92" s="222"/>
      <c r="T92" s="222"/>
      <c r="U92" s="223"/>
      <c r="V92" s="222"/>
      <c r="W92" s="222"/>
      <c r="X92" s="222"/>
      <c r="Y92" s="222"/>
      <c r="Z92" s="222"/>
      <c r="AA92" s="222"/>
      <c r="AB92" s="222"/>
      <c r="AC92" s="222"/>
      <c r="AD92" s="222"/>
      <c r="AE92" s="222"/>
      <c r="AF92" s="520"/>
      <c r="AG92" s="222"/>
      <c r="AH92" s="223"/>
      <c r="AI92" s="222"/>
      <c r="AJ92" s="224"/>
    </row>
    <row r="93" spans="2:36">
      <c r="B93" s="131" t="s">
        <v>6</v>
      </c>
      <c r="C93" s="29">
        <f>COUNTIF($D$6:$D$64,"Pending")</f>
        <v>0</v>
      </c>
      <c r="D93" s="76">
        <f t="shared" si="0"/>
        <v>0</v>
      </c>
      <c r="E93" s="134"/>
      <c r="F93" s="135"/>
      <c r="G93" s="135"/>
      <c r="H93" s="135"/>
      <c r="I93" s="135"/>
      <c r="J93" s="134"/>
      <c r="K93" s="135"/>
      <c r="L93" s="222"/>
      <c r="M93" s="222"/>
      <c r="N93" s="222"/>
      <c r="O93" s="222"/>
      <c r="P93" s="222"/>
      <c r="Q93" s="222"/>
      <c r="R93" s="222"/>
      <c r="S93" s="222"/>
      <c r="T93" s="222"/>
      <c r="U93" s="223"/>
      <c r="V93" s="222"/>
      <c r="W93" s="222"/>
      <c r="X93" s="222"/>
      <c r="Y93" s="222"/>
      <c r="Z93" s="222"/>
      <c r="AA93" s="222"/>
      <c r="AB93" s="222"/>
      <c r="AC93" s="222"/>
      <c r="AD93" s="222"/>
      <c r="AE93" s="222"/>
      <c r="AF93" s="520"/>
      <c r="AG93" s="222"/>
      <c r="AH93" s="223"/>
      <c r="AI93" s="222"/>
      <c r="AJ93" s="224"/>
    </row>
    <row r="94" spans="2:36">
      <c r="B94" s="131" t="s">
        <v>12</v>
      </c>
      <c r="C94" s="29">
        <f>COUNTIF($U$6:$U$64,"Not available")</f>
        <v>0</v>
      </c>
      <c r="D94" s="76">
        <f t="shared" si="0"/>
        <v>0</v>
      </c>
      <c r="E94" s="134"/>
      <c r="F94" s="135"/>
      <c r="G94" s="135"/>
      <c r="H94" s="135"/>
      <c r="I94" s="135"/>
      <c r="J94" s="134"/>
      <c r="K94" s="135"/>
      <c r="L94" s="222"/>
      <c r="M94" s="222"/>
      <c r="N94" s="222"/>
      <c r="O94" s="222"/>
      <c r="P94" s="222"/>
      <c r="Q94" s="222"/>
      <c r="R94" s="222"/>
      <c r="S94" s="222"/>
      <c r="T94" s="222"/>
      <c r="U94" s="223"/>
      <c r="V94" s="222"/>
      <c r="W94" s="222"/>
      <c r="X94" s="222"/>
      <c r="Y94" s="222"/>
      <c r="Z94" s="222"/>
      <c r="AA94" s="222"/>
      <c r="AB94" s="222"/>
      <c r="AC94" s="222"/>
      <c r="AD94" s="222"/>
      <c r="AE94" s="222"/>
      <c r="AF94" s="520"/>
      <c r="AG94" s="222"/>
      <c r="AH94" s="223"/>
      <c r="AI94" s="222"/>
      <c r="AJ94" s="224"/>
    </row>
    <row r="95" spans="2:36">
      <c r="B95" s="131" t="s">
        <v>5</v>
      </c>
      <c r="C95" s="29">
        <f>COUNTIF($D$6:$D$64,"Not applicable")</f>
        <v>0</v>
      </c>
      <c r="D95" s="76">
        <f t="shared" si="0"/>
        <v>0</v>
      </c>
      <c r="E95" s="134"/>
      <c r="F95" s="135"/>
      <c r="G95" s="135"/>
      <c r="H95" s="135"/>
      <c r="I95" s="135"/>
      <c r="J95" s="134"/>
      <c r="K95" s="135"/>
      <c r="L95" s="222"/>
      <c r="M95" s="222"/>
      <c r="N95" s="222"/>
      <c r="O95" s="222"/>
      <c r="P95" s="222"/>
      <c r="Q95" s="222"/>
      <c r="R95" s="222"/>
      <c r="S95" s="222"/>
      <c r="T95" s="222"/>
      <c r="U95" s="223"/>
      <c r="V95" s="222"/>
      <c r="W95" s="222"/>
      <c r="X95" s="222"/>
      <c r="Y95" s="222"/>
      <c r="Z95" s="222"/>
      <c r="AA95" s="222"/>
      <c r="AB95" s="222"/>
      <c r="AC95" s="222"/>
      <c r="AD95" s="222"/>
      <c r="AE95" s="222"/>
      <c r="AF95" s="520"/>
      <c r="AG95" s="222"/>
      <c r="AH95" s="223"/>
      <c r="AI95" s="222"/>
      <c r="AJ95" s="224"/>
    </row>
    <row r="96" spans="2:36">
      <c r="B96" s="131" t="s">
        <v>7</v>
      </c>
      <c r="C96" s="29">
        <f>COUNTIF($U$6:$U$64,"Alternative")</f>
        <v>0</v>
      </c>
      <c r="D96" s="76">
        <f t="shared" si="0"/>
        <v>0</v>
      </c>
      <c r="E96" s="134"/>
      <c r="F96" s="135"/>
      <c r="G96" s="135"/>
      <c r="H96" s="135"/>
      <c r="I96" s="135"/>
      <c r="J96" s="134"/>
      <c r="K96" s="135"/>
      <c r="L96" s="222"/>
      <c r="M96" s="222"/>
      <c r="N96" s="222"/>
      <c r="O96" s="222"/>
      <c r="P96" s="222"/>
      <c r="Q96" s="222"/>
      <c r="R96" s="222"/>
      <c r="S96" s="222"/>
      <c r="T96" s="222"/>
      <c r="U96" s="223"/>
      <c r="V96" s="222"/>
      <c r="W96" s="222"/>
      <c r="X96" s="222"/>
      <c r="Y96" s="222"/>
      <c r="Z96" s="222"/>
      <c r="AA96" s="222"/>
      <c r="AB96" s="222"/>
      <c r="AC96" s="222"/>
      <c r="AD96" s="222"/>
      <c r="AE96" s="222"/>
      <c r="AF96" s="520"/>
      <c r="AG96" s="222"/>
      <c r="AH96" s="223"/>
      <c r="AI96" s="222"/>
      <c r="AJ96" s="224"/>
    </row>
    <row r="97" spans="2:36">
      <c r="B97" s="132"/>
      <c r="C97" s="108"/>
      <c r="D97" s="108"/>
      <c r="E97" s="134"/>
      <c r="F97" s="135"/>
      <c r="G97" s="135"/>
      <c r="H97" s="135"/>
      <c r="I97" s="135"/>
      <c r="J97" s="134"/>
      <c r="K97" s="135"/>
      <c r="L97" s="222"/>
      <c r="M97" s="222"/>
      <c r="N97" s="222"/>
      <c r="O97" s="222"/>
      <c r="P97" s="222"/>
      <c r="Q97" s="222"/>
      <c r="R97" s="222"/>
      <c r="S97" s="222"/>
      <c r="T97" s="222"/>
      <c r="U97" s="223"/>
      <c r="V97" s="222"/>
      <c r="W97" s="222"/>
      <c r="X97" s="222"/>
      <c r="Y97" s="222"/>
      <c r="Z97" s="222"/>
      <c r="AA97" s="222"/>
      <c r="AB97" s="222"/>
      <c r="AC97" s="222"/>
      <c r="AD97" s="222"/>
      <c r="AE97" s="222"/>
      <c r="AF97" s="520"/>
      <c r="AG97" s="222"/>
      <c r="AH97" s="223"/>
      <c r="AI97" s="222"/>
      <c r="AJ97" s="224"/>
    </row>
    <row r="99" spans="2:36">
      <c r="B99" s="128" t="s">
        <v>40</v>
      </c>
      <c r="C99" s="31"/>
      <c r="D99" s="31"/>
      <c r="E99" s="134"/>
      <c r="F99" s="135"/>
      <c r="G99" s="135"/>
      <c r="H99" s="135"/>
      <c r="I99" s="135"/>
      <c r="J99" s="134"/>
      <c r="K99" s="135"/>
      <c r="L99" s="222"/>
      <c r="M99" s="222"/>
      <c r="N99" s="222"/>
      <c r="O99" s="222"/>
      <c r="P99" s="222"/>
      <c r="Q99" s="222"/>
      <c r="R99" s="222"/>
      <c r="S99" s="222"/>
      <c r="T99" s="222"/>
      <c r="U99" s="223"/>
      <c r="V99" s="222"/>
      <c r="W99" s="222"/>
      <c r="X99" s="222"/>
      <c r="Y99" s="222"/>
      <c r="Z99" s="222"/>
      <c r="AA99" s="222"/>
      <c r="AB99" s="222"/>
      <c r="AC99" s="222"/>
      <c r="AD99" s="222"/>
      <c r="AE99" s="222"/>
      <c r="AF99" s="520"/>
      <c r="AG99" s="222"/>
      <c r="AH99" s="223"/>
      <c r="AI99" s="222"/>
      <c r="AJ99" s="224"/>
    </row>
    <row r="100" spans="2:36">
      <c r="B100" s="129" t="s">
        <v>0</v>
      </c>
      <c r="C100" s="73" t="s">
        <v>20</v>
      </c>
      <c r="D100" s="74" t="s">
        <v>17</v>
      </c>
      <c r="E100" s="134"/>
      <c r="F100" s="135"/>
      <c r="G100" s="135"/>
      <c r="H100" s="135"/>
      <c r="I100" s="135"/>
      <c r="J100" s="134"/>
      <c r="K100" s="135"/>
      <c r="L100" s="222"/>
      <c r="M100" s="222"/>
      <c r="N100" s="222"/>
      <c r="O100" s="222"/>
      <c r="P100" s="222"/>
      <c r="Q100" s="222"/>
      <c r="R100" s="222"/>
      <c r="S100" s="222"/>
      <c r="T100" s="222"/>
      <c r="U100" s="223"/>
      <c r="V100" s="222"/>
      <c r="W100" s="222"/>
      <c r="X100" s="222"/>
      <c r="Y100" s="222"/>
      <c r="Z100" s="222"/>
      <c r="AA100" s="222"/>
      <c r="AB100" s="222"/>
      <c r="AC100" s="222"/>
      <c r="AD100" s="222"/>
      <c r="AE100" s="222"/>
      <c r="AF100" s="520"/>
      <c r="AG100" s="222"/>
      <c r="AH100" s="223"/>
      <c r="AI100" s="222"/>
      <c r="AJ100" s="224"/>
    </row>
    <row r="101" spans="2:36">
      <c r="B101" s="130" t="s">
        <v>18</v>
      </c>
      <c r="C101" s="75"/>
      <c r="D101" s="77"/>
      <c r="E101" s="134"/>
      <c r="F101" s="135"/>
      <c r="G101" s="135"/>
      <c r="H101" s="135"/>
      <c r="I101" s="135"/>
      <c r="J101" s="134"/>
      <c r="K101" s="135"/>
      <c r="L101" s="222"/>
      <c r="M101" s="222"/>
      <c r="N101" s="222"/>
      <c r="O101" s="222"/>
      <c r="P101" s="222"/>
      <c r="Q101" s="222"/>
      <c r="R101" s="222"/>
      <c r="S101" s="222"/>
      <c r="T101" s="222"/>
      <c r="U101" s="223"/>
      <c r="V101" s="222"/>
      <c r="W101" s="222"/>
      <c r="X101" s="222"/>
      <c r="Y101" s="222"/>
      <c r="Z101" s="222"/>
      <c r="AA101" s="222"/>
      <c r="AB101" s="222"/>
      <c r="AC101" s="222"/>
      <c r="AD101" s="222"/>
      <c r="AE101" s="222"/>
      <c r="AF101" s="520"/>
      <c r="AG101" s="222"/>
      <c r="AH101" s="223"/>
      <c r="AI101" s="222"/>
      <c r="AJ101" s="224"/>
    </row>
    <row r="102" spans="2:36">
      <c r="B102" s="133" t="s">
        <v>41</v>
      </c>
      <c r="C102" s="29">
        <f>COUNTIFS($AH$5:$AH$64,"Green",$A$5:$A$64,"SI")</f>
        <v>0</v>
      </c>
      <c r="D102" s="78">
        <f>(100*(COUNTIFS($AH$6:$AH$64,"Green",$A$6:$A$64,"SI")))/COUNTIF($A$6:$A$64,"SI")</f>
        <v>0</v>
      </c>
      <c r="E102" s="134"/>
      <c r="F102" s="135"/>
      <c r="G102" s="135"/>
      <c r="H102" s="135"/>
      <c r="I102" s="135"/>
      <c r="J102" s="134"/>
      <c r="K102" s="135"/>
      <c r="L102" s="222"/>
      <c r="M102" s="222"/>
      <c r="N102" s="222"/>
      <c r="O102" s="222"/>
      <c r="P102" s="222"/>
      <c r="Q102" s="222"/>
      <c r="R102" s="222"/>
      <c r="S102" s="222"/>
      <c r="T102" s="222"/>
      <c r="U102" s="223"/>
      <c r="V102" s="222"/>
      <c r="W102" s="222"/>
      <c r="X102" s="222"/>
      <c r="Y102" s="222"/>
      <c r="Z102" s="222"/>
      <c r="AA102" s="222"/>
      <c r="AB102" s="222"/>
      <c r="AC102" s="222"/>
      <c r="AD102" s="222"/>
      <c r="AE102" s="222"/>
      <c r="AF102" s="520"/>
      <c r="AG102" s="222"/>
      <c r="AH102" s="223"/>
      <c r="AI102" s="222"/>
      <c r="AJ102" s="224"/>
    </row>
    <row r="103" spans="2:36">
      <c r="B103" s="133" t="s">
        <v>42</v>
      </c>
      <c r="C103" s="29">
        <f>COUNTIFS($AH$5:$AH$64,"Yellow",$A$5:$A$64,"SI")</f>
        <v>0</v>
      </c>
      <c r="D103" s="78">
        <f>(100*(COUNTIFS($AH$6:$AH$64,"Yellow",$A$6:$A$64,"SI")))/COUNTIF($A$6:$A$64,"SI")</f>
        <v>0</v>
      </c>
      <c r="E103" s="134"/>
      <c r="F103" s="135"/>
      <c r="G103" s="135"/>
      <c r="H103" s="135"/>
      <c r="I103" s="135"/>
      <c r="J103" s="134"/>
      <c r="K103" s="135"/>
      <c r="L103" s="222"/>
      <c r="M103" s="222"/>
      <c r="N103" s="222"/>
      <c r="O103" s="222"/>
      <c r="P103" s="222"/>
      <c r="Q103" s="222"/>
      <c r="R103" s="222"/>
      <c r="S103" s="222"/>
      <c r="T103" s="222"/>
      <c r="U103" s="223"/>
      <c r="V103" s="222"/>
      <c r="W103" s="222"/>
      <c r="X103" s="222"/>
      <c r="Y103" s="222"/>
      <c r="Z103" s="222"/>
      <c r="AA103" s="222"/>
      <c r="AB103" s="222"/>
      <c r="AC103" s="222"/>
      <c r="AD103" s="222"/>
      <c r="AE103" s="222"/>
      <c r="AF103" s="520"/>
      <c r="AG103" s="222"/>
      <c r="AH103" s="223"/>
      <c r="AI103" s="222"/>
      <c r="AJ103" s="224"/>
    </row>
    <row r="104" spans="2:36">
      <c r="B104" s="133" t="s">
        <v>43</v>
      </c>
      <c r="C104" s="29">
        <f>COUNTIFS($AH$5:$AH$64,"Orange",$A$5:$A$64,"SI")</f>
        <v>0</v>
      </c>
      <c r="D104" s="78">
        <f>(100*(COUNTIFS($AH$6:$AH$64,"Orange",$A$6:$A$64,"SI")))/COUNTIF($A$6:$A$64,"SI")</f>
        <v>0</v>
      </c>
      <c r="E104" s="134"/>
      <c r="F104" s="135"/>
      <c r="G104" s="135"/>
      <c r="H104" s="135"/>
      <c r="I104" s="135"/>
      <c r="J104" s="134"/>
      <c r="K104" s="135"/>
      <c r="L104" s="222"/>
      <c r="M104" s="222"/>
      <c r="N104" s="222"/>
      <c r="O104" s="222"/>
      <c r="P104" s="222"/>
      <c r="Q104" s="222"/>
      <c r="R104" s="222"/>
      <c r="S104" s="222"/>
      <c r="T104" s="222"/>
      <c r="U104" s="223"/>
      <c r="V104" s="222"/>
      <c r="W104" s="222"/>
      <c r="X104" s="222"/>
      <c r="Y104" s="222"/>
      <c r="Z104" s="222"/>
      <c r="AA104" s="222"/>
      <c r="AB104" s="222"/>
      <c r="AC104" s="222"/>
      <c r="AD104" s="222"/>
      <c r="AE104" s="222"/>
      <c r="AF104" s="520"/>
      <c r="AG104" s="222"/>
      <c r="AH104" s="223"/>
      <c r="AI104" s="222"/>
      <c r="AJ104" s="224"/>
    </row>
    <row r="105" spans="2:36">
      <c r="B105" s="133" t="s">
        <v>44</v>
      </c>
      <c r="C105" s="29">
        <f>COUNTIFS($AH$5:$AH$64,"Red",$A$5:$A$64,"SI")</f>
        <v>2</v>
      </c>
      <c r="D105" s="78">
        <f>(100*(COUNTIFS($AH$6:$AH$64,"Red",$A$6:$A$64,"SI")))/COUNTIF($A$6:$A$64,"SI")</f>
        <v>16.666666666666668</v>
      </c>
      <c r="E105" s="134"/>
      <c r="F105" s="135"/>
      <c r="G105" s="135"/>
      <c r="H105" s="135"/>
      <c r="I105" s="135"/>
      <c r="J105" s="134"/>
      <c r="K105" s="135"/>
      <c r="L105" s="222"/>
      <c r="M105" s="222"/>
      <c r="N105" s="222"/>
      <c r="O105" s="222"/>
      <c r="P105" s="222"/>
      <c r="Q105" s="222"/>
      <c r="R105" s="222"/>
      <c r="S105" s="222"/>
      <c r="T105" s="222"/>
      <c r="U105" s="223"/>
      <c r="V105" s="222"/>
      <c r="W105" s="222"/>
      <c r="X105" s="222"/>
      <c r="Y105" s="222"/>
      <c r="Z105" s="222"/>
      <c r="AA105" s="222"/>
      <c r="AB105" s="222"/>
      <c r="AC105" s="222"/>
      <c r="AD105" s="222"/>
      <c r="AE105" s="222"/>
      <c r="AF105" s="520"/>
      <c r="AG105" s="222"/>
      <c r="AH105" s="223"/>
      <c r="AI105" s="222"/>
      <c r="AJ105" s="224"/>
    </row>
    <row r="106" spans="2:36">
      <c r="B106" s="133" t="s">
        <v>65</v>
      </c>
      <c r="C106" s="29">
        <f>COUNTIFS($AH$5:$AH$64,"Qualitative",$A$5:$A$64,"SI")</f>
        <v>0</v>
      </c>
      <c r="D106" s="78">
        <f>(100*(COUNTIFS($AH$6:$AH$64,"Qualitative",$A$6:$A$64,"SI")))/COUNTIF($A$6:$A$64,"SI")</f>
        <v>0</v>
      </c>
      <c r="E106" s="134"/>
      <c r="F106" s="135"/>
      <c r="G106" s="135"/>
      <c r="H106" s="135"/>
      <c r="I106" s="135"/>
      <c r="J106" s="134"/>
      <c r="K106" s="135"/>
      <c r="L106" s="222"/>
      <c r="M106" s="222"/>
      <c r="N106" s="222"/>
      <c r="O106" s="222"/>
      <c r="P106" s="222"/>
      <c r="Q106" s="222"/>
      <c r="R106" s="222"/>
      <c r="S106" s="222"/>
      <c r="T106" s="222"/>
      <c r="U106" s="223"/>
      <c r="V106" s="222"/>
      <c r="W106" s="222"/>
      <c r="X106" s="222"/>
      <c r="Y106" s="222"/>
      <c r="Z106" s="222"/>
      <c r="AA106" s="222"/>
      <c r="AB106" s="222"/>
      <c r="AC106" s="222"/>
      <c r="AD106" s="222"/>
      <c r="AE106" s="222"/>
      <c r="AF106" s="520"/>
      <c r="AG106" s="222"/>
      <c r="AH106" s="223"/>
      <c r="AI106" s="222"/>
      <c r="AJ106" s="224"/>
    </row>
    <row r="107" spans="2:36">
      <c r="B107" s="133" t="s">
        <v>45</v>
      </c>
      <c r="C107" s="29">
        <f>COUNTIFS($AH$5:$AH$64,"Not Available",$A$5:$A$64,"SI")</f>
        <v>0</v>
      </c>
      <c r="D107" s="78">
        <f>(100*(COUNTIFS($AH$6:$AH$64,"Not Available",$A$6:$A$64,"SI")))/COUNTIF($A$6:$A$64,"SI")</f>
        <v>0</v>
      </c>
      <c r="E107" s="134"/>
      <c r="F107" s="135"/>
      <c r="G107" s="135"/>
      <c r="H107" s="135"/>
      <c r="I107" s="135"/>
      <c r="J107" s="134"/>
      <c r="K107" s="135"/>
      <c r="L107" s="222"/>
      <c r="M107" s="222"/>
      <c r="N107" s="222"/>
      <c r="O107" s="222"/>
      <c r="P107" s="222"/>
      <c r="Q107" s="222"/>
      <c r="R107" s="222"/>
      <c r="S107" s="222"/>
      <c r="T107" s="222"/>
      <c r="U107" s="223"/>
      <c r="V107" s="222"/>
      <c r="W107" s="222"/>
      <c r="X107" s="222"/>
      <c r="Y107" s="222"/>
      <c r="Z107" s="222"/>
      <c r="AA107" s="222"/>
      <c r="AB107" s="222"/>
      <c r="AC107" s="222"/>
      <c r="AD107" s="222"/>
      <c r="AE107" s="222"/>
      <c r="AF107" s="520"/>
      <c r="AG107" s="222"/>
      <c r="AH107" s="223"/>
      <c r="AI107" s="222"/>
      <c r="AJ107" s="224"/>
    </row>
    <row r="108" spans="2:36">
      <c r="B108" s="133" t="s">
        <v>46</v>
      </c>
      <c r="C108" s="29">
        <f>COUNTIFS($AH$5:$AH$64,"Not Applicable",$A$5:$A$64,"SI")</f>
        <v>0</v>
      </c>
      <c r="D108" s="78">
        <f>(100*(COUNTIFS($AH$6:$AH$64,"Not Applicable",$A$6:$A$64,"SI")))/COUNTIF($A$6:$A$64,"SI")</f>
        <v>0</v>
      </c>
      <c r="E108" s="134"/>
      <c r="F108" s="135"/>
      <c r="G108" s="135"/>
      <c r="H108" s="135"/>
      <c r="I108" s="135"/>
      <c r="J108" s="134"/>
      <c r="K108" s="135"/>
      <c r="L108" s="222"/>
      <c r="M108" s="222"/>
      <c r="N108" s="222"/>
      <c r="O108" s="222"/>
      <c r="P108" s="222"/>
      <c r="Q108" s="222"/>
      <c r="R108" s="222"/>
      <c r="S108" s="222"/>
      <c r="T108" s="222"/>
      <c r="U108" s="223"/>
      <c r="V108" s="222"/>
      <c r="W108" s="222"/>
      <c r="X108" s="222"/>
      <c r="Y108" s="222"/>
      <c r="Z108" s="222"/>
      <c r="AA108" s="222"/>
      <c r="AB108" s="222"/>
      <c r="AC108" s="222"/>
      <c r="AD108" s="222"/>
      <c r="AE108" s="222"/>
      <c r="AF108" s="520"/>
      <c r="AG108" s="222"/>
      <c r="AH108" s="223"/>
      <c r="AI108" s="222"/>
      <c r="AJ108" s="224"/>
    </row>
    <row r="109" spans="2:36">
      <c r="B109" s="132"/>
      <c r="C109" s="31"/>
      <c r="D109" s="31"/>
      <c r="E109" s="134"/>
      <c r="F109" s="135"/>
      <c r="G109" s="135"/>
      <c r="H109" s="135"/>
      <c r="I109" s="135"/>
      <c r="J109" s="134"/>
      <c r="K109" s="135"/>
      <c r="L109" s="222"/>
      <c r="M109" s="222"/>
      <c r="N109" s="222"/>
      <c r="O109" s="222"/>
      <c r="P109" s="222"/>
      <c r="Q109" s="222"/>
      <c r="R109" s="222"/>
      <c r="S109" s="222"/>
      <c r="T109" s="222"/>
      <c r="U109" s="223"/>
      <c r="V109" s="222"/>
      <c r="W109" s="222"/>
      <c r="X109" s="222"/>
      <c r="Y109" s="222"/>
      <c r="Z109" s="222"/>
      <c r="AA109" s="222"/>
      <c r="AB109" s="222"/>
      <c r="AC109" s="222"/>
      <c r="AD109" s="222"/>
      <c r="AE109" s="222"/>
      <c r="AF109" s="520"/>
      <c r="AG109" s="222"/>
      <c r="AH109" s="223"/>
      <c r="AI109" s="222"/>
      <c r="AJ109" s="224"/>
    </row>
    <row r="111" spans="2:36" ht="15" customHeight="1">
      <c r="B111" s="85"/>
      <c r="C111" s="80"/>
      <c r="D111" s="81"/>
      <c r="E111" s="79"/>
      <c r="F111" s="79"/>
      <c r="G111" s="79"/>
      <c r="H111" s="79"/>
      <c r="I111" s="79"/>
      <c r="J111" s="361"/>
      <c r="K111" s="79"/>
      <c r="L111" s="214"/>
      <c r="M111" s="215"/>
      <c r="N111" s="216"/>
      <c r="O111" s="216"/>
      <c r="P111" s="214"/>
      <c r="Q111" s="217"/>
      <c r="R111" s="217"/>
      <c r="S111" s="217"/>
      <c r="T111" s="217"/>
      <c r="U111" s="218"/>
      <c r="V111" s="217"/>
      <c r="W111" s="217"/>
      <c r="X111" s="217"/>
      <c r="Y111" s="217"/>
      <c r="Z111" s="217"/>
      <c r="AA111" s="217"/>
      <c r="AB111" s="217"/>
      <c r="AC111" s="217"/>
      <c r="AD111" s="217"/>
      <c r="AE111" s="217"/>
      <c r="AF111" s="518"/>
      <c r="AG111" s="217"/>
      <c r="AH111" s="218"/>
      <c r="AI111" s="217"/>
      <c r="AJ111" s="217"/>
    </row>
    <row r="112" spans="2:36" ht="15" customHeight="1">
      <c r="B112" s="85"/>
      <c r="C112" s="99"/>
      <c r="D112" s="100"/>
      <c r="E112" s="101"/>
      <c r="F112" s="101"/>
      <c r="G112" s="101"/>
      <c r="H112" s="101"/>
      <c r="I112" s="101"/>
      <c r="J112" s="362"/>
      <c r="K112" s="85"/>
      <c r="L112" s="214"/>
      <c r="M112" s="215"/>
      <c r="N112" s="216"/>
      <c r="O112" s="216"/>
      <c r="P112" s="214"/>
      <c r="Q112" s="217"/>
      <c r="R112" s="217"/>
      <c r="S112" s="217"/>
      <c r="T112" s="217"/>
      <c r="U112" s="218"/>
      <c r="V112" s="217"/>
      <c r="W112" s="217"/>
      <c r="X112" s="217"/>
      <c r="Y112" s="217"/>
      <c r="Z112" s="217"/>
      <c r="AA112" s="217"/>
      <c r="AB112" s="217"/>
      <c r="AC112" s="217"/>
      <c r="AD112" s="217"/>
      <c r="AE112" s="217"/>
      <c r="AF112" s="518"/>
      <c r="AG112" s="217"/>
      <c r="AH112" s="218"/>
      <c r="AI112" s="217"/>
      <c r="AJ112" s="217"/>
    </row>
    <row r="113" spans="1:38" ht="15" customHeight="1">
      <c r="B113" s="82"/>
      <c r="C113" s="83"/>
      <c r="D113" s="84"/>
      <c r="E113" s="32"/>
      <c r="F113" s="32"/>
      <c r="G113" s="32"/>
      <c r="H113" s="32"/>
      <c r="I113" s="32"/>
      <c r="J113" s="363"/>
      <c r="K113" s="82"/>
      <c r="L113" s="214"/>
      <c r="M113" s="215"/>
      <c r="N113" s="216"/>
      <c r="O113" s="216"/>
      <c r="P113" s="214"/>
      <c r="Q113" s="217"/>
      <c r="R113" s="217"/>
      <c r="S113" s="217"/>
      <c r="T113" s="217"/>
      <c r="U113" s="218"/>
      <c r="V113" s="217"/>
      <c r="W113" s="217"/>
      <c r="X113" s="217"/>
      <c r="Y113" s="217"/>
      <c r="Z113" s="217"/>
      <c r="AA113" s="217"/>
      <c r="AB113" s="217"/>
      <c r="AC113" s="217"/>
      <c r="AD113" s="217"/>
      <c r="AE113" s="217"/>
      <c r="AF113" s="518"/>
      <c r="AG113" s="217"/>
      <c r="AH113" s="218"/>
      <c r="AI113" s="217"/>
      <c r="AJ113" s="217"/>
    </row>
    <row r="114" spans="1:38" s="53" customFormat="1">
      <c r="A114" s="139"/>
      <c r="B114" s="30"/>
      <c r="C114" s="30"/>
      <c r="D114" s="30"/>
      <c r="E114" s="65"/>
      <c r="F114" s="30"/>
      <c r="G114" s="30"/>
      <c r="H114" s="30"/>
      <c r="I114" s="30"/>
      <c r="J114" s="65"/>
      <c r="K114" s="30"/>
      <c r="L114" s="220"/>
      <c r="M114" s="220"/>
      <c r="N114" s="220"/>
      <c r="O114" s="220"/>
      <c r="P114" s="220"/>
      <c r="Q114" s="220"/>
      <c r="R114" s="220"/>
      <c r="S114" s="220"/>
      <c r="T114" s="220"/>
      <c r="U114" s="221"/>
      <c r="V114" s="220"/>
      <c r="W114" s="220"/>
      <c r="X114" s="220"/>
      <c r="Y114" s="220"/>
      <c r="Z114" s="220"/>
      <c r="AA114" s="220"/>
      <c r="AB114" s="220"/>
      <c r="AC114" s="220"/>
      <c r="AD114" s="220"/>
      <c r="AE114" s="220"/>
      <c r="AF114" s="519"/>
      <c r="AG114" s="220"/>
      <c r="AH114" s="221"/>
      <c r="AI114" s="220"/>
      <c r="AJ114" s="220"/>
      <c r="AK114" s="30"/>
      <c r="AL114" s="30"/>
    </row>
    <row r="1048224" spans="1:38" s="66" customFormat="1" ht="17" customHeight="1">
      <c r="A1048224" s="141"/>
      <c r="B1048224" s="30"/>
      <c r="C1048224" s="30"/>
      <c r="D1048224" s="30"/>
      <c r="E1048224" s="65"/>
      <c r="F1048224" s="30"/>
      <c r="G1048224" s="30"/>
      <c r="H1048224" s="30"/>
      <c r="I1048224" s="30"/>
      <c r="J1048224" s="65"/>
      <c r="K1048224" s="30"/>
      <c r="L1048224" s="220"/>
      <c r="M1048224" s="220"/>
      <c r="N1048224" s="220"/>
      <c r="O1048224" s="220"/>
      <c r="P1048224" s="220"/>
      <c r="Q1048224" s="220"/>
      <c r="R1048224" s="220"/>
      <c r="S1048224" s="220"/>
      <c r="T1048224" s="220"/>
      <c r="U1048224" s="221"/>
      <c r="V1048224" s="220"/>
      <c r="W1048224" s="220"/>
      <c r="X1048224" s="220"/>
      <c r="Y1048224" s="220"/>
      <c r="Z1048224" s="220"/>
      <c r="AA1048224" s="220"/>
      <c r="AB1048224" s="220"/>
      <c r="AC1048224" s="220"/>
      <c r="AD1048224" s="220"/>
      <c r="AE1048224" s="220"/>
      <c r="AF1048224" s="519"/>
      <c r="AG1048224" s="220"/>
      <c r="AH1048224" s="221"/>
      <c r="AI1048224" s="220"/>
      <c r="AJ1048224" s="220"/>
      <c r="AK1048224" s="30"/>
      <c r="AL1048224" s="30"/>
    </row>
  </sheetData>
  <autoFilter ref="A1:AJ68" xr:uid="{00000000-0009-0000-0000-000001000000}"/>
  <mergeCells count="142">
    <mergeCell ref="L68:T68"/>
    <mergeCell ref="L66:T66"/>
    <mergeCell ref="M64:T64"/>
    <mergeCell ref="E30:E36"/>
    <mergeCell ref="B2:B3"/>
    <mergeCell ref="M6:T6"/>
    <mergeCell ref="M8:T8"/>
    <mergeCell ref="M9:T9"/>
    <mergeCell ref="M10:T10"/>
    <mergeCell ref="M11:T11"/>
    <mergeCell ref="M12:T12"/>
    <mergeCell ref="M13:T13"/>
    <mergeCell ref="M39:N39"/>
    <mergeCell ref="O39:P39"/>
    <mergeCell ref="Q39:R39"/>
    <mergeCell ref="S39:T39"/>
    <mergeCell ref="M18:T18"/>
    <mergeCell ref="M19:T19"/>
    <mergeCell ref="D20:D25"/>
    <mergeCell ref="M20:T20"/>
    <mergeCell ref="F48:F50"/>
    <mergeCell ref="F62:F64"/>
    <mergeCell ref="M16:T16"/>
    <mergeCell ref="M17:T17"/>
    <mergeCell ref="J6:J15"/>
    <mergeCell ref="S40:T40"/>
    <mergeCell ref="Q40:R40"/>
    <mergeCell ref="O40:P40"/>
    <mergeCell ref="M40:N40"/>
    <mergeCell ref="E2:K2"/>
    <mergeCell ref="M24:T24"/>
    <mergeCell ref="M25:T25"/>
    <mergeCell ref="J20:J25"/>
    <mergeCell ref="I20:I25"/>
    <mergeCell ref="H20:H25"/>
    <mergeCell ref="F20:F25"/>
    <mergeCell ref="E20:E25"/>
    <mergeCell ref="I30:I36"/>
    <mergeCell ref="H30:H36"/>
    <mergeCell ref="F30:F36"/>
    <mergeCell ref="D6:D15"/>
    <mergeCell ref="C6:C15"/>
    <mergeCell ref="F6:F15"/>
    <mergeCell ref="E6:E15"/>
    <mergeCell ref="AJ2:AJ3"/>
    <mergeCell ref="AG2:AG3"/>
    <mergeCell ref="M3:T3"/>
    <mergeCell ref="AD2:AD3"/>
    <mergeCell ref="AE2:AE3"/>
    <mergeCell ref="V2:AC2"/>
    <mergeCell ref="AF2:AF3"/>
    <mergeCell ref="L2:T2"/>
    <mergeCell ref="U2:U3"/>
    <mergeCell ref="AI2:AI3"/>
    <mergeCell ref="M7:T7"/>
    <mergeCell ref="C2:D3"/>
    <mergeCell ref="AH6:AH15"/>
    <mergeCell ref="U6:U15"/>
    <mergeCell ref="AH2:AH3"/>
    <mergeCell ref="M14:T14"/>
    <mergeCell ref="M15:T15"/>
    <mergeCell ref="G6:G15"/>
    <mergeCell ref="H6:H15"/>
    <mergeCell ref="I6:I15"/>
    <mergeCell ref="U27:U29"/>
    <mergeCell ref="I27:I29"/>
    <mergeCell ref="M28:N28"/>
    <mergeCell ref="U20:U25"/>
    <mergeCell ref="M21:T21"/>
    <mergeCell ref="M22:T22"/>
    <mergeCell ref="M23:T23"/>
    <mergeCell ref="C27:C29"/>
    <mergeCell ref="A27:A29"/>
    <mergeCell ref="D30:D36"/>
    <mergeCell ref="C30:C36"/>
    <mergeCell ref="M26:T26"/>
    <mergeCell ref="D27:D29"/>
    <mergeCell ref="E27:E29"/>
    <mergeCell ref="F27:F29"/>
    <mergeCell ref="G27:G29"/>
    <mergeCell ref="H27:H29"/>
    <mergeCell ref="J27:J29"/>
    <mergeCell ref="L27:T27"/>
    <mergeCell ref="M29:N29"/>
    <mergeCell ref="O28:P28"/>
    <mergeCell ref="O29:P29"/>
    <mergeCell ref="Q28:R28"/>
    <mergeCell ref="Q29:R29"/>
    <mergeCell ref="S28:T28"/>
    <mergeCell ref="S29:T29"/>
    <mergeCell ref="A38:A40"/>
    <mergeCell ref="C38:C40"/>
    <mergeCell ref="D38:D40"/>
    <mergeCell ref="E38:E40"/>
    <mergeCell ref="F38:F40"/>
    <mergeCell ref="G38:G40"/>
    <mergeCell ref="H38:H40"/>
    <mergeCell ref="I38:I40"/>
    <mergeCell ref="J38:J40"/>
    <mergeCell ref="C53:C58"/>
    <mergeCell ref="D53:D58"/>
    <mergeCell ref="F53:F58"/>
    <mergeCell ref="H53:H58"/>
    <mergeCell ref="I53:I58"/>
    <mergeCell ref="U42:U47"/>
    <mergeCell ref="O42:T47"/>
    <mergeCell ref="I42:I47"/>
    <mergeCell ref="M51:T51"/>
    <mergeCell ref="M50:T50"/>
    <mergeCell ref="M49:T49"/>
    <mergeCell ref="M46:N46"/>
    <mergeCell ref="M47:N47"/>
    <mergeCell ref="M44:N44"/>
    <mergeCell ref="M45:N45"/>
    <mergeCell ref="M42:N42"/>
    <mergeCell ref="M43:N43"/>
    <mergeCell ref="D42:D47"/>
    <mergeCell ref="F42:F47"/>
    <mergeCell ref="U62:U64"/>
    <mergeCell ref="AH20:AH25"/>
    <mergeCell ref="AH30:AH36"/>
    <mergeCell ref="M59:T59"/>
    <mergeCell ref="M52:T52"/>
    <mergeCell ref="M61:T61"/>
    <mergeCell ref="M62:T62"/>
    <mergeCell ref="M63:T63"/>
    <mergeCell ref="M53:T53"/>
    <mergeCell ref="U53:U58"/>
    <mergeCell ref="M54:T54"/>
    <mergeCell ref="M55:T55"/>
    <mergeCell ref="M56:T56"/>
    <mergeCell ref="M57:T57"/>
    <mergeCell ref="M58:T58"/>
    <mergeCell ref="M36:T36"/>
    <mergeCell ref="U30:U36"/>
    <mergeCell ref="L38:T38"/>
    <mergeCell ref="U38:U40"/>
    <mergeCell ref="M30:T30"/>
    <mergeCell ref="M32:T32"/>
    <mergeCell ref="M33:T33"/>
    <mergeCell ref="M34:T34"/>
    <mergeCell ref="M35:T35"/>
  </mergeCells>
  <conditionalFormatting sqref="U6 U16">
    <cfRule type="containsText" dxfId="1843" priority="467" operator="containsText" text="Complete">
      <formula>NOT(ISERROR(SEARCH("Complete",U6)))</formula>
    </cfRule>
  </conditionalFormatting>
  <conditionalFormatting sqref="U6 U16">
    <cfRule type="containsText" dxfId="1842" priority="462" operator="containsText" text="Not applicable">
      <formula>NOT(ISERROR(SEARCH("Not applicable",U6)))</formula>
    </cfRule>
    <cfRule type="containsText" dxfId="1841" priority="463" operator="containsText" text="Pending">
      <formula>NOT(ISERROR(SEARCH("Pending",U6)))</formula>
    </cfRule>
    <cfRule type="containsText" dxfId="1840" priority="464" operator="containsText" text="Alternative">
      <formula>NOT(ISERROR(SEARCH("Alternative",U6)))</formula>
    </cfRule>
    <cfRule type="containsText" dxfId="1839" priority="465" operator="containsText" text="Not Available">
      <formula>NOT(ISERROR(SEARCH("Not Available",U6)))</formula>
    </cfRule>
    <cfRule type="containsText" dxfId="1838" priority="466" operator="containsText" text="Incomplete">
      <formula>NOT(ISERROR(SEARCH("Incomplete",U6)))</formula>
    </cfRule>
  </conditionalFormatting>
  <conditionalFormatting sqref="AH6">
    <cfRule type="containsText" dxfId="1837" priority="366" operator="containsText" text="Qualitative">
      <formula>NOT(ISERROR(SEARCH("Qualitative",AH6)))</formula>
    </cfRule>
    <cfRule type="containsText" dxfId="1836" priority="367" operator="containsText" text="Red">
      <formula>NOT(ISERROR(SEARCH("Red",AH6)))</formula>
    </cfRule>
    <cfRule type="containsText" dxfId="1835" priority="368" operator="containsText" text="Orange">
      <formula>NOT(ISERROR(SEARCH("Orange",AH6)))</formula>
    </cfRule>
    <cfRule type="containsText" dxfId="1834" priority="369" operator="containsText" text="Yellow">
      <formula>NOT(ISERROR(SEARCH("Yellow",AH6)))</formula>
    </cfRule>
    <cfRule type="containsText" dxfId="1833" priority="370" operator="containsText" text="Green">
      <formula>NOT(ISERROR(SEARCH("Green",AH6)))</formula>
    </cfRule>
  </conditionalFormatting>
  <conditionalFormatting sqref="C75">
    <cfRule type="containsText" dxfId="1832" priority="321" operator="containsText" text="Alternative">
      <formula>NOT(ISERROR(SEARCH("Alternative",C75)))</formula>
    </cfRule>
    <cfRule type="containsText" dxfId="1831" priority="323" operator="containsText" text="Not available">
      <formula>NOT(ISERROR(SEARCH("Not available",C75)))</formula>
    </cfRule>
    <cfRule type="containsText" dxfId="1830" priority="324" operator="containsText" text="Incomplete">
      <formula>NOT(ISERROR(SEARCH("Incomplete",C75)))</formula>
    </cfRule>
    <cfRule type="containsText" dxfId="1829" priority="325" operator="containsText" text="Complete">
      <formula>NOT(ISERROR(SEARCH("Complete",C75)))</formula>
    </cfRule>
  </conditionalFormatting>
  <conditionalFormatting sqref="B75:C75 B76">
    <cfRule type="containsText" dxfId="1828" priority="322" operator="containsText" text="Pending">
      <formula>NOT(ISERROR(SEARCH("Pending",B75)))</formula>
    </cfRule>
  </conditionalFormatting>
  <conditionalFormatting sqref="C74">
    <cfRule type="containsText" dxfId="1827" priority="316" operator="containsText" text="Alternative">
      <formula>NOT(ISERROR(SEARCH("Alternative",C74)))</formula>
    </cfRule>
    <cfRule type="containsText" dxfId="1826" priority="318" operator="containsText" text="Not available">
      <formula>NOT(ISERROR(SEARCH("Not available",C74)))</formula>
    </cfRule>
    <cfRule type="containsText" dxfId="1825" priority="319" operator="containsText" text="Incomplete">
      <formula>NOT(ISERROR(SEARCH("Incomplete",C74)))</formula>
    </cfRule>
    <cfRule type="containsText" dxfId="1824" priority="320" operator="containsText" text="Complete">
      <formula>NOT(ISERROR(SEARCH("Complete",C74)))</formula>
    </cfRule>
  </conditionalFormatting>
  <conditionalFormatting sqref="C74">
    <cfRule type="containsText" dxfId="1823" priority="317" operator="containsText" text="Pending">
      <formula>NOT(ISERROR(SEARCH("Pending",C74)))</formula>
    </cfRule>
  </conditionalFormatting>
  <conditionalFormatting sqref="C97">
    <cfRule type="containsText" dxfId="1822" priority="311" operator="containsText" text="Alternative">
      <formula>NOT(ISERROR(SEARCH("Alternative",C97)))</formula>
    </cfRule>
    <cfRule type="containsText" dxfId="1821" priority="313" operator="containsText" text="Not available">
      <formula>NOT(ISERROR(SEARCH("Not available",C97)))</formula>
    </cfRule>
    <cfRule type="containsText" dxfId="1820" priority="314" operator="containsText" text="Incomplete">
      <formula>NOT(ISERROR(SEARCH("Incomplete",C97)))</formula>
    </cfRule>
    <cfRule type="containsText" dxfId="1819" priority="315" operator="containsText" text="Complete">
      <formula>NOT(ISERROR(SEARCH("Complete",C97)))</formula>
    </cfRule>
  </conditionalFormatting>
  <conditionalFormatting sqref="B97:C97">
    <cfRule type="containsText" dxfId="1818" priority="312" operator="containsText" text="Pending">
      <formula>NOT(ISERROR(SEARCH("Pending",B97)))</formula>
    </cfRule>
  </conditionalFormatting>
  <conditionalFormatting sqref="B83">
    <cfRule type="containsText" dxfId="1817" priority="310" operator="containsText" text="Pending">
      <formula>NOT(ISERROR(SEARCH("Pending",B83)))</formula>
    </cfRule>
  </conditionalFormatting>
  <conditionalFormatting sqref="B90">
    <cfRule type="containsText" dxfId="1816" priority="309" operator="containsText" text="Pending">
      <formula>NOT(ISERROR(SEARCH("Pending",B90)))</formula>
    </cfRule>
  </conditionalFormatting>
  <conditionalFormatting sqref="B77:B82">
    <cfRule type="containsText" dxfId="1815" priority="308" operator="containsText" text="Complete">
      <formula>NOT(ISERROR(SEARCH("Complete",B77)))</formula>
    </cfRule>
  </conditionalFormatting>
  <conditionalFormatting sqref="B77:B82">
    <cfRule type="containsText" dxfId="1814" priority="303" operator="containsText" text="Not applicable">
      <formula>NOT(ISERROR(SEARCH("Not applicable",B77)))</formula>
    </cfRule>
    <cfRule type="containsText" dxfId="1813" priority="304" operator="containsText" text="Pending">
      <formula>NOT(ISERROR(SEARCH("Pending",B77)))</formula>
    </cfRule>
    <cfRule type="containsText" dxfId="1812" priority="305" operator="containsText" text="Alternative">
      <formula>NOT(ISERROR(SEARCH("Alternative",B77)))</formula>
    </cfRule>
    <cfRule type="containsText" dxfId="1811" priority="306" operator="containsText" text="Not Available">
      <formula>NOT(ISERROR(SEARCH("Not Available",B77)))</formula>
    </cfRule>
    <cfRule type="containsText" dxfId="1810" priority="307" operator="containsText" text="Incomplete">
      <formula>NOT(ISERROR(SEARCH("Incomplete",B77)))</formula>
    </cfRule>
  </conditionalFormatting>
  <conditionalFormatting sqref="B84:B89">
    <cfRule type="containsText" dxfId="1809" priority="302" operator="containsText" text="Complete">
      <formula>NOT(ISERROR(SEARCH("Complete",B84)))</formula>
    </cfRule>
  </conditionalFormatting>
  <conditionalFormatting sqref="B84:B89">
    <cfRule type="containsText" dxfId="1808" priority="297" operator="containsText" text="Not applicable">
      <formula>NOT(ISERROR(SEARCH("Not applicable",B84)))</formula>
    </cfRule>
    <cfRule type="containsText" dxfId="1807" priority="298" operator="containsText" text="Pending">
      <formula>NOT(ISERROR(SEARCH("Pending",B84)))</formula>
    </cfRule>
    <cfRule type="containsText" dxfId="1806" priority="299" operator="containsText" text="Alternative">
      <formula>NOT(ISERROR(SEARCH("Alternative",B84)))</formula>
    </cfRule>
    <cfRule type="containsText" dxfId="1805" priority="300" operator="containsText" text="Not Available">
      <formula>NOT(ISERROR(SEARCH("Not Available",B84)))</formula>
    </cfRule>
    <cfRule type="containsText" dxfId="1804" priority="301" operator="containsText" text="Incomplete">
      <formula>NOT(ISERROR(SEARCH("Incomplete",B84)))</formula>
    </cfRule>
  </conditionalFormatting>
  <conditionalFormatting sqref="B91:B96">
    <cfRule type="containsText" dxfId="1803" priority="296" operator="containsText" text="Complete">
      <formula>NOT(ISERROR(SEARCH("Complete",B91)))</formula>
    </cfRule>
  </conditionalFormatting>
  <conditionalFormatting sqref="B91:B96">
    <cfRule type="containsText" dxfId="1802" priority="291" operator="containsText" text="Not applicable">
      <formula>NOT(ISERROR(SEARCH("Not applicable",B91)))</formula>
    </cfRule>
    <cfRule type="containsText" dxfId="1801" priority="292" operator="containsText" text="Pending">
      <formula>NOT(ISERROR(SEARCH("Pending",B91)))</formula>
    </cfRule>
    <cfRule type="containsText" dxfId="1800" priority="293" operator="containsText" text="Alternative">
      <formula>NOT(ISERROR(SEARCH("Alternative",B91)))</formula>
    </cfRule>
    <cfRule type="containsText" dxfId="1799" priority="294" operator="containsText" text="Not Available">
      <formula>NOT(ISERROR(SEARCH("Not Available",B91)))</formula>
    </cfRule>
    <cfRule type="containsText" dxfId="1798" priority="295" operator="containsText" text="Incomplete">
      <formula>NOT(ISERROR(SEARCH("Incomplete",B91)))</formula>
    </cfRule>
  </conditionalFormatting>
  <conditionalFormatting sqref="D75">
    <cfRule type="containsText" dxfId="1797" priority="286" operator="containsText" text="Alternative">
      <formula>NOT(ISERROR(SEARCH("Alternative",D75)))</formula>
    </cfRule>
    <cfRule type="containsText" dxfId="1796" priority="288" operator="containsText" text="Not available">
      <formula>NOT(ISERROR(SEARCH("Not available",D75)))</formula>
    </cfRule>
    <cfRule type="containsText" dxfId="1795" priority="289" operator="containsText" text="Incomplete">
      <formula>NOT(ISERROR(SEARCH("Incomplete",D75)))</formula>
    </cfRule>
    <cfRule type="containsText" dxfId="1794" priority="290" operator="containsText" text="Complete">
      <formula>NOT(ISERROR(SEARCH("Complete",D75)))</formula>
    </cfRule>
  </conditionalFormatting>
  <conditionalFormatting sqref="D75">
    <cfRule type="containsText" dxfId="1793" priority="287" operator="containsText" text="Pending">
      <formula>NOT(ISERROR(SEARCH("Pending",D75)))</formula>
    </cfRule>
  </conditionalFormatting>
  <conditionalFormatting sqref="B100">
    <cfRule type="containsText" dxfId="1792" priority="285" operator="containsText" text="Pending">
      <formula>NOT(ISERROR(SEARCH("Pending",B100)))</formula>
    </cfRule>
  </conditionalFormatting>
  <conditionalFormatting sqref="B101">
    <cfRule type="containsText" dxfId="1791" priority="284" operator="containsText" text="Pending">
      <formula>NOT(ISERROR(SEARCH("Pending",B101)))</formula>
    </cfRule>
  </conditionalFormatting>
  <conditionalFormatting sqref="C99">
    <cfRule type="containsText" dxfId="1790" priority="279" operator="containsText" text="Alternative">
      <formula>NOT(ISERROR(SEARCH("Alternative",C99)))</formula>
    </cfRule>
    <cfRule type="containsText" dxfId="1789" priority="281" operator="containsText" text="Not available">
      <formula>NOT(ISERROR(SEARCH("Not available",C99)))</formula>
    </cfRule>
    <cfRule type="containsText" dxfId="1788" priority="282" operator="containsText" text="Incomplete">
      <formula>NOT(ISERROR(SEARCH("Incomplete",C99)))</formula>
    </cfRule>
    <cfRule type="containsText" dxfId="1787" priority="283" operator="containsText" text="Complete">
      <formula>NOT(ISERROR(SEARCH("Complete",C99)))</formula>
    </cfRule>
  </conditionalFormatting>
  <conditionalFormatting sqref="C99">
    <cfRule type="containsText" dxfId="1786" priority="280" operator="containsText" text="Pending">
      <formula>NOT(ISERROR(SEARCH("Pending",C99)))</formula>
    </cfRule>
  </conditionalFormatting>
  <conditionalFormatting sqref="C109">
    <cfRule type="containsText" dxfId="1785" priority="274" operator="containsText" text="Alternative">
      <formula>NOT(ISERROR(SEARCH("Alternative",C109)))</formula>
    </cfRule>
    <cfRule type="containsText" dxfId="1784" priority="276" operator="containsText" text="Not available">
      <formula>NOT(ISERROR(SEARCH("Not available",C109)))</formula>
    </cfRule>
    <cfRule type="containsText" dxfId="1783" priority="277" operator="containsText" text="Incomplete">
      <formula>NOT(ISERROR(SEARCH("Incomplete",C109)))</formula>
    </cfRule>
    <cfRule type="containsText" dxfId="1782" priority="278" operator="containsText" text="Complete">
      <formula>NOT(ISERROR(SEARCH("Complete",C109)))</formula>
    </cfRule>
  </conditionalFormatting>
  <conditionalFormatting sqref="B109:C109">
    <cfRule type="containsText" dxfId="1781" priority="275" operator="containsText" text="Pending">
      <formula>NOT(ISERROR(SEARCH("Pending",B109)))</formula>
    </cfRule>
  </conditionalFormatting>
  <conditionalFormatting sqref="B102">
    <cfRule type="containsText" dxfId="1780" priority="269" operator="containsText" text="No Benchmark">
      <formula>NOT(ISERROR(SEARCH("No Benchmark",B102)))</formula>
    </cfRule>
    <cfRule type="containsText" dxfId="1779" priority="270" operator="containsText" text="Red">
      <formula>NOT(ISERROR(SEARCH("Red",B102)))</formula>
    </cfRule>
    <cfRule type="containsText" dxfId="1778" priority="271" operator="containsText" text="Orange">
      <formula>NOT(ISERROR(SEARCH("Orange",B102)))</formula>
    </cfRule>
    <cfRule type="containsText" dxfId="1777" priority="272" operator="containsText" text="Yellow">
      <formula>NOT(ISERROR(SEARCH("Yellow",B102)))</formula>
    </cfRule>
    <cfRule type="containsText" dxfId="1776" priority="273" operator="containsText" text="Green">
      <formula>NOT(ISERROR(SEARCH("Green",B102)))</formula>
    </cfRule>
  </conditionalFormatting>
  <conditionalFormatting sqref="B103">
    <cfRule type="containsText" dxfId="1775" priority="264" operator="containsText" text="No Benchmark">
      <formula>NOT(ISERROR(SEARCH("No Benchmark",B103)))</formula>
    </cfRule>
    <cfRule type="containsText" dxfId="1774" priority="265" operator="containsText" text="Red">
      <formula>NOT(ISERROR(SEARCH("Red",B103)))</formula>
    </cfRule>
    <cfRule type="containsText" dxfId="1773" priority="266" operator="containsText" text="Orange">
      <formula>NOT(ISERROR(SEARCH("Orange",B103)))</formula>
    </cfRule>
    <cfRule type="containsText" dxfId="1772" priority="267" operator="containsText" text="Yellow">
      <formula>NOT(ISERROR(SEARCH("Yellow",B103)))</formula>
    </cfRule>
    <cfRule type="containsText" dxfId="1771" priority="268" operator="containsText" text="Green">
      <formula>NOT(ISERROR(SEARCH("Green",B103)))</formula>
    </cfRule>
  </conditionalFormatting>
  <conditionalFormatting sqref="B104">
    <cfRule type="containsText" dxfId="1770" priority="259" operator="containsText" text="No Benchmark">
      <formula>NOT(ISERROR(SEARCH("No Benchmark",B104)))</formula>
    </cfRule>
    <cfRule type="containsText" dxfId="1769" priority="260" operator="containsText" text="Red">
      <formula>NOT(ISERROR(SEARCH("Red",B104)))</formula>
    </cfRule>
    <cfRule type="containsText" dxfId="1768" priority="261" operator="containsText" text="Orange">
      <formula>NOT(ISERROR(SEARCH("Orange",B104)))</formula>
    </cfRule>
    <cfRule type="containsText" dxfId="1767" priority="262" operator="containsText" text="Yellow">
      <formula>NOT(ISERROR(SEARCH("Yellow",B104)))</formula>
    </cfRule>
    <cfRule type="containsText" dxfId="1766" priority="263" operator="containsText" text="Green">
      <formula>NOT(ISERROR(SEARCH("Green",B104)))</formula>
    </cfRule>
  </conditionalFormatting>
  <conditionalFormatting sqref="B105">
    <cfRule type="containsText" dxfId="1765" priority="254" operator="containsText" text="No Benchmark">
      <formula>NOT(ISERROR(SEARCH("No Benchmark",B105)))</formula>
    </cfRule>
    <cfRule type="containsText" dxfId="1764" priority="255" operator="containsText" text="Red">
      <formula>NOT(ISERROR(SEARCH("Red",B105)))</formula>
    </cfRule>
    <cfRule type="containsText" dxfId="1763" priority="256" operator="containsText" text="Orange">
      <formula>NOT(ISERROR(SEARCH("Orange",B105)))</formula>
    </cfRule>
    <cfRule type="containsText" dxfId="1762" priority="257" operator="containsText" text="Yellow">
      <formula>NOT(ISERROR(SEARCH("Yellow",B105)))</formula>
    </cfRule>
    <cfRule type="containsText" dxfId="1761" priority="258" operator="containsText" text="Green">
      <formula>NOT(ISERROR(SEARCH("Green",B105)))</formula>
    </cfRule>
  </conditionalFormatting>
  <conditionalFormatting sqref="B106">
    <cfRule type="containsText" dxfId="1760" priority="249" operator="containsText" text="Qualitative">
      <formula>NOT(ISERROR(SEARCH("Qualitative",B106)))</formula>
    </cfRule>
    <cfRule type="containsText" dxfId="1759" priority="250" operator="containsText" text="Red">
      <formula>NOT(ISERROR(SEARCH("Red",B106)))</formula>
    </cfRule>
    <cfRule type="containsText" dxfId="1758" priority="251" operator="containsText" text="Orange">
      <formula>NOT(ISERROR(SEARCH("Orange",B106)))</formula>
    </cfRule>
    <cfRule type="containsText" dxfId="1757" priority="252" operator="containsText" text="Yellow">
      <formula>NOT(ISERROR(SEARCH("Yellow",B106)))</formula>
    </cfRule>
    <cfRule type="containsText" dxfId="1756" priority="253" operator="containsText" text="Green">
      <formula>NOT(ISERROR(SEARCH("Green",B106)))</formula>
    </cfRule>
  </conditionalFormatting>
  <conditionalFormatting sqref="B107">
    <cfRule type="containsText" dxfId="1755" priority="244" operator="containsText" text="No Benchmark">
      <formula>NOT(ISERROR(SEARCH("No Benchmark",B107)))</formula>
    </cfRule>
    <cfRule type="containsText" dxfId="1754" priority="245" operator="containsText" text="Red">
      <formula>NOT(ISERROR(SEARCH("Red",B107)))</formula>
    </cfRule>
    <cfRule type="containsText" dxfId="1753" priority="246" operator="containsText" text="Orange">
      <formula>NOT(ISERROR(SEARCH("Orange",B107)))</formula>
    </cfRule>
    <cfRule type="containsText" dxfId="1752" priority="247" operator="containsText" text="Yellow">
      <formula>NOT(ISERROR(SEARCH("Yellow",B107)))</formula>
    </cfRule>
    <cfRule type="containsText" dxfId="1751" priority="248" operator="containsText" text="Green">
      <formula>NOT(ISERROR(SEARCH("Green",B107)))</formula>
    </cfRule>
  </conditionalFormatting>
  <conditionalFormatting sqref="B108">
    <cfRule type="containsText" dxfId="1750" priority="239" operator="containsText" text="No Benchmark">
      <formula>NOT(ISERROR(SEARCH("No Benchmark",B108)))</formula>
    </cfRule>
    <cfRule type="containsText" dxfId="1749" priority="240" operator="containsText" text="Red">
      <formula>NOT(ISERROR(SEARCH("Red",B108)))</formula>
    </cfRule>
    <cfRule type="containsText" dxfId="1748" priority="241" operator="containsText" text="Orange">
      <formula>NOT(ISERROR(SEARCH("Orange",B108)))</formula>
    </cfRule>
    <cfRule type="containsText" dxfId="1747" priority="242" operator="containsText" text="Yellow">
      <formula>NOT(ISERROR(SEARCH("Yellow",B108)))</formula>
    </cfRule>
    <cfRule type="containsText" dxfId="1746" priority="243" operator="containsText" text="Green">
      <formula>NOT(ISERROR(SEARCH("Green",B108)))</formula>
    </cfRule>
  </conditionalFormatting>
  <conditionalFormatting sqref="C100">
    <cfRule type="containsText" dxfId="1745" priority="238" operator="containsText" text="Pending">
      <formula>NOT(ISERROR(SEARCH("Pending",C100)))</formula>
    </cfRule>
  </conditionalFormatting>
  <conditionalFormatting sqref="C100">
    <cfRule type="containsText" dxfId="1744" priority="234" operator="containsText" text="Alternative">
      <formula>NOT(ISERROR(SEARCH("Alternative",C100)))</formula>
    </cfRule>
    <cfRule type="containsText" dxfId="1743" priority="235" operator="containsText" text="Not available">
      <formula>NOT(ISERROR(SEARCH("Not available",C100)))</formula>
    </cfRule>
    <cfRule type="containsText" dxfId="1742" priority="236" operator="containsText" text="Incomplete">
      <formula>NOT(ISERROR(SEARCH("Incomplete",C100)))</formula>
    </cfRule>
    <cfRule type="containsText" dxfId="1741" priority="237" operator="containsText" text="Complete">
      <formula>NOT(ISERROR(SEARCH("Complete",C100)))</formula>
    </cfRule>
  </conditionalFormatting>
  <conditionalFormatting sqref="D100">
    <cfRule type="containsText" dxfId="1740" priority="229" operator="containsText" text="Alternative">
      <formula>NOT(ISERROR(SEARCH("Alternative",D100)))</formula>
    </cfRule>
    <cfRule type="containsText" dxfId="1739" priority="231" operator="containsText" text="Not available">
      <formula>NOT(ISERROR(SEARCH("Not available",D100)))</formula>
    </cfRule>
    <cfRule type="containsText" dxfId="1738" priority="232" operator="containsText" text="Incomplete">
      <formula>NOT(ISERROR(SEARCH("Incomplete",D100)))</formula>
    </cfRule>
    <cfRule type="containsText" dxfId="1737" priority="233" operator="containsText" text="Complete">
      <formula>NOT(ISERROR(SEARCH("Complete",D100)))</formula>
    </cfRule>
  </conditionalFormatting>
  <conditionalFormatting sqref="D100">
    <cfRule type="containsText" dxfId="1736" priority="230" operator="containsText" text="Pending">
      <formula>NOT(ISERROR(SEARCH("Pending",D100)))</formula>
    </cfRule>
  </conditionalFormatting>
  <conditionalFormatting sqref="AF16 AF6">
    <cfRule type="containsText" dxfId="1735" priority="143" operator="containsText" text="0">
      <formula>NOT(ISERROR(SEARCH("0",AF6)))</formula>
    </cfRule>
  </conditionalFormatting>
  <conditionalFormatting sqref="U17">
    <cfRule type="containsText" dxfId="1734" priority="126" operator="containsText" text="Complete">
      <formula>NOT(ISERROR(SEARCH("Complete",U17)))</formula>
    </cfRule>
  </conditionalFormatting>
  <conditionalFormatting sqref="U17">
    <cfRule type="containsText" dxfId="1733" priority="121" operator="containsText" text="Not applicable">
      <formula>NOT(ISERROR(SEARCH("Not applicable",U17)))</formula>
    </cfRule>
    <cfRule type="containsText" dxfId="1732" priority="122" operator="containsText" text="Pending">
      <formula>NOT(ISERROR(SEARCH("Pending",U17)))</formula>
    </cfRule>
    <cfRule type="containsText" dxfId="1731" priority="123" operator="containsText" text="Alternative">
      <formula>NOT(ISERROR(SEARCH("Alternative",U17)))</formula>
    </cfRule>
    <cfRule type="containsText" dxfId="1730" priority="124" operator="containsText" text="Not Available">
      <formula>NOT(ISERROR(SEARCH("Not Available",U17)))</formula>
    </cfRule>
    <cfRule type="containsText" dxfId="1729" priority="125" operator="containsText" text="Incomplete">
      <formula>NOT(ISERROR(SEARCH("Incomplete",U17)))</formula>
    </cfRule>
  </conditionalFormatting>
  <conditionalFormatting sqref="AH17">
    <cfRule type="containsText" dxfId="1728" priority="116" operator="containsText" text="Qualitative">
      <formula>NOT(ISERROR(SEARCH("Qualitative",AH17)))</formula>
    </cfRule>
    <cfRule type="containsText" dxfId="1727" priority="117" operator="containsText" text="Red">
      <formula>NOT(ISERROR(SEARCH("Red",AH17)))</formula>
    </cfRule>
    <cfRule type="containsText" dxfId="1726" priority="118" operator="containsText" text="Orange">
      <formula>NOT(ISERROR(SEARCH("Orange",AH17)))</formula>
    </cfRule>
    <cfRule type="containsText" dxfId="1725" priority="119" operator="containsText" text="Yellow">
      <formula>NOT(ISERROR(SEARCH("Yellow",AH17)))</formula>
    </cfRule>
    <cfRule type="containsText" dxfId="1724" priority="120" operator="containsText" text="Green">
      <formula>NOT(ISERROR(SEARCH("Green",AH17)))</formula>
    </cfRule>
  </conditionalFormatting>
  <conditionalFormatting sqref="AF17">
    <cfRule type="containsText" dxfId="1723" priority="115" operator="containsText" text="0">
      <formula>NOT(ISERROR(SEARCH("0",AF17)))</formula>
    </cfRule>
  </conditionalFormatting>
  <conditionalFormatting sqref="U18">
    <cfRule type="containsText" dxfId="1722" priority="114" operator="containsText" text="Complete">
      <formula>NOT(ISERROR(SEARCH("Complete",U18)))</formula>
    </cfRule>
  </conditionalFormatting>
  <conditionalFormatting sqref="U18">
    <cfRule type="containsText" dxfId="1721" priority="109" operator="containsText" text="Not applicable">
      <formula>NOT(ISERROR(SEARCH("Not applicable",U18)))</formula>
    </cfRule>
    <cfRule type="containsText" dxfId="1720" priority="110" operator="containsText" text="Pending">
      <formula>NOT(ISERROR(SEARCH("Pending",U18)))</formula>
    </cfRule>
    <cfRule type="containsText" dxfId="1719" priority="111" operator="containsText" text="Alternative">
      <formula>NOT(ISERROR(SEARCH("Alternative",U18)))</formula>
    </cfRule>
    <cfRule type="containsText" dxfId="1718" priority="112" operator="containsText" text="Not Available">
      <formula>NOT(ISERROR(SEARCH("Not Available",U18)))</formula>
    </cfRule>
    <cfRule type="containsText" dxfId="1717" priority="113" operator="containsText" text="Incomplete">
      <formula>NOT(ISERROR(SEARCH("Incomplete",U18)))</formula>
    </cfRule>
  </conditionalFormatting>
  <conditionalFormatting sqref="U19">
    <cfRule type="containsText" dxfId="1716" priority="108" operator="containsText" text="Complete">
      <formula>NOT(ISERROR(SEARCH("Complete",U19)))</formula>
    </cfRule>
  </conditionalFormatting>
  <conditionalFormatting sqref="U19">
    <cfRule type="containsText" dxfId="1715" priority="103" operator="containsText" text="Not applicable">
      <formula>NOT(ISERROR(SEARCH("Not applicable",U19)))</formula>
    </cfRule>
    <cfRule type="containsText" dxfId="1714" priority="104" operator="containsText" text="Pending">
      <formula>NOT(ISERROR(SEARCH("Pending",U19)))</formula>
    </cfRule>
    <cfRule type="containsText" dxfId="1713" priority="105" operator="containsText" text="Alternative">
      <formula>NOT(ISERROR(SEARCH("Alternative",U19)))</formula>
    </cfRule>
    <cfRule type="containsText" dxfId="1712" priority="106" operator="containsText" text="Not Available">
      <formula>NOT(ISERROR(SEARCH("Not Available",U19)))</formula>
    </cfRule>
    <cfRule type="containsText" dxfId="1711" priority="107" operator="containsText" text="Incomplete">
      <formula>NOT(ISERROR(SEARCH("Incomplete",U19)))</formula>
    </cfRule>
  </conditionalFormatting>
  <conditionalFormatting sqref="U20">
    <cfRule type="containsText" dxfId="1710" priority="102" operator="containsText" text="Complete">
      <formula>NOT(ISERROR(SEARCH("Complete",U20)))</formula>
    </cfRule>
  </conditionalFormatting>
  <conditionalFormatting sqref="U20">
    <cfRule type="containsText" dxfId="1709" priority="97" operator="containsText" text="Not applicable">
      <formula>NOT(ISERROR(SEARCH("Not applicable",U20)))</formula>
    </cfRule>
    <cfRule type="containsText" dxfId="1708" priority="98" operator="containsText" text="Pending">
      <formula>NOT(ISERROR(SEARCH("Pending",U20)))</formula>
    </cfRule>
    <cfRule type="containsText" dxfId="1707" priority="99" operator="containsText" text="Alternative">
      <formula>NOT(ISERROR(SEARCH("Alternative",U20)))</formula>
    </cfRule>
    <cfRule type="containsText" dxfId="1706" priority="100" operator="containsText" text="Not Available">
      <formula>NOT(ISERROR(SEARCH("Not Available",U20)))</formula>
    </cfRule>
    <cfRule type="containsText" dxfId="1705" priority="101" operator="containsText" text="Incomplete">
      <formula>NOT(ISERROR(SEARCH("Incomplete",U20)))</formula>
    </cfRule>
  </conditionalFormatting>
  <conditionalFormatting sqref="U26">
    <cfRule type="containsText" dxfId="1704" priority="96" operator="containsText" text="Complete">
      <formula>NOT(ISERROR(SEARCH("Complete",U26)))</formula>
    </cfRule>
  </conditionalFormatting>
  <conditionalFormatting sqref="U26">
    <cfRule type="containsText" dxfId="1703" priority="91" operator="containsText" text="Not applicable">
      <formula>NOT(ISERROR(SEARCH("Not applicable",U26)))</formula>
    </cfRule>
    <cfRule type="containsText" dxfId="1702" priority="92" operator="containsText" text="Pending">
      <formula>NOT(ISERROR(SEARCH("Pending",U26)))</formula>
    </cfRule>
    <cfRule type="containsText" dxfId="1701" priority="93" operator="containsText" text="Alternative">
      <formula>NOT(ISERROR(SEARCH("Alternative",U26)))</formula>
    </cfRule>
    <cfRule type="containsText" dxfId="1700" priority="94" operator="containsText" text="Not Available">
      <formula>NOT(ISERROR(SEARCH("Not Available",U26)))</formula>
    </cfRule>
    <cfRule type="containsText" dxfId="1699" priority="95" operator="containsText" text="Incomplete">
      <formula>NOT(ISERROR(SEARCH("Incomplete",U26)))</formula>
    </cfRule>
  </conditionalFormatting>
  <conditionalFormatting sqref="U27">
    <cfRule type="containsText" dxfId="1698" priority="90" operator="containsText" text="Complete">
      <formula>NOT(ISERROR(SEARCH("Complete",U27)))</formula>
    </cfRule>
  </conditionalFormatting>
  <conditionalFormatting sqref="U27">
    <cfRule type="containsText" dxfId="1697" priority="85" operator="containsText" text="Not applicable">
      <formula>NOT(ISERROR(SEARCH("Not applicable",U27)))</formula>
    </cfRule>
    <cfRule type="containsText" dxfId="1696" priority="86" operator="containsText" text="Pending">
      <formula>NOT(ISERROR(SEARCH("Pending",U27)))</formula>
    </cfRule>
    <cfRule type="containsText" dxfId="1695" priority="87" operator="containsText" text="Alternative">
      <formula>NOT(ISERROR(SEARCH("Alternative",U27)))</formula>
    </cfRule>
    <cfRule type="containsText" dxfId="1694" priority="88" operator="containsText" text="Not Available">
      <formula>NOT(ISERROR(SEARCH("Not Available",U27)))</formula>
    </cfRule>
    <cfRule type="containsText" dxfId="1693" priority="89" operator="containsText" text="Incomplete">
      <formula>NOT(ISERROR(SEARCH("Incomplete",U27)))</formula>
    </cfRule>
  </conditionalFormatting>
  <conditionalFormatting sqref="U30:U31">
    <cfRule type="containsText" dxfId="1692" priority="84" operator="containsText" text="Complete">
      <formula>NOT(ISERROR(SEARCH("Complete",U30)))</formula>
    </cfRule>
  </conditionalFormatting>
  <conditionalFormatting sqref="U30:U31">
    <cfRule type="containsText" dxfId="1691" priority="79" operator="containsText" text="Not applicable">
      <formula>NOT(ISERROR(SEARCH("Not applicable",U30)))</formula>
    </cfRule>
    <cfRule type="containsText" dxfId="1690" priority="80" operator="containsText" text="Pending">
      <formula>NOT(ISERROR(SEARCH("Pending",U30)))</formula>
    </cfRule>
    <cfRule type="containsText" dxfId="1689" priority="81" operator="containsText" text="Alternative">
      <formula>NOT(ISERROR(SEARCH("Alternative",U30)))</formula>
    </cfRule>
    <cfRule type="containsText" dxfId="1688" priority="82" operator="containsText" text="Not Available">
      <formula>NOT(ISERROR(SEARCH("Not Available",U30)))</formula>
    </cfRule>
    <cfRule type="containsText" dxfId="1687" priority="83" operator="containsText" text="Incomplete">
      <formula>NOT(ISERROR(SEARCH("Incomplete",U30)))</formula>
    </cfRule>
  </conditionalFormatting>
  <conditionalFormatting sqref="U38">
    <cfRule type="containsText" dxfId="1686" priority="78" operator="containsText" text="Complete">
      <formula>NOT(ISERROR(SEARCH("Complete",U38)))</formula>
    </cfRule>
  </conditionalFormatting>
  <conditionalFormatting sqref="U38">
    <cfRule type="containsText" dxfId="1685" priority="73" operator="containsText" text="Not applicable">
      <formula>NOT(ISERROR(SEARCH("Not applicable",U38)))</formula>
    </cfRule>
    <cfRule type="containsText" dxfId="1684" priority="74" operator="containsText" text="Pending">
      <formula>NOT(ISERROR(SEARCH("Pending",U38)))</formula>
    </cfRule>
    <cfRule type="containsText" dxfId="1683" priority="75" operator="containsText" text="Alternative">
      <formula>NOT(ISERROR(SEARCH("Alternative",U38)))</formula>
    </cfRule>
    <cfRule type="containsText" dxfId="1682" priority="76" operator="containsText" text="Not Available">
      <formula>NOT(ISERROR(SEARCH("Not Available",U38)))</formula>
    </cfRule>
    <cfRule type="containsText" dxfId="1681" priority="77" operator="containsText" text="Incomplete">
      <formula>NOT(ISERROR(SEARCH("Incomplete",U38)))</formula>
    </cfRule>
  </conditionalFormatting>
  <conditionalFormatting sqref="U42">
    <cfRule type="containsText" dxfId="1680" priority="72" operator="containsText" text="Complete">
      <formula>NOT(ISERROR(SEARCH("Complete",U42)))</formula>
    </cfRule>
  </conditionalFormatting>
  <conditionalFormatting sqref="U42">
    <cfRule type="containsText" dxfId="1679" priority="67" operator="containsText" text="Not applicable">
      <formula>NOT(ISERROR(SEARCH("Not applicable",U42)))</formula>
    </cfRule>
    <cfRule type="containsText" dxfId="1678" priority="68" operator="containsText" text="Pending">
      <formula>NOT(ISERROR(SEARCH("Pending",U42)))</formula>
    </cfRule>
    <cfRule type="containsText" dxfId="1677" priority="69" operator="containsText" text="Alternative">
      <formula>NOT(ISERROR(SEARCH("Alternative",U42)))</formula>
    </cfRule>
    <cfRule type="containsText" dxfId="1676" priority="70" operator="containsText" text="Not Available">
      <formula>NOT(ISERROR(SEARCH("Not Available",U42)))</formula>
    </cfRule>
    <cfRule type="containsText" dxfId="1675" priority="71" operator="containsText" text="Incomplete">
      <formula>NOT(ISERROR(SEARCH("Incomplete",U42)))</formula>
    </cfRule>
  </conditionalFormatting>
  <conditionalFormatting sqref="U51">
    <cfRule type="containsText" dxfId="1674" priority="66" operator="containsText" text="Complete">
      <formula>NOT(ISERROR(SEARCH("Complete",U51)))</formula>
    </cfRule>
  </conditionalFormatting>
  <conditionalFormatting sqref="U51">
    <cfRule type="containsText" dxfId="1673" priority="61" operator="containsText" text="Not applicable">
      <formula>NOT(ISERROR(SEARCH("Not applicable",U51)))</formula>
    </cfRule>
    <cfRule type="containsText" dxfId="1672" priority="62" operator="containsText" text="Pending">
      <formula>NOT(ISERROR(SEARCH("Pending",U51)))</formula>
    </cfRule>
    <cfRule type="containsText" dxfId="1671" priority="63" operator="containsText" text="Alternative">
      <formula>NOT(ISERROR(SEARCH("Alternative",U51)))</formula>
    </cfRule>
    <cfRule type="containsText" dxfId="1670" priority="64" operator="containsText" text="Not Available">
      <formula>NOT(ISERROR(SEARCH("Not Available",U51)))</formula>
    </cfRule>
    <cfRule type="containsText" dxfId="1669" priority="65" operator="containsText" text="Incomplete">
      <formula>NOT(ISERROR(SEARCH("Incomplete",U51)))</formula>
    </cfRule>
  </conditionalFormatting>
  <conditionalFormatting sqref="AF51">
    <cfRule type="containsText" dxfId="1668" priority="55" operator="containsText" text="0">
      <formula>NOT(ISERROR(SEARCH("0",AF51)))</formula>
    </cfRule>
  </conditionalFormatting>
  <conditionalFormatting sqref="U48">
    <cfRule type="containsText" dxfId="1667" priority="54" operator="containsText" text="Complete">
      <formula>NOT(ISERROR(SEARCH("Complete",U48)))</formula>
    </cfRule>
  </conditionalFormatting>
  <conditionalFormatting sqref="U48">
    <cfRule type="containsText" dxfId="1666" priority="49" operator="containsText" text="Not applicable">
      <formula>NOT(ISERROR(SEARCH("Not applicable",U48)))</formula>
    </cfRule>
    <cfRule type="containsText" dxfId="1665" priority="50" operator="containsText" text="Pending">
      <formula>NOT(ISERROR(SEARCH("Pending",U48)))</formula>
    </cfRule>
    <cfRule type="containsText" dxfId="1664" priority="51" operator="containsText" text="Alternative">
      <formula>NOT(ISERROR(SEARCH("Alternative",U48)))</formula>
    </cfRule>
    <cfRule type="containsText" dxfId="1663" priority="52" operator="containsText" text="Not Available">
      <formula>NOT(ISERROR(SEARCH("Not Available",U48)))</formula>
    </cfRule>
    <cfRule type="containsText" dxfId="1662" priority="53" operator="containsText" text="Incomplete">
      <formula>NOT(ISERROR(SEARCH("Incomplete",U48)))</formula>
    </cfRule>
  </conditionalFormatting>
  <conditionalFormatting sqref="U49">
    <cfRule type="containsText" dxfId="1661" priority="48" operator="containsText" text="Complete">
      <formula>NOT(ISERROR(SEARCH("Complete",U49)))</formula>
    </cfRule>
  </conditionalFormatting>
  <conditionalFormatting sqref="U49">
    <cfRule type="containsText" dxfId="1660" priority="43" operator="containsText" text="Not applicable">
      <formula>NOT(ISERROR(SEARCH("Not applicable",U49)))</formula>
    </cfRule>
    <cfRule type="containsText" dxfId="1659" priority="44" operator="containsText" text="Pending">
      <formula>NOT(ISERROR(SEARCH("Pending",U49)))</formula>
    </cfRule>
    <cfRule type="containsText" dxfId="1658" priority="45" operator="containsText" text="Alternative">
      <formula>NOT(ISERROR(SEARCH("Alternative",U49)))</formula>
    </cfRule>
    <cfRule type="containsText" dxfId="1657" priority="46" operator="containsText" text="Not Available">
      <formula>NOT(ISERROR(SEARCH("Not Available",U49)))</formula>
    </cfRule>
    <cfRule type="containsText" dxfId="1656" priority="47" operator="containsText" text="Incomplete">
      <formula>NOT(ISERROR(SEARCH("Incomplete",U49)))</formula>
    </cfRule>
  </conditionalFormatting>
  <conditionalFormatting sqref="U50">
    <cfRule type="containsText" dxfId="1655" priority="42" operator="containsText" text="Complete">
      <formula>NOT(ISERROR(SEARCH("Complete",U50)))</formula>
    </cfRule>
  </conditionalFormatting>
  <conditionalFormatting sqref="U50">
    <cfRule type="containsText" dxfId="1654" priority="37" operator="containsText" text="Not applicable">
      <formula>NOT(ISERROR(SEARCH("Not applicable",U50)))</formula>
    </cfRule>
    <cfRule type="containsText" dxfId="1653" priority="38" operator="containsText" text="Pending">
      <formula>NOT(ISERROR(SEARCH("Pending",U50)))</formula>
    </cfRule>
    <cfRule type="containsText" dxfId="1652" priority="39" operator="containsText" text="Alternative">
      <formula>NOT(ISERROR(SEARCH("Alternative",U50)))</formula>
    </cfRule>
    <cfRule type="containsText" dxfId="1651" priority="40" operator="containsText" text="Not Available">
      <formula>NOT(ISERROR(SEARCH("Not Available",U50)))</formula>
    </cfRule>
    <cfRule type="containsText" dxfId="1650" priority="41" operator="containsText" text="Incomplete">
      <formula>NOT(ISERROR(SEARCH("Incomplete",U50)))</formula>
    </cfRule>
  </conditionalFormatting>
  <conditionalFormatting sqref="U53">
    <cfRule type="containsText" dxfId="1649" priority="36" operator="containsText" text="Complete">
      <formula>NOT(ISERROR(SEARCH("Complete",U53)))</formula>
    </cfRule>
  </conditionalFormatting>
  <conditionalFormatting sqref="U53">
    <cfRule type="containsText" dxfId="1648" priority="31" operator="containsText" text="Not applicable">
      <formula>NOT(ISERROR(SEARCH("Not applicable",U53)))</formula>
    </cfRule>
    <cfRule type="containsText" dxfId="1647" priority="32" operator="containsText" text="Pending">
      <formula>NOT(ISERROR(SEARCH("Pending",U53)))</formula>
    </cfRule>
    <cfRule type="containsText" dxfId="1646" priority="33" operator="containsText" text="Alternative">
      <formula>NOT(ISERROR(SEARCH("Alternative",U53)))</formula>
    </cfRule>
    <cfRule type="containsText" dxfId="1645" priority="34" operator="containsText" text="Not Available">
      <formula>NOT(ISERROR(SEARCH("Not Available",U53)))</formula>
    </cfRule>
    <cfRule type="containsText" dxfId="1644" priority="35" operator="containsText" text="Incomplete">
      <formula>NOT(ISERROR(SEARCH("Incomplete",U53)))</formula>
    </cfRule>
  </conditionalFormatting>
  <conditionalFormatting sqref="U59">
    <cfRule type="containsText" dxfId="1643" priority="30" operator="containsText" text="Complete">
      <formula>NOT(ISERROR(SEARCH("Complete",U59)))</formula>
    </cfRule>
  </conditionalFormatting>
  <conditionalFormatting sqref="U59">
    <cfRule type="containsText" dxfId="1642" priority="25" operator="containsText" text="Not applicable">
      <formula>NOT(ISERROR(SEARCH("Not applicable",U59)))</formula>
    </cfRule>
    <cfRule type="containsText" dxfId="1641" priority="26" operator="containsText" text="Pending">
      <formula>NOT(ISERROR(SEARCH("Pending",U59)))</formula>
    </cfRule>
    <cfRule type="containsText" dxfId="1640" priority="27" operator="containsText" text="Alternative">
      <formula>NOT(ISERROR(SEARCH("Alternative",U59)))</formula>
    </cfRule>
    <cfRule type="containsText" dxfId="1639" priority="28" operator="containsText" text="Not Available">
      <formula>NOT(ISERROR(SEARCH("Not Available",U59)))</formula>
    </cfRule>
    <cfRule type="containsText" dxfId="1638" priority="29" operator="containsText" text="Incomplete">
      <formula>NOT(ISERROR(SEARCH("Incomplete",U59)))</formula>
    </cfRule>
  </conditionalFormatting>
  <conditionalFormatting sqref="U52">
    <cfRule type="containsText" dxfId="1637" priority="24" operator="containsText" text="Complete">
      <formula>NOT(ISERROR(SEARCH("Complete",U52)))</formula>
    </cfRule>
  </conditionalFormatting>
  <conditionalFormatting sqref="U52">
    <cfRule type="containsText" dxfId="1636" priority="19" operator="containsText" text="Not applicable">
      <formula>NOT(ISERROR(SEARCH("Not applicable",U52)))</formula>
    </cfRule>
    <cfRule type="containsText" dxfId="1635" priority="20" operator="containsText" text="Pending">
      <formula>NOT(ISERROR(SEARCH("Pending",U52)))</formula>
    </cfRule>
    <cfRule type="containsText" dxfId="1634" priority="21" operator="containsText" text="Alternative">
      <formula>NOT(ISERROR(SEARCH("Alternative",U52)))</formula>
    </cfRule>
    <cfRule type="containsText" dxfId="1633" priority="22" operator="containsText" text="Not Available">
      <formula>NOT(ISERROR(SEARCH("Not Available",U52)))</formula>
    </cfRule>
    <cfRule type="containsText" dxfId="1632" priority="23" operator="containsText" text="Incomplete">
      <formula>NOT(ISERROR(SEARCH("Incomplete",U52)))</formula>
    </cfRule>
  </conditionalFormatting>
  <conditionalFormatting sqref="U61">
    <cfRule type="containsText" dxfId="1631" priority="18" operator="containsText" text="Complete">
      <formula>NOT(ISERROR(SEARCH("Complete",U61)))</formula>
    </cfRule>
  </conditionalFormatting>
  <conditionalFormatting sqref="U61">
    <cfRule type="containsText" dxfId="1630" priority="13" operator="containsText" text="Not applicable">
      <formula>NOT(ISERROR(SEARCH("Not applicable",U61)))</formula>
    </cfRule>
    <cfRule type="containsText" dxfId="1629" priority="14" operator="containsText" text="Pending">
      <formula>NOT(ISERROR(SEARCH("Pending",U61)))</formula>
    </cfRule>
    <cfRule type="containsText" dxfId="1628" priority="15" operator="containsText" text="Alternative">
      <formula>NOT(ISERROR(SEARCH("Alternative",U61)))</formula>
    </cfRule>
    <cfRule type="containsText" dxfId="1627" priority="16" operator="containsText" text="Not Available">
      <formula>NOT(ISERROR(SEARCH("Not Available",U61)))</formula>
    </cfRule>
    <cfRule type="containsText" dxfId="1626" priority="17" operator="containsText" text="Incomplete">
      <formula>NOT(ISERROR(SEARCH("Incomplete",U61)))</formula>
    </cfRule>
  </conditionalFormatting>
  <conditionalFormatting sqref="U62">
    <cfRule type="containsText" dxfId="1625" priority="12" operator="containsText" text="Complete">
      <formula>NOT(ISERROR(SEARCH("Complete",U62)))</formula>
    </cfRule>
  </conditionalFormatting>
  <conditionalFormatting sqref="U62">
    <cfRule type="containsText" dxfId="1624" priority="7" operator="containsText" text="Not applicable">
      <formula>NOT(ISERROR(SEARCH("Not applicable",U62)))</formula>
    </cfRule>
    <cfRule type="containsText" dxfId="1623" priority="8" operator="containsText" text="Pending">
      <formula>NOT(ISERROR(SEARCH("Pending",U62)))</formula>
    </cfRule>
    <cfRule type="containsText" dxfId="1622" priority="9" operator="containsText" text="Alternative">
      <formula>NOT(ISERROR(SEARCH("Alternative",U62)))</formula>
    </cfRule>
    <cfRule type="containsText" dxfId="1621" priority="10" operator="containsText" text="Not Available">
      <formula>NOT(ISERROR(SEARCH("Not Available",U62)))</formula>
    </cfRule>
    <cfRule type="containsText" dxfId="1620" priority="11" operator="containsText" text="Incomplete">
      <formula>NOT(ISERROR(SEARCH("Incomplete",U62)))</formula>
    </cfRule>
  </conditionalFormatting>
  <conditionalFormatting sqref="U37">
    <cfRule type="containsText" dxfId="1619" priority="6" operator="containsText" text="Complete">
      <formula>NOT(ISERROR(SEARCH("Complete",U37)))</formula>
    </cfRule>
  </conditionalFormatting>
  <conditionalFormatting sqref="U37">
    <cfRule type="containsText" dxfId="1618" priority="1" operator="containsText" text="Not applicable">
      <formula>NOT(ISERROR(SEARCH("Not applicable",U37)))</formula>
    </cfRule>
    <cfRule type="containsText" dxfId="1617" priority="2" operator="containsText" text="Pending">
      <formula>NOT(ISERROR(SEARCH("Pending",U37)))</formula>
    </cfRule>
    <cfRule type="containsText" dxfId="1616" priority="3" operator="containsText" text="Alternative">
      <formula>NOT(ISERROR(SEARCH("Alternative",U37)))</formula>
    </cfRule>
    <cfRule type="containsText" dxfId="1615" priority="4" operator="containsText" text="Not Available">
      <formula>NOT(ISERROR(SEARCH("Not Available",U37)))</formula>
    </cfRule>
    <cfRule type="containsText" dxfId="1614" priority="5" operator="containsText" text="Incomplete">
      <formula>NOT(ISERROR(SEARCH("Incomplete",U37)))</formula>
    </cfRule>
  </conditionalFormatting>
  <conditionalFormatting sqref="H69">
    <cfRule type="containsText" dxfId="1613" priority="2316" operator="containsText" text="Not available">
      <formula>NOT(ISERROR(SEARCH("Not available",#REF!)))</formula>
    </cfRule>
    <cfRule type="containsText" dxfId="1612" priority="2317" operator="containsText" text="Not applicable">
      <formula>NOT(ISERROR(SEARCH("Not applicable",#REF!)))</formula>
    </cfRule>
    <cfRule type="containsText" dxfId="1611" priority="2318" operator="containsText" text="alternative">
      <formula>NOT(ISERROR(SEARCH("alternative",#REF!)))</formula>
    </cfRule>
    <cfRule type="containsText" dxfId="1610" priority="2319" operator="containsText" text="pending">
      <formula>NOT(ISERROR(SEARCH("pending",#REF!)))</formula>
    </cfRule>
    <cfRule type="containsText" dxfId="1609" priority="2320" operator="containsText" text="Not available">
      <formula>NOT(ISERROR(SEARCH("Not available",#REF!)))</formula>
    </cfRule>
    <cfRule type="containsText" dxfId="1608" priority="2321" operator="containsText" text="incomplete">
      <formula>NOT(ISERROR(SEARCH("incomplete",#REF!)))</formula>
    </cfRule>
    <cfRule type="containsText" dxfId="1607" priority="2322" operator="containsText" text="Complete">
      <formula>NOT(ISERROR(SEARCH("Complete",#REF!)))</formula>
    </cfRule>
  </conditionalFormatting>
  <conditionalFormatting sqref="H111">
    <cfRule type="containsText" dxfId="1606" priority="222" operator="containsText" text="Not available">
      <formula>NOT(ISERROR(SEARCH("Not available",#REF!)))</formula>
    </cfRule>
    <cfRule type="containsText" dxfId="1605" priority="223" operator="containsText" text="Not applicable">
      <formula>NOT(ISERROR(SEARCH("Not applicable",#REF!)))</formula>
    </cfRule>
    <cfRule type="containsText" dxfId="1604" priority="224" operator="containsText" text="alternative">
      <formula>NOT(ISERROR(SEARCH("alternative",#REF!)))</formula>
    </cfRule>
    <cfRule type="containsText" dxfId="1603" priority="225" operator="containsText" text="pending">
      <formula>NOT(ISERROR(SEARCH("pending",#REF!)))</formula>
    </cfRule>
    <cfRule type="containsText" dxfId="1602" priority="226" operator="containsText" text="Not available">
      <formula>NOT(ISERROR(SEARCH("Not available",#REF!)))</formula>
    </cfRule>
    <cfRule type="containsText" dxfId="1601" priority="227" operator="containsText" text="incomplete">
      <formula>NOT(ISERROR(SEARCH("incomplete",#REF!)))</formula>
    </cfRule>
    <cfRule type="containsText" dxfId="1600" priority="228" operator="containsText" text="Complete">
      <formula>NOT(ISERROR(SEARCH("Complete",#REF!)))</formula>
    </cfRule>
  </conditionalFormatting>
  <dataValidations disablePrompts="1" count="5">
    <dataValidation allowBlank="1" showInputMessage="1" showErrorMessage="1" prompt="[FF] - Form Fill_x000a_[SC] - Single Choice_x000a_[MC] - Mutliple Choice_x000a_[PT] - Predetermined Table_x000a_[TT] - Time Table" sqref="H3" xr:uid="{00000000-0002-0000-0100-000001000000}"/>
    <dataValidation allowBlank="1" showInputMessage="1" showErrorMessage="1" prompt="[bas] - Basic_x000a_[int] - Intermediate_x000a_[adv] - Advance" sqref="G67 G20 G17:G18 G3:G6 G26:G27 G30:G38 G41:G65" xr:uid="{00000000-0002-0000-0100-000002000000}"/>
    <dataValidation allowBlank="1" showInputMessage="1" showErrorMessage="1" prompt="(if applicable) data from which the answer was derived" sqref="V3" xr:uid="{00000000-0002-0000-0100-000003000000}"/>
    <dataValidation type="list" allowBlank="1" showInputMessage="1" showErrorMessage="1" sqref="AC6:AC26 AC51" xr:uid="{00000000-0002-0000-0100-000009000000}">
      <formula1>#REF!</formula1>
    </dataValidation>
    <dataValidation type="list" allowBlank="1" showInputMessage="1" showErrorMessage="1" sqref="Y6:Y26 AD6:AE26 W6:W26 Y51 AD51:AE51 W51" xr:uid="{00000000-0002-0000-0100-000004000000}">
      <formula1>#REF!</formula1>
    </dataValidation>
  </dataValidations>
  <hyperlinks>
    <hyperlink ref="L66:T66" r:id="rId1" display="Stakeholders Database" xr:uid="{4BCE22EE-DB28-420F-AE6C-49BF8CBE5BB2}"/>
    <hyperlink ref="L68:T68" r:id="rId2" display="Policies, Plans and Initiatives Database" xr:uid="{AA006568-41A5-4A8E-8250-9F711AF53DA1}"/>
  </hyperlinks>
  <pageMargins left="0.25" right="0.25" top="0.75" bottom="0.75" header="0.3" footer="0.3"/>
  <pageSetup scale="22" fitToHeight="0" orientation="landscape" horizontalDpi="4294967292" verticalDpi="4294967292" r:id="rId3"/>
  <drawing r:id="rId4"/>
  <extLst>
    <ext xmlns:x14="http://schemas.microsoft.com/office/spreadsheetml/2009/9/main" uri="{CCE6A557-97BC-4b89-ADB6-D9C93CAAB3DF}">
      <x14:dataValidations xmlns:xm="http://schemas.microsoft.com/office/excel/2006/main" disablePrompts="1" count="12">
        <x14:dataValidation type="list" allowBlank="1" showInputMessage="1" showErrorMessage="1" xr:uid="{00000000-0002-0000-0100-00000A000000}">
          <x14:formula1>
            <xm:f>'Drop lists '!$A$2:$A$7</xm:f>
          </x14:formula1>
          <xm:sqref>U16:U20 U6 U26:U27 U30:U31 U37:U38 U42 U48:U53 U59 U61:U62</xm:sqref>
        </x14:dataValidation>
        <x14:dataValidation type="list" allowBlank="1" showInputMessage="1" showErrorMessage="1" xr:uid="{00000000-0002-0000-0100-00000B000000}">
          <x14:formula1>
            <xm:f>'Drop lists '!$A$25:$A$31</xm:f>
          </x14:formula1>
          <xm:sqref>AH6 AH17</xm:sqref>
        </x14:dataValidation>
        <x14:dataValidation type="list" allowBlank="1" showInputMessage="1" showErrorMessage="1" xr:uid="{00000000-0002-0000-0100-00000D000000}">
          <x14:formula1>
            <xm:f>'Drop lists '!$C$2:$C$5</xm:f>
          </x14:formula1>
          <xm:sqref>AF16:AF17 AF6 AF51</xm:sqref>
        </x14:dataValidation>
        <x14:dataValidation type="list" allowBlank="1" showInputMessage="1" showErrorMessage="1" xr:uid="{72462ACB-C144-45B3-A2CD-9D2FC82C581A}">
          <x14:formula1>
            <xm:f>'Auxiliar Values'!$T$2:$T$6</xm:f>
          </x14:formula1>
          <xm:sqref>M7:T16</xm:sqref>
        </x14:dataValidation>
        <x14:dataValidation type="list" allowBlank="1" showInputMessage="1" showErrorMessage="1" xr:uid="{36417144-90CA-44D1-942A-6877255F4ED0}">
          <x14:formula1>
            <xm:f>'Auxiliar Values'!$I$2:$I$6</xm:f>
          </x14:formula1>
          <xm:sqref>L17 L51</xm:sqref>
        </x14:dataValidation>
        <x14:dataValidation type="list" allowBlank="1" showInputMessage="1" showErrorMessage="1" xr:uid="{EDC10AD6-B89A-4720-BD86-9D0E2DA04589}">
          <x14:formula1>
            <xm:f>'Auxiliar Values'!$O$2:$O$9</xm:f>
          </x14:formula1>
          <xm:sqref>H16:H20 H6 H26:H27 H30:H31 H37:H38 H59 H61:H64 H42:H53</xm:sqref>
        </x14:dataValidation>
        <x14:dataValidation type="list" allowBlank="1" showInputMessage="1" showErrorMessage="1" xr:uid="{0BB289DB-46BE-4940-941C-25755CE8CB14}">
          <x14:formula1>
            <xm:f>'Auxiliar Values'!$AH$144:$AH$145</xm:f>
          </x14:formula1>
          <xm:sqref>L18</xm:sqref>
        </x14:dataValidation>
        <x14:dataValidation type="list" allowBlank="1" showInputMessage="1" showErrorMessage="1" xr:uid="{E80179FE-0B99-44E8-A244-96C7C7208162}">
          <x14:formula1>
            <xm:f>'Auxiliar Values'!$AK$144:$AK$145</xm:f>
          </x14:formula1>
          <xm:sqref>L19</xm:sqref>
        </x14:dataValidation>
        <x14:dataValidation type="list" allowBlank="1" showInputMessage="1" showErrorMessage="1" xr:uid="{1058BFB6-4E0A-4962-A5BA-A76CCFE07E05}">
          <x14:formula1>
            <xm:f>'Auxiliar Values'!$Q$2:$Q$3</xm:f>
          </x14:formula1>
          <xm:sqref>L20:L25 L30:L36 L53:L58</xm:sqref>
        </x14:dataValidation>
        <x14:dataValidation type="list" allowBlank="1" showInputMessage="1" showErrorMessage="1" xr:uid="{D9A600A9-593D-4FAC-AC0C-1DD26128B58E}">
          <x14:formula1>
            <xm:f>'Auxiliar Values'!$E$111:$E$114</xm:f>
          </x14:formula1>
          <xm:sqref>L26</xm:sqref>
        </x14:dataValidation>
        <x14:dataValidation type="list" allowBlank="1" showInputMessage="1" showErrorMessage="1" xr:uid="{79024678-2FE5-4441-B50E-087AAC60B655}">
          <x14:formula1>
            <xm:f>'Auxiliar Values'!$A$159:$A$161</xm:f>
          </x14:formula1>
          <xm:sqref>M43:M47 L44:L47 L43</xm:sqref>
        </x14:dataValidation>
        <x14:dataValidation type="list" allowBlank="1" showInputMessage="1" showErrorMessage="1" xr:uid="{1F6BF022-308F-4AC9-B194-DE6DDB8FBB8B}">
          <x14:formula1>
            <xm:f>'Auxiliar Values'!$C$159:$C$162</xm:f>
          </x14:formula1>
          <xm:sqref>L52 L61:L64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C48C4-7098-498E-881D-C318490E7632}">
  <sheetPr codeName="Sheet3">
    <tabColor theme="4"/>
    <outlinePr summaryBelow="0" summaryRight="0"/>
    <pageSetUpPr fitToPage="1"/>
  </sheetPr>
  <dimension ref="A1:DS1048278"/>
  <sheetViews>
    <sheetView showGridLines="0" zoomScaleNormal="100" zoomScalePageLayoutView="80" workbookViewId="0">
      <pane xSplit="4" ySplit="3" topLeftCell="E118" activePane="bottomRight" state="frozen"/>
      <selection activeCell="K26" sqref="K26:R26"/>
      <selection pane="topRight" activeCell="K26" sqref="K26:R26"/>
      <selection pane="bottomLeft" activeCell="K26" sqref="K26:R26"/>
      <selection pane="bottomRight" activeCell="D118" sqref="D118"/>
    </sheetView>
  </sheetViews>
  <sheetFormatPr baseColWidth="10" defaultColWidth="15.1640625" defaultRowHeight="17" outlineLevelCol="1"/>
  <cols>
    <col min="1" max="1" width="3.6640625" style="140" customWidth="1"/>
    <col min="2" max="2" width="12.6640625" style="30" customWidth="1"/>
    <col min="3" max="3" width="8.6640625" style="30" customWidth="1"/>
    <col min="4" max="4" width="50.6640625" style="30" customWidth="1"/>
    <col min="5" max="5" width="12.6640625" style="65" customWidth="1" outlineLevel="1"/>
    <col min="6" max="6" width="50.6640625" style="30" customWidth="1" outlineLevel="1"/>
    <col min="7" max="7" width="9.6640625" style="30" customWidth="1" outlineLevel="1"/>
    <col min="8" max="8" width="11" style="30" customWidth="1" outlineLevel="1"/>
    <col min="9" max="9" width="35.1640625" style="30" customWidth="1" outlineLevel="1"/>
    <col min="10" max="10" width="17.6640625" style="65" customWidth="1" outlineLevel="1"/>
    <col min="11" max="11" width="25.6640625" style="30" customWidth="1"/>
    <col min="12" max="12" width="19.6640625" style="220" customWidth="1"/>
    <col min="13" max="20" width="7.6640625" style="220" customWidth="1" outlineLevel="1"/>
    <col min="21" max="21" width="15.6640625" style="221" customWidth="1"/>
    <col min="22" max="22" width="25.5" style="220" customWidth="1" outlineLevel="1"/>
    <col min="23" max="23" width="15.1640625" style="220" customWidth="1" outlineLevel="1"/>
    <col min="24" max="24" width="16" style="220" customWidth="1" outlineLevel="1"/>
    <col min="25" max="25" width="15.1640625" style="220" customWidth="1" outlineLevel="1"/>
    <col min="26" max="26" width="12.6640625" style="220" customWidth="1" outlineLevel="1"/>
    <col min="27" max="27" width="20.6640625" style="220" customWidth="1" outlineLevel="1"/>
    <col min="28" max="28" width="14.1640625" style="220" customWidth="1" outlineLevel="1"/>
    <col min="29" max="29" width="16.6640625" style="220" customWidth="1" outlineLevel="1"/>
    <col min="30" max="31" width="15.1640625" style="220" customWidth="1" outlineLevel="1"/>
    <col min="32" max="32" width="15.6640625" style="519" customWidth="1" collapsed="1"/>
    <col min="33" max="33" width="50.6640625" style="220" customWidth="1"/>
    <col min="34" max="34" width="15.6640625" style="221" customWidth="1"/>
    <col min="35" max="36" width="50.6640625" style="220" customWidth="1"/>
    <col min="37" max="38" width="15.1640625" style="30"/>
    <col min="39" max="16384" width="15.1640625" style="61"/>
  </cols>
  <sheetData>
    <row r="1" spans="1:123" s="199" customFormat="1" ht="75.5" customHeight="1">
      <c r="A1" s="558"/>
      <c r="B1" s="1115"/>
      <c r="C1" s="567"/>
      <c r="D1" s="567"/>
      <c r="E1" s="539"/>
      <c r="F1" s="1113"/>
      <c r="G1" s="539"/>
      <c r="H1" s="539"/>
      <c r="I1" s="567"/>
      <c r="J1" s="539"/>
      <c r="K1" s="200"/>
      <c r="L1" s="200"/>
      <c r="M1" s="200"/>
      <c r="N1" s="200"/>
      <c r="O1" s="200"/>
      <c r="P1" s="200"/>
      <c r="Q1" s="200"/>
      <c r="R1" s="200"/>
      <c r="S1" s="200"/>
      <c r="T1" s="200"/>
      <c r="U1" s="830"/>
      <c r="V1" s="200"/>
      <c r="W1" s="567"/>
      <c r="X1" s="200"/>
      <c r="Y1" s="200"/>
      <c r="Z1" s="200"/>
      <c r="AA1" s="200"/>
      <c r="AB1" s="200"/>
      <c r="AC1" s="200"/>
      <c r="AD1" s="200"/>
      <c r="AE1" s="200"/>
      <c r="AF1" s="1114"/>
      <c r="AG1" s="200"/>
      <c r="AH1" s="830"/>
      <c r="AI1" s="200"/>
      <c r="AJ1" s="200"/>
    </row>
    <row r="2" spans="1:123" s="541" customFormat="1">
      <c r="A2" s="540"/>
      <c r="B2" s="1379"/>
      <c r="C2" s="1381" t="s">
        <v>69</v>
      </c>
      <c r="D2" s="1381"/>
      <c r="E2" s="1383" t="s">
        <v>70</v>
      </c>
      <c r="F2" s="1384"/>
      <c r="G2" s="1384"/>
      <c r="H2" s="1384"/>
      <c r="I2" s="1384"/>
      <c r="J2" s="1384"/>
      <c r="K2" s="1385"/>
      <c r="L2" s="1260" t="s">
        <v>71</v>
      </c>
      <c r="M2" s="1257"/>
      <c r="N2" s="1257"/>
      <c r="O2" s="1257"/>
      <c r="P2" s="1257"/>
      <c r="Q2" s="1257"/>
      <c r="R2" s="1257"/>
      <c r="S2" s="1257"/>
      <c r="T2" s="1257"/>
      <c r="U2" s="1261" t="s">
        <v>72</v>
      </c>
      <c r="V2" s="1256" t="s">
        <v>73</v>
      </c>
      <c r="W2" s="1257"/>
      <c r="X2" s="1257"/>
      <c r="Y2" s="1257"/>
      <c r="Z2" s="1257"/>
      <c r="AA2" s="1257"/>
      <c r="AB2" s="1257"/>
      <c r="AC2" s="1257"/>
      <c r="AD2" s="1254" t="s">
        <v>88</v>
      </c>
      <c r="AE2" s="1254" t="s">
        <v>90</v>
      </c>
      <c r="AF2" s="1258" t="s">
        <v>1</v>
      </c>
      <c r="AG2" s="1251" t="s">
        <v>464</v>
      </c>
      <c r="AH2" s="1268" t="s">
        <v>54</v>
      </c>
      <c r="AI2" s="1251" t="s">
        <v>465</v>
      </c>
      <c r="AJ2" s="1249" t="s">
        <v>466</v>
      </c>
    </row>
    <row r="3" spans="1:123" s="541" customFormat="1" ht="36" customHeight="1">
      <c r="A3" s="540"/>
      <c r="B3" s="1380"/>
      <c r="C3" s="1382"/>
      <c r="D3" s="1382"/>
      <c r="E3" s="542" t="s">
        <v>74</v>
      </c>
      <c r="F3" s="543" t="s">
        <v>458</v>
      </c>
      <c r="G3" s="543" t="s">
        <v>75</v>
      </c>
      <c r="H3" s="543" t="s">
        <v>76</v>
      </c>
      <c r="I3" s="543" t="s">
        <v>77</v>
      </c>
      <c r="J3" s="543" t="s">
        <v>78</v>
      </c>
      <c r="K3" s="544" t="s">
        <v>79</v>
      </c>
      <c r="L3" s="201" t="s">
        <v>80</v>
      </c>
      <c r="M3" s="1253" t="s">
        <v>14</v>
      </c>
      <c r="N3" s="1253"/>
      <c r="O3" s="1253"/>
      <c r="P3" s="1253"/>
      <c r="Q3" s="1253"/>
      <c r="R3" s="1253"/>
      <c r="S3" s="1253"/>
      <c r="T3" s="1253"/>
      <c r="U3" s="1262"/>
      <c r="V3" s="241" t="s">
        <v>81</v>
      </c>
      <c r="W3" s="241" t="s">
        <v>82</v>
      </c>
      <c r="X3" s="241" t="s">
        <v>83</v>
      </c>
      <c r="Y3" s="241" t="s">
        <v>84</v>
      </c>
      <c r="Z3" s="241" t="s">
        <v>85</v>
      </c>
      <c r="AA3" s="241" t="s">
        <v>86</v>
      </c>
      <c r="AB3" s="241" t="s">
        <v>87</v>
      </c>
      <c r="AC3" s="241" t="s">
        <v>89</v>
      </c>
      <c r="AD3" s="1255"/>
      <c r="AE3" s="1255"/>
      <c r="AF3" s="1259"/>
      <c r="AG3" s="1252"/>
      <c r="AH3" s="1269"/>
      <c r="AI3" s="1252"/>
      <c r="AJ3" s="1250"/>
    </row>
    <row r="4" spans="1:123" s="549" customFormat="1" ht="27" customHeight="1">
      <c r="A4" s="545"/>
      <c r="B4" s="546" t="s">
        <v>780</v>
      </c>
      <c r="C4" s="547" t="s">
        <v>781</v>
      </c>
      <c r="D4" s="205"/>
      <c r="E4" s="548"/>
      <c r="F4" s="204"/>
      <c r="G4" s="204"/>
      <c r="H4" s="204"/>
      <c r="I4" s="204"/>
      <c r="J4" s="204"/>
      <c r="K4" s="204"/>
      <c r="L4" s="506"/>
      <c r="M4" s="507"/>
      <c r="N4" s="507"/>
      <c r="O4" s="507"/>
      <c r="P4" s="507"/>
      <c r="Q4" s="507"/>
      <c r="R4" s="507"/>
      <c r="S4" s="507"/>
      <c r="T4" s="507"/>
      <c r="U4" s="489"/>
      <c r="V4" s="205"/>
      <c r="W4" s="205"/>
      <c r="X4" s="205"/>
      <c r="Y4" s="205"/>
      <c r="Z4" s="205"/>
      <c r="AA4" s="205"/>
      <c r="AB4" s="205"/>
      <c r="AC4" s="205"/>
      <c r="AD4" s="206"/>
      <c r="AE4" s="206"/>
      <c r="AF4" s="206"/>
      <c r="AG4" s="207"/>
      <c r="AH4" s="204"/>
      <c r="AI4" s="207"/>
      <c r="AJ4" s="203"/>
    </row>
    <row r="5" spans="1:123" s="557" customFormat="1" ht="27" customHeight="1" thickBot="1">
      <c r="A5" s="550" t="s">
        <v>34</v>
      </c>
      <c r="B5" s="551" t="s">
        <v>782</v>
      </c>
      <c r="C5" s="552" t="s">
        <v>783</v>
      </c>
      <c r="D5" s="553"/>
      <c r="E5" s="554" t="s">
        <v>1217</v>
      </c>
      <c r="F5" s="555"/>
      <c r="G5" s="144"/>
      <c r="H5" s="144"/>
      <c r="I5" s="144"/>
      <c r="J5" s="144"/>
      <c r="K5" s="144"/>
      <c r="L5" s="143"/>
      <c r="M5" s="144"/>
      <c r="N5" s="144"/>
      <c r="O5" s="144"/>
      <c r="P5" s="144"/>
      <c r="Q5" s="144"/>
      <c r="R5" s="144"/>
      <c r="S5" s="144"/>
      <c r="T5" s="144"/>
      <c r="U5" s="145"/>
      <c r="V5" s="146"/>
      <c r="W5" s="146"/>
      <c r="X5" s="146"/>
      <c r="Y5" s="146"/>
      <c r="Z5" s="146"/>
      <c r="AA5" s="146"/>
      <c r="AB5" s="146"/>
      <c r="AC5" s="146"/>
      <c r="AD5" s="145"/>
      <c r="AE5" s="145"/>
      <c r="AF5" s="145"/>
      <c r="AG5" s="147"/>
      <c r="AH5" s="144"/>
      <c r="AI5" s="147"/>
      <c r="AJ5" s="143"/>
      <c r="AK5" s="556"/>
      <c r="AL5" s="556"/>
    </row>
    <row r="6" spans="1:123" s="567" customFormat="1" ht="57" thickBot="1">
      <c r="A6" s="558" t="s">
        <v>2</v>
      </c>
      <c r="B6" s="559"/>
      <c r="C6" s="750" t="s">
        <v>784</v>
      </c>
      <c r="D6" s="751" t="s">
        <v>785</v>
      </c>
      <c r="E6" s="1049" t="s">
        <v>1216</v>
      </c>
      <c r="F6" s="753" t="s">
        <v>786</v>
      </c>
      <c r="G6" s="754" t="s">
        <v>91</v>
      </c>
      <c r="H6" s="755" t="s">
        <v>247</v>
      </c>
      <c r="I6" s="753" t="s">
        <v>787</v>
      </c>
      <c r="J6" s="756" t="s">
        <v>695</v>
      </c>
      <c r="K6" s="721"/>
      <c r="L6" s="657"/>
      <c r="M6" s="1410"/>
      <c r="N6" s="1410"/>
      <c r="O6" s="1410"/>
      <c r="P6" s="1410"/>
      <c r="Q6" s="1410"/>
      <c r="R6" s="1410"/>
      <c r="S6" s="1410"/>
      <c r="T6" s="1410"/>
      <c r="U6" s="490" t="s">
        <v>11</v>
      </c>
      <c r="V6" s="453"/>
      <c r="W6" s="454"/>
      <c r="X6" s="454"/>
      <c r="Y6" s="454"/>
      <c r="Z6" s="454"/>
      <c r="AA6" s="454"/>
      <c r="AB6" s="454"/>
      <c r="AC6" s="486"/>
      <c r="AD6" s="455"/>
      <c r="AE6" s="455"/>
      <c r="AF6" s="524"/>
      <c r="AG6" s="456"/>
      <c r="AH6" s="757"/>
      <c r="AI6" s="456"/>
      <c r="AJ6" s="758"/>
      <c r="AK6" s="566"/>
      <c r="AL6" s="566"/>
    </row>
    <row r="7" spans="1:123" s="567" customFormat="1" ht="26.5" customHeight="1">
      <c r="A7" s="558" t="s">
        <v>2</v>
      </c>
      <c r="B7" s="559"/>
      <c r="C7" s="568" t="s">
        <v>488</v>
      </c>
      <c r="D7" s="569" t="s">
        <v>788</v>
      </c>
      <c r="E7" s="1049" t="s">
        <v>1216</v>
      </c>
      <c r="F7" s="1377" t="s">
        <v>795</v>
      </c>
      <c r="G7" s="831" t="s">
        <v>91</v>
      </c>
      <c r="H7" s="829" t="s">
        <v>247</v>
      </c>
      <c r="I7" s="1370" t="s">
        <v>753</v>
      </c>
      <c r="J7" s="572" t="s">
        <v>695</v>
      </c>
      <c r="K7" s="879"/>
      <c r="L7" s="991" t="s">
        <v>744</v>
      </c>
      <c r="M7" s="1389" t="s">
        <v>825</v>
      </c>
      <c r="N7" s="1389"/>
      <c r="O7" s="1390"/>
      <c r="P7" s="1390"/>
      <c r="Q7" s="1390"/>
      <c r="R7" s="1390"/>
      <c r="S7" s="1390"/>
      <c r="T7" s="1391"/>
      <c r="U7" s="1159" t="s">
        <v>11</v>
      </c>
      <c r="V7" s="823"/>
      <c r="W7" s="823"/>
      <c r="X7" s="823"/>
      <c r="Y7" s="831"/>
      <c r="Z7" s="823"/>
      <c r="AA7" s="823"/>
      <c r="AB7" s="823"/>
      <c r="AC7" s="479"/>
      <c r="AD7" s="480"/>
      <c r="AE7" s="480"/>
      <c r="AF7" s="521"/>
      <c r="AG7" s="56"/>
      <c r="AH7" s="527"/>
      <c r="AI7" s="56"/>
      <c r="AJ7" s="191"/>
      <c r="AK7" s="566"/>
      <c r="AL7" s="566"/>
    </row>
    <row r="8" spans="1:123" s="567" customFormat="1">
      <c r="A8" s="558"/>
      <c r="B8" s="559"/>
      <c r="C8" s="573"/>
      <c r="D8" s="574"/>
      <c r="E8" s="575"/>
      <c r="F8" s="1378"/>
      <c r="G8" s="832"/>
      <c r="H8" s="830"/>
      <c r="I8" s="1388"/>
      <c r="J8" s="916"/>
      <c r="K8" s="990" t="s">
        <v>789</v>
      </c>
      <c r="L8" s="377"/>
      <c r="M8" s="1207"/>
      <c r="N8" s="1207"/>
      <c r="O8" s="1392"/>
      <c r="P8" s="1392"/>
      <c r="Q8" s="1392"/>
      <c r="R8" s="1392"/>
      <c r="S8" s="1392"/>
      <c r="T8" s="1393"/>
      <c r="U8" s="1160"/>
      <c r="V8" s="824"/>
      <c r="W8" s="824"/>
      <c r="X8" s="824"/>
      <c r="Y8" s="832"/>
      <c r="Z8" s="824"/>
      <c r="AA8" s="824"/>
      <c r="AB8" s="824"/>
      <c r="AC8" s="481"/>
      <c r="AD8" s="482"/>
      <c r="AE8" s="482"/>
      <c r="AF8" s="522"/>
      <c r="AG8" s="59"/>
      <c r="AH8" s="528"/>
      <c r="AI8" s="59"/>
      <c r="AJ8" s="213"/>
      <c r="AK8" s="566"/>
      <c r="AL8" s="566"/>
    </row>
    <row r="9" spans="1:123" s="567" customFormat="1">
      <c r="A9" s="558"/>
      <c r="B9" s="559"/>
      <c r="C9" s="573"/>
      <c r="D9" s="574"/>
      <c r="E9" s="575"/>
      <c r="F9" s="1378"/>
      <c r="G9" s="832"/>
      <c r="H9" s="830"/>
      <c r="I9" s="1388"/>
      <c r="J9" s="916"/>
      <c r="K9" s="990" t="s">
        <v>790</v>
      </c>
      <c r="L9" s="377"/>
      <c r="M9" s="1207"/>
      <c r="N9" s="1207"/>
      <c r="O9" s="1392"/>
      <c r="P9" s="1392"/>
      <c r="Q9" s="1392"/>
      <c r="R9" s="1392"/>
      <c r="S9" s="1392"/>
      <c r="T9" s="1393"/>
      <c r="U9" s="1160"/>
      <c r="V9" s="824"/>
      <c r="W9" s="824"/>
      <c r="X9" s="824"/>
      <c r="Y9" s="832"/>
      <c r="Z9" s="824"/>
      <c r="AA9" s="824"/>
      <c r="AB9" s="824"/>
      <c r="AC9" s="481"/>
      <c r="AD9" s="482"/>
      <c r="AE9" s="482"/>
      <c r="AF9" s="522"/>
      <c r="AG9" s="59"/>
      <c r="AH9" s="528"/>
      <c r="AI9" s="59"/>
      <c r="AJ9" s="213"/>
      <c r="AK9" s="566"/>
      <c r="AL9" s="566"/>
    </row>
    <row r="10" spans="1:123" s="567" customFormat="1">
      <c r="A10" s="558"/>
      <c r="B10" s="559"/>
      <c r="C10" s="573"/>
      <c r="D10" s="574"/>
      <c r="E10" s="575"/>
      <c r="F10" s="1378"/>
      <c r="G10" s="832"/>
      <c r="H10" s="830"/>
      <c r="I10" s="1388"/>
      <c r="J10" s="916"/>
      <c r="K10" s="990" t="s">
        <v>791</v>
      </c>
      <c r="L10" s="377"/>
      <c r="M10" s="1207"/>
      <c r="N10" s="1207"/>
      <c r="O10" s="1392"/>
      <c r="P10" s="1392"/>
      <c r="Q10" s="1392"/>
      <c r="R10" s="1392"/>
      <c r="S10" s="1392"/>
      <c r="T10" s="1393"/>
      <c r="U10" s="1160"/>
      <c r="V10" s="824"/>
      <c r="W10" s="824"/>
      <c r="X10" s="824"/>
      <c r="Y10" s="832"/>
      <c r="Z10" s="824"/>
      <c r="AA10" s="824"/>
      <c r="AB10" s="824"/>
      <c r="AC10" s="481"/>
      <c r="AD10" s="482"/>
      <c r="AE10" s="482"/>
      <c r="AF10" s="522"/>
      <c r="AG10" s="59"/>
      <c r="AH10" s="528"/>
      <c r="AI10" s="59"/>
      <c r="AJ10" s="213"/>
      <c r="AK10" s="566"/>
      <c r="AL10" s="566"/>
    </row>
    <row r="11" spans="1:123" s="567" customFormat="1">
      <c r="A11" s="558"/>
      <c r="B11" s="559"/>
      <c r="C11" s="573"/>
      <c r="D11" s="574"/>
      <c r="E11" s="575"/>
      <c r="F11" s="1378"/>
      <c r="G11" s="832"/>
      <c r="H11" s="830"/>
      <c r="I11" s="1388"/>
      <c r="J11" s="916"/>
      <c r="K11" s="990" t="s">
        <v>792</v>
      </c>
      <c r="L11" s="377"/>
      <c r="M11" s="1207"/>
      <c r="N11" s="1207"/>
      <c r="O11" s="1392"/>
      <c r="P11" s="1392"/>
      <c r="Q11" s="1392"/>
      <c r="R11" s="1392"/>
      <c r="S11" s="1392"/>
      <c r="T11" s="1393"/>
      <c r="U11" s="1160"/>
      <c r="V11" s="824"/>
      <c r="W11" s="824"/>
      <c r="X11" s="824"/>
      <c r="Y11" s="832"/>
      <c r="Z11" s="824"/>
      <c r="AA11" s="824"/>
      <c r="AB11" s="824"/>
      <c r="AC11" s="481"/>
      <c r="AD11" s="482"/>
      <c r="AE11" s="482"/>
      <c r="AF11" s="522"/>
      <c r="AG11" s="59"/>
      <c r="AH11" s="528"/>
      <c r="AI11" s="59"/>
      <c r="AJ11" s="213"/>
      <c r="AK11" s="566"/>
      <c r="AL11" s="566"/>
    </row>
    <row r="12" spans="1:123" s="582" customFormat="1">
      <c r="A12" s="578"/>
      <c r="B12" s="579"/>
      <c r="C12" s="987" t="s">
        <v>827</v>
      </c>
      <c r="D12" s="988"/>
      <c r="E12" s="988"/>
      <c r="F12" s="988"/>
      <c r="G12" s="988"/>
      <c r="H12" s="988"/>
      <c r="I12" s="988"/>
      <c r="J12" s="988"/>
      <c r="K12" s="1001"/>
      <c r="L12" s="994"/>
      <c r="M12" s="995"/>
      <c r="N12" s="995"/>
      <c r="O12" s="995"/>
      <c r="P12" s="995"/>
      <c r="Q12" s="995"/>
      <c r="R12" s="995"/>
      <c r="S12" s="996"/>
      <c r="T12" s="995"/>
      <c r="U12" s="989"/>
      <c r="V12" s="988"/>
      <c r="W12" s="988"/>
      <c r="X12" s="988"/>
      <c r="Y12" s="988"/>
      <c r="Z12" s="988"/>
      <c r="AA12" s="988"/>
      <c r="AB12" s="988"/>
      <c r="AC12" s="733"/>
      <c r="AD12" s="734"/>
      <c r="AE12" s="734"/>
      <c r="AF12" s="734"/>
      <c r="AG12" s="735"/>
      <c r="AH12" s="741"/>
      <c r="AI12" s="735"/>
      <c r="AJ12" s="988"/>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c r="BJ12" s="565"/>
      <c r="BK12" s="565"/>
      <c r="BL12" s="565"/>
      <c r="BM12" s="565"/>
      <c r="BN12" s="565"/>
      <c r="BO12" s="565"/>
      <c r="BP12" s="565"/>
      <c r="BQ12" s="565"/>
      <c r="BR12" s="565"/>
      <c r="BS12" s="565"/>
      <c r="BT12" s="565"/>
      <c r="BU12" s="565"/>
      <c r="BV12" s="565"/>
      <c r="BW12" s="565"/>
      <c r="BX12" s="565"/>
      <c r="BY12" s="565"/>
      <c r="BZ12" s="565"/>
      <c r="CA12" s="565"/>
      <c r="CB12" s="565"/>
      <c r="CC12" s="565"/>
      <c r="CD12" s="565"/>
      <c r="CE12" s="565"/>
      <c r="CF12" s="565"/>
      <c r="CG12" s="565"/>
      <c r="CH12" s="565"/>
      <c r="CI12" s="565"/>
      <c r="CJ12" s="565"/>
      <c r="CK12" s="565"/>
      <c r="CL12" s="565"/>
      <c r="CM12" s="565"/>
      <c r="CN12" s="565"/>
      <c r="CO12" s="565"/>
      <c r="CP12" s="565"/>
      <c r="CQ12" s="565"/>
      <c r="CR12" s="565"/>
      <c r="CS12" s="565"/>
      <c r="CT12" s="565"/>
      <c r="CU12" s="565"/>
      <c r="CV12" s="565"/>
      <c r="CW12" s="565"/>
      <c r="CX12" s="565"/>
      <c r="CY12" s="565"/>
      <c r="CZ12" s="565"/>
      <c r="DA12" s="565"/>
      <c r="DB12" s="565"/>
      <c r="DC12" s="565"/>
      <c r="DD12" s="565"/>
      <c r="DE12" s="565"/>
      <c r="DF12" s="565"/>
      <c r="DG12" s="565"/>
      <c r="DH12" s="565"/>
      <c r="DI12" s="565"/>
      <c r="DJ12" s="565"/>
      <c r="DK12" s="565"/>
      <c r="DL12" s="565"/>
      <c r="DM12" s="565"/>
      <c r="DN12" s="565"/>
      <c r="DO12" s="565"/>
      <c r="DP12" s="565"/>
      <c r="DQ12" s="565"/>
      <c r="DR12" s="565"/>
      <c r="DS12" s="565"/>
    </row>
    <row r="13" spans="1:123" s="584" customFormat="1" ht="20" customHeight="1">
      <c r="A13" s="578" t="s">
        <v>3</v>
      </c>
      <c r="B13" s="559"/>
      <c r="C13" s="1320"/>
      <c r="D13" s="1346" t="s">
        <v>798</v>
      </c>
      <c r="E13" s="825"/>
      <c r="F13" s="1346"/>
      <c r="G13" s="1323" t="s">
        <v>91</v>
      </c>
      <c r="H13" s="592" t="s">
        <v>94</v>
      </c>
      <c r="I13" s="1346" t="s">
        <v>793</v>
      </c>
      <c r="J13" s="1325" t="s">
        <v>731</v>
      </c>
      <c r="K13" s="898" t="s">
        <v>95</v>
      </c>
      <c r="L13" s="992"/>
      <c r="M13" s="1358"/>
      <c r="N13" s="1358"/>
      <c r="O13" s="1358"/>
      <c r="P13" s="1358"/>
      <c r="Q13" s="1358"/>
      <c r="R13" s="1358"/>
      <c r="S13" s="1358"/>
      <c r="T13" s="1405"/>
      <c r="U13" s="1160" t="s">
        <v>11</v>
      </c>
      <c r="V13" s="591"/>
      <c r="W13" s="591"/>
      <c r="X13" s="591"/>
      <c r="Y13" s="591"/>
      <c r="Z13" s="591"/>
      <c r="AA13" s="591"/>
      <c r="AB13" s="591"/>
      <c r="AC13" s="534"/>
      <c r="AD13" s="535"/>
      <c r="AE13" s="535"/>
      <c r="AF13" s="1317"/>
      <c r="AG13" s="536"/>
      <c r="AH13" s="742"/>
      <c r="AI13" s="537"/>
      <c r="AJ13" s="668"/>
      <c r="AK13" s="565"/>
      <c r="AL13" s="565"/>
      <c r="AM13" s="565"/>
      <c r="AN13" s="565"/>
      <c r="AO13" s="565"/>
      <c r="AP13" s="565"/>
      <c r="AQ13" s="565"/>
      <c r="AR13" s="565"/>
      <c r="AS13" s="565"/>
      <c r="AT13" s="565"/>
      <c r="AU13" s="565"/>
      <c r="AV13" s="565"/>
      <c r="AW13" s="565"/>
      <c r="AX13" s="565"/>
      <c r="AY13" s="565"/>
      <c r="AZ13" s="565"/>
      <c r="BA13" s="565"/>
      <c r="BB13" s="565"/>
      <c r="BC13" s="565"/>
      <c r="BD13" s="565"/>
      <c r="BE13" s="565"/>
      <c r="BF13" s="565"/>
      <c r="BG13" s="565"/>
      <c r="BH13" s="565"/>
      <c r="BI13" s="565"/>
      <c r="BJ13" s="565"/>
      <c r="BK13" s="565"/>
      <c r="BL13" s="565"/>
      <c r="BM13" s="565"/>
      <c r="BN13" s="565"/>
      <c r="BO13" s="565"/>
      <c r="BP13" s="565"/>
      <c r="BQ13" s="565"/>
      <c r="BR13" s="565"/>
      <c r="BS13" s="565"/>
      <c r="BT13" s="565"/>
      <c r="BU13" s="565"/>
      <c r="BV13" s="565"/>
      <c r="BW13" s="565"/>
      <c r="BX13" s="565"/>
      <c r="BY13" s="565"/>
      <c r="BZ13" s="565"/>
      <c r="CA13" s="565"/>
      <c r="CB13" s="565"/>
      <c r="CC13" s="565"/>
      <c r="CD13" s="565"/>
      <c r="CE13" s="565"/>
      <c r="CF13" s="565"/>
      <c r="CG13" s="565"/>
      <c r="CH13" s="565"/>
      <c r="CI13" s="565"/>
      <c r="CJ13" s="565"/>
      <c r="CK13" s="565"/>
      <c r="CL13" s="565"/>
      <c r="CM13" s="565"/>
      <c r="CN13" s="565"/>
      <c r="CO13" s="565"/>
      <c r="CP13" s="565"/>
      <c r="CQ13" s="565"/>
      <c r="CR13" s="565"/>
      <c r="CS13" s="565"/>
      <c r="CT13" s="565"/>
      <c r="CU13" s="565"/>
      <c r="CV13" s="565"/>
      <c r="CW13" s="565"/>
      <c r="CX13" s="565"/>
      <c r="CY13" s="565"/>
      <c r="CZ13" s="565"/>
      <c r="DA13" s="565"/>
      <c r="DB13" s="565"/>
      <c r="DC13" s="565"/>
      <c r="DD13" s="565"/>
      <c r="DE13" s="565"/>
      <c r="DF13" s="565"/>
      <c r="DG13" s="565"/>
      <c r="DH13" s="565"/>
      <c r="DI13" s="565"/>
      <c r="DJ13" s="565"/>
      <c r="DK13" s="565"/>
      <c r="DL13" s="565"/>
      <c r="DM13" s="565"/>
      <c r="DN13" s="565"/>
      <c r="DO13" s="565"/>
      <c r="DP13" s="565"/>
      <c r="DQ13" s="565"/>
      <c r="DR13" s="565"/>
      <c r="DS13" s="565"/>
    </row>
    <row r="14" spans="1:123" s="584" customFormat="1" ht="20" customHeight="1">
      <c r="A14" s="578"/>
      <c r="B14" s="559"/>
      <c r="C14" s="1320"/>
      <c r="D14" s="1346"/>
      <c r="E14" s="825"/>
      <c r="F14" s="1346"/>
      <c r="G14" s="1323"/>
      <c r="H14" s="690"/>
      <c r="I14" s="1346"/>
      <c r="J14" s="1325"/>
      <c r="K14" s="898" t="s">
        <v>794</v>
      </c>
      <c r="L14" s="992"/>
      <c r="M14" s="1358"/>
      <c r="N14" s="1358"/>
      <c r="O14" s="1358"/>
      <c r="P14" s="1358"/>
      <c r="Q14" s="1358"/>
      <c r="R14" s="1358"/>
      <c r="S14" s="1358"/>
      <c r="T14" s="1405"/>
      <c r="U14" s="1160"/>
      <c r="V14" s="591"/>
      <c r="W14" s="591"/>
      <c r="X14" s="591"/>
      <c r="Y14" s="591"/>
      <c r="Z14" s="591"/>
      <c r="AA14" s="591"/>
      <c r="AB14" s="591"/>
      <c r="AC14" s="534"/>
      <c r="AD14" s="535"/>
      <c r="AE14" s="535"/>
      <c r="AF14" s="1317"/>
      <c r="AG14" s="536"/>
      <c r="AH14" s="742"/>
      <c r="AI14" s="537"/>
      <c r="AJ14" s="668"/>
      <c r="AK14" s="565"/>
      <c r="AL14" s="565"/>
      <c r="AM14" s="565"/>
      <c r="AN14" s="565"/>
      <c r="AO14" s="565"/>
      <c r="AP14" s="565"/>
      <c r="AQ14" s="565"/>
      <c r="AR14" s="565"/>
      <c r="AS14" s="565"/>
      <c r="AT14" s="565"/>
      <c r="AU14" s="565"/>
      <c r="AV14" s="565"/>
      <c r="AW14" s="565"/>
      <c r="AX14" s="565"/>
      <c r="AY14" s="565"/>
      <c r="AZ14" s="565"/>
      <c r="BA14" s="565"/>
      <c r="BB14" s="565"/>
      <c r="BC14" s="565"/>
      <c r="BD14" s="565"/>
      <c r="BE14" s="565"/>
      <c r="BF14" s="565"/>
      <c r="BG14" s="565"/>
      <c r="BH14" s="565"/>
      <c r="BI14" s="565"/>
      <c r="BJ14" s="565"/>
      <c r="BK14" s="565"/>
      <c r="BL14" s="565"/>
      <c r="BM14" s="565"/>
      <c r="BN14" s="565"/>
      <c r="BO14" s="565"/>
      <c r="BP14" s="565"/>
      <c r="BQ14" s="565"/>
      <c r="BR14" s="565"/>
      <c r="BS14" s="565"/>
      <c r="BT14" s="565"/>
      <c r="BU14" s="565"/>
      <c r="BV14" s="565"/>
      <c r="BW14" s="565"/>
      <c r="BX14" s="565"/>
      <c r="BY14" s="565"/>
      <c r="BZ14" s="565"/>
      <c r="CA14" s="565"/>
      <c r="CB14" s="565"/>
      <c r="CC14" s="565"/>
      <c r="CD14" s="565"/>
      <c r="CE14" s="565"/>
      <c r="CF14" s="565"/>
      <c r="CG14" s="565"/>
      <c r="CH14" s="565"/>
      <c r="CI14" s="565"/>
      <c r="CJ14" s="565"/>
      <c r="CK14" s="565"/>
      <c r="CL14" s="565"/>
      <c r="CM14" s="565"/>
      <c r="CN14" s="565"/>
      <c r="CO14" s="565"/>
      <c r="CP14" s="565"/>
      <c r="CQ14" s="565"/>
      <c r="CR14" s="565"/>
      <c r="CS14" s="565"/>
      <c r="CT14" s="565"/>
      <c r="CU14" s="565"/>
      <c r="CV14" s="565"/>
      <c r="CW14" s="565"/>
      <c r="CX14" s="565"/>
      <c r="CY14" s="565"/>
      <c r="CZ14" s="565"/>
      <c r="DA14" s="565"/>
      <c r="DB14" s="565"/>
      <c r="DC14" s="565"/>
      <c r="DD14" s="565"/>
      <c r="DE14" s="565"/>
      <c r="DF14" s="565"/>
      <c r="DG14" s="565"/>
      <c r="DH14" s="565"/>
      <c r="DI14" s="565"/>
      <c r="DJ14" s="565"/>
      <c r="DK14" s="565"/>
      <c r="DL14" s="565"/>
      <c r="DM14" s="565"/>
      <c r="DN14" s="565"/>
      <c r="DO14" s="565"/>
      <c r="DP14" s="565"/>
      <c r="DQ14" s="565"/>
      <c r="DR14" s="565"/>
      <c r="DS14" s="565"/>
    </row>
    <row r="15" spans="1:123" s="584" customFormat="1" ht="28">
      <c r="A15" s="578"/>
      <c r="B15" s="559"/>
      <c r="C15" s="1320"/>
      <c r="D15" s="1346"/>
      <c r="E15" s="825"/>
      <c r="F15" s="1346"/>
      <c r="G15" s="1323"/>
      <c r="H15" s="690"/>
      <c r="I15" s="1346"/>
      <c r="J15" s="1325"/>
      <c r="K15" s="898" t="s">
        <v>693</v>
      </c>
      <c r="L15" s="992"/>
      <c r="M15" s="1358"/>
      <c r="N15" s="1358"/>
      <c r="O15" s="1358"/>
      <c r="P15" s="1358"/>
      <c r="Q15" s="1358"/>
      <c r="R15" s="1358"/>
      <c r="S15" s="1358"/>
      <c r="T15" s="1405"/>
      <c r="U15" s="1160"/>
      <c r="V15" s="591"/>
      <c r="W15" s="591"/>
      <c r="X15" s="591"/>
      <c r="Y15" s="591"/>
      <c r="Z15" s="591"/>
      <c r="AA15" s="591"/>
      <c r="AB15" s="591"/>
      <c r="AC15" s="534"/>
      <c r="AD15" s="535"/>
      <c r="AE15" s="535"/>
      <c r="AF15" s="1317"/>
      <c r="AG15" s="536"/>
      <c r="AH15" s="742"/>
      <c r="AI15" s="537"/>
      <c r="AJ15" s="668"/>
      <c r="AK15" s="565"/>
      <c r="AL15" s="565"/>
      <c r="AM15" s="565"/>
      <c r="AN15" s="565"/>
      <c r="AO15" s="565"/>
      <c r="AP15" s="565"/>
      <c r="AQ15" s="565"/>
      <c r="AR15" s="565"/>
      <c r="AS15" s="565"/>
      <c r="AT15" s="565"/>
      <c r="AU15" s="565"/>
      <c r="AV15" s="565"/>
      <c r="AW15" s="565"/>
      <c r="AX15" s="565"/>
      <c r="AY15" s="565"/>
      <c r="AZ15" s="565"/>
      <c r="BA15" s="565"/>
      <c r="BB15" s="565"/>
      <c r="BC15" s="565"/>
      <c r="BD15" s="565"/>
      <c r="BE15" s="565"/>
      <c r="BF15" s="565"/>
      <c r="BG15" s="565"/>
      <c r="BH15" s="565"/>
      <c r="BI15" s="565"/>
      <c r="BJ15" s="565"/>
      <c r="BK15" s="565"/>
      <c r="BL15" s="565"/>
      <c r="BM15" s="565"/>
      <c r="BN15" s="565"/>
      <c r="BO15" s="565"/>
      <c r="BP15" s="565"/>
      <c r="BQ15" s="565"/>
      <c r="BR15" s="565"/>
      <c r="BS15" s="565"/>
      <c r="BT15" s="565"/>
      <c r="BU15" s="565"/>
      <c r="BV15" s="565"/>
      <c r="BW15" s="565"/>
      <c r="BX15" s="565"/>
      <c r="BY15" s="565"/>
      <c r="BZ15" s="565"/>
      <c r="CA15" s="565"/>
      <c r="CB15" s="565"/>
      <c r="CC15" s="565"/>
      <c r="CD15" s="565"/>
      <c r="CE15" s="565"/>
      <c r="CF15" s="565"/>
      <c r="CG15" s="565"/>
      <c r="CH15" s="565"/>
      <c r="CI15" s="565"/>
      <c r="CJ15" s="565"/>
      <c r="CK15" s="565"/>
      <c r="CL15" s="565"/>
      <c r="CM15" s="565"/>
      <c r="CN15" s="565"/>
      <c r="CO15" s="565"/>
      <c r="CP15" s="565"/>
      <c r="CQ15" s="565"/>
      <c r="CR15" s="565"/>
      <c r="CS15" s="565"/>
      <c r="CT15" s="565"/>
      <c r="CU15" s="565"/>
      <c r="CV15" s="565"/>
      <c r="CW15" s="565"/>
      <c r="CX15" s="565"/>
      <c r="CY15" s="565"/>
      <c r="CZ15" s="565"/>
      <c r="DA15" s="565"/>
      <c r="DB15" s="565"/>
      <c r="DC15" s="565"/>
      <c r="DD15" s="565"/>
      <c r="DE15" s="565"/>
      <c r="DF15" s="565"/>
      <c r="DG15" s="565"/>
      <c r="DH15" s="565"/>
      <c r="DI15" s="565"/>
      <c r="DJ15" s="565"/>
      <c r="DK15" s="565"/>
      <c r="DL15" s="565"/>
      <c r="DM15" s="565"/>
      <c r="DN15" s="565"/>
      <c r="DO15" s="565"/>
      <c r="DP15" s="565"/>
      <c r="DQ15" s="565"/>
      <c r="DR15" s="565"/>
      <c r="DS15" s="565"/>
    </row>
    <row r="16" spans="1:123" s="584" customFormat="1" ht="20" customHeight="1" thickBot="1">
      <c r="A16" s="578"/>
      <c r="B16" s="559"/>
      <c r="C16" s="1376"/>
      <c r="D16" s="1347"/>
      <c r="E16" s="826"/>
      <c r="F16" s="1347"/>
      <c r="G16" s="1324"/>
      <c r="H16" s="693"/>
      <c r="I16" s="1347"/>
      <c r="J16" s="1353"/>
      <c r="K16" s="903" t="s">
        <v>96</v>
      </c>
      <c r="L16" s="993"/>
      <c r="M16" s="1360"/>
      <c r="N16" s="1360"/>
      <c r="O16" s="1360"/>
      <c r="P16" s="1360"/>
      <c r="Q16" s="1360"/>
      <c r="R16" s="1360"/>
      <c r="S16" s="1360"/>
      <c r="T16" s="1420"/>
      <c r="U16" s="1161"/>
      <c r="V16" s="673"/>
      <c r="W16" s="673"/>
      <c r="X16" s="673"/>
      <c r="Y16" s="673"/>
      <c r="Z16" s="673"/>
      <c r="AA16" s="673"/>
      <c r="AB16" s="673"/>
      <c r="AC16" s="696"/>
      <c r="AD16" s="697"/>
      <c r="AE16" s="697"/>
      <c r="AF16" s="1357"/>
      <c r="AG16" s="698"/>
      <c r="AH16" s="749"/>
      <c r="AI16" s="700"/>
      <c r="AJ16" s="701"/>
      <c r="AK16" s="565"/>
      <c r="AL16" s="565"/>
      <c r="AM16" s="565"/>
      <c r="AN16" s="565"/>
      <c r="AO16" s="565"/>
      <c r="AP16" s="565"/>
      <c r="AQ16" s="565"/>
      <c r="AR16" s="565"/>
      <c r="AS16" s="565"/>
      <c r="AT16" s="565"/>
      <c r="AU16" s="565"/>
      <c r="AV16" s="565"/>
      <c r="AW16" s="565"/>
      <c r="AX16" s="565"/>
      <c r="AY16" s="565"/>
      <c r="AZ16" s="565"/>
      <c r="BA16" s="565"/>
      <c r="BB16" s="565"/>
      <c r="BC16" s="565"/>
      <c r="BD16" s="565"/>
      <c r="BE16" s="565"/>
      <c r="BF16" s="565"/>
      <c r="BG16" s="565"/>
      <c r="BH16" s="565"/>
      <c r="BI16" s="565"/>
      <c r="BJ16" s="565"/>
      <c r="BK16" s="565"/>
      <c r="BL16" s="565"/>
      <c r="BM16" s="565"/>
      <c r="BN16" s="565"/>
      <c r="BO16" s="565"/>
      <c r="BP16" s="565"/>
      <c r="BQ16" s="565"/>
      <c r="BR16" s="565"/>
      <c r="BS16" s="565"/>
      <c r="BT16" s="565"/>
      <c r="BU16" s="565"/>
      <c r="BV16" s="565"/>
      <c r="BW16" s="565"/>
      <c r="BX16" s="565"/>
      <c r="BY16" s="565"/>
      <c r="BZ16" s="565"/>
      <c r="CA16" s="565"/>
      <c r="CB16" s="565"/>
      <c r="CC16" s="565"/>
      <c r="CD16" s="565"/>
      <c r="CE16" s="565"/>
      <c r="CF16" s="565"/>
      <c r="CG16" s="565"/>
      <c r="CH16" s="565"/>
      <c r="CI16" s="565"/>
      <c r="CJ16" s="565"/>
      <c r="CK16" s="565"/>
      <c r="CL16" s="565"/>
      <c r="CM16" s="565"/>
      <c r="CN16" s="565"/>
      <c r="CO16" s="565"/>
      <c r="CP16" s="565"/>
      <c r="CQ16" s="565"/>
      <c r="CR16" s="565"/>
      <c r="CS16" s="565"/>
      <c r="CT16" s="565"/>
      <c r="CU16" s="565"/>
      <c r="CV16" s="565"/>
      <c r="CW16" s="565"/>
      <c r="CX16" s="565"/>
      <c r="CY16" s="565"/>
      <c r="CZ16" s="565"/>
      <c r="DA16" s="565"/>
      <c r="DB16" s="565"/>
      <c r="DC16" s="565"/>
      <c r="DD16" s="565"/>
      <c r="DE16" s="565"/>
      <c r="DF16" s="565"/>
      <c r="DG16" s="565"/>
      <c r="DH16" s="565"/>
      <c r="DI16" s="565"/>
      <c r="DJ16" s="565"/>
      <c r="DK16" s="565"/>
      <c r="DL16" s="565"/>
      <c r="DM16" s="565"/>
      <c r="DN16" s="565"/>
      <c r="DO16" s="565"/>
      <c r="DP16" s="565"/>
      <c r="DQ16" s="565"/>
      <c r="DR16" s="565"/>
      <c r="DS16" s="565"/>
    </row>
    <row r="17" spans="1:38" s="567" customFormat="1" ht="36" customHeight="1">
      <c r="A17" s="558" t="s">
        <v>2</v>
      </c>
      <c r="B17" s="559"/>
      <c r="C17" s="560" t="s">
        <v>797</v>
      </c>
      <c r="D17" s="561" t="s">
        <v>796</v>
      </c>
      <c r="E17" s="1049" t="s">
        <v>1216</v>
      </c>
      <c r="F17" s="1374"/>
      <c r="G17" s="424" t="s">
        <v>91</v>
      </c>
      <c r="H17" s="571" t="s">
        <v>247</v>
      </c>
      <c r="I17" s="1372" t="s">
        <v>799</v>
      </c>
      <c r="J17" s="1368" t="s">
        <v>695</v>
      </c>
      <c r="K17" s="595" t="s">
        <v>801</v>
      </c>
      <c r="L17" s="596"/>
      <c r="M17" s="1348"/>
      <c r="N17" s="1349"/>
      <c r="O17" s="1349"/>
      <c r="P17" s="1349"/>
      <c r="Q17" s="1349"/>
      <c r="R17" s="1349"/>
      <c r="S17" s="1349"/>
      <c r="T17" s="1349"/>
      <c r="U17" s="1159" t="s">
        <v>11</v>
      </c>
      <c r="V17" s="54"/>
      <c r="W17" s="55"/>
      <c r="X17" s="55"/>
      <c r="Y17" s="55"/>
      <c r="Z17" s="55"/>
      <c r="AA17" s="55"/>
      <c r="AB17" s="55"/>
      <c r="AC17" s="476"/>
      <c r="AD17" s="106"/>
      <c r="AE17" s="106"/>
      <c r="AF17" s="521"/>
      <c r="AG17" s="56"/>
      <c r="AH17" s="743"/>
      <c r="AI17" s="56"/>
      <c r="AJ17" s="191"/>
      <c r="AK17" s="566"/>
      <c r="AL17" s="566"/>
    </row>
    <row r="18" spans="1:38" s="567" customFormat="1" ht="36" customHeight="1" thickBot="1">
      <c r="A18" s="558"/>
      <c r="B18" s="559"/>
      <c r="C18" s="598"/>
      <c r="D18" s="599"/>
      <c r="E18" s="600"/>
      <c r="F18" s="1375"/>
      <c r="G18" s="601"/>
      <c r="H18" s="602"/>
      <c r="I18" s="1373"/>
      <c r="J18" s="1369"/>
      <c r="K18" s="603" t="s">
        <v>800</v>
      </c>
      <c r="L18" s="604"/>
      <c r="M18" s="1403"/>
      <c r="N18" s="1404"/>
      <c r="O18" s="1404"/>
      <c r="P18" s="1404"/>
      <c r="Q18" s="1404"/>
      <c r="R18" s="1404"/>
      <c r="S18" s="1404"/>
      <c r="T18" s="1404"/>
      <c r="U18" s="1161"/>
      <c r="V18" s="438"/>
      <c r="W18" s="605"/>
      <c r="X18" s="605"/>
      <c r="Y18" s="605"/>
      <c r="Z18" s="605"/>
      <c r="AA18" s="605"/>
      <c r="AB18" s="605"/>
      <c r="AC18" s="736"/>
      <c r="AD18" s="737"/>
      <c r="AE18" s="737"/>
      <c r="AF18" s="523"/>
      <c r="AG18" s="475"/>
      <c r="AH18" s="744"/>
      <c r="AI18" s="475"/>
      <c r="AJ18" s="422"/>
      <c r="AK18" s="566"/>
      <c r="AL18" s="566"/>
    </row>
    <row r="19" spans="1:38" s="567" customFormat="1" ht="36" customHeight="1">
      <c r="A19" s="558" t="s">
        <v>2</v>
      </c>
      <c r="B19" s="559"/>
      <c r="C19" s="560" t="s">
        <v>802</v>
      </c>
      <c r="D19" s="1354" t="s">
        <v>813</v>
      </c>
      <c r="E19" s="1049" t="s">
        <v>1216</v>
      </c>
      <c r="F19" s="1370" t="s">
        <v>805</v>
      </c>
      <c r="G19" s="424" t="s">
        <v>91</v>
      </c>
      <c r="H19" s="571" t="s">
        <v>247</v>
      </c>
      <c r="I19" s="1372" t="s">
        <v>799</v>
      </c>
      <c r="J19" s="1368" t="s">
        <v>695</v>
      </c>
      <c r="K19" s="607" t="s">
        <v>803</v>
      </c>
      <c r="L19" s="1120"/>
      <c r="M19" s="1348"/>
      <c r="N19" s="1349"/>
      <c r="O19" s="1349"/>
      <c r="P19" s="1349"/>
      <c r="Q19" s="1349"/>
      <c r="R19" s="1349"/>
      <c r="S19" s="1349"/>
      <c r="T19" s="1349"/>
      <c r="U19" s="1159" t="s">
        <v>11</v>
      </c>
      <c r="V19" s="54"/>
      <c r="W19" s="55"/>
      <c r="X19" s="55"/>
      <c r="Y19" s="55"/>
      <c r="Z19" s="55"/>
      <c r="AA19" s="55"/>
      <c r="AB19" s="55"/>
      <c r="AC19" s="476"/>
      <c r="AD19" s="106"/>
      <c r="AE19" s="106"/>
      <c r="AF19" s="521"/>
      <c r="AG19" s="56"/>
      <c r="AH19" s="1162" t="s">
        <v>44</v>
      </c>
      <c r="AI19" s="56"/>
      <c r="AJ19" s="191"/>
      <c r="AK19" s="566"/>
      <c r="AL19" s="566"/>
    </row>
    <row r="20" spans="1:38" s="567" customFormat="1" ht="36" customHeight="1" thickBot="1">
      <c r="A20" s="558"/>
      <c r="B20" s="559"/>
      <c r="C20" s="598"/>
      <c r="D20" s="1355"/>
      <c r="E20" s="600"/>
      <c r="F20" s="1371"/>
      <c r="G20" s="601"/>
      <c r="H20" s="602"/>
      <c r="I20" s="1373"/>
      <c r="J20" s="1369"/>
      <c r="K20" s="608" t="s">
        <v>804</v>
      </c>
      <c r="L20" s="1121"/>
      <c r="M20" s="1403"/>
      <c r="N20" s="1404"/>
      <c r="O20" s="1404"/>
      <c r="P20" s="1404"/>
      <c r="Q20" s="1404"/>
      <c r="R20" s="1404"/>
      <c r="S20" s="1404"/>
      <c r="T20" s="1404"/>
      <c r="U20" s="1161"/>
      <c r="V20" s="438"/>
      <c r="W20" s="605"/>
      <c r="X20" s="605"/>
      <c r="Y20" s="605"/>
      <c r="Z20" s="605"/>
      <c r="AA20" s="605"/>
      <c r="AB20" s="605"/>
      <c r="AC20" s="736"/>
      <c r="AD20" s="737"/>
      <c r="AE20" s="737"/>
      <c r="AF20" s="523"/>
      <c r="AG20" s="475"/>
      <c r="AH20" s="1164"/>
      <c r="AI20" s="475"/>
      <c r="AJ20" s="422"/>
      <c r="AK20" s="566"/>
      <c r="AL20" s="566"/>
    </row>
    <row r="21" spans="1:38" s="567" customFormat="1">
      <c r="A21" s="558" t="s">
        <v>2</v>
      </c>
      <c r="B21" s="559"/>
      <c r="C21" s="1426" t="s">
        <v>806</v>
      </c>
      <c r="D21" s="1326" t="s">
        <v>807</v>
      </c>
      <c r="E21" s="1366" t="s">
        <v>1216</v>
      </c>
      <c r="F21" s="1428"/>
      <c r="G21" s="1433" t="s">
        <v>91</v>
      </c>
      <c r="H21" s="1431" t="s">
        <v>254</v>
      </c>
      <c r="I21" s="1372" t="s">
        <v>808</v>
      </c>
      <c r="J21" s="572" t="s">
        <v>690</v>
      </c>
      <c r="K21" s="760" t="s">
        <v>809</v>
      </c>
      <c r="L21" s="609"/>
      <c r="M21" s="1348"/>
      <c r="N21" s="1349"/>
      <c r="O21" s="1349"/>
      <c r="P21" s="1349"/>
      <c r="Q21" s="1349"/>
      <c r="R21" s="1349"/>
      <c r="S21" s="1349"/>
      <c r="T21" s="1349"/>
      <c r="U21" s="1159" t="s">
        <v>11</v>
      </c>
      <c r="V21" s="615"/>
      <c r="W21" s="55"/>
      <c r="X21" s="55"/>
      <c r="Y21" s="55"/>
      <c r="Z21" s="55"/>
      <c r="AA21" s="55"/>
      <c r="AB21" s="55"/>
      <c r="AC21" s="476"/>
      <c r="AD21" s="106"/>
      <c r="AE21" s="106"/>
      <c r="AF21" s="521"/>
      <c r="AG21" s="56"/>
      <c r="AH21" s="743"/>
      <c r="AI21" s="56"/>
      <c r="AJ21" s="191"/>
      <c r="AK21" s="566"/>
      <c r="AL21" s="566"/>
    </row>
    <row r="22" spans="1:38" s="567" customFormat="1">
      <c r="A22" s="558"/>
      <c r="B22" s="559"/>
      <c r="C22" s="1427"/>
      <c r="D22" s="1425"/>
      <c r="E22" s="1367"/>
      <c r="F22" s="1429"/>
      <c r="G22" s="1434"/>
      <c r="H22" s="1432"/>
      <c r="I22" s="1430"/>
      <c r="J22" s="728"/>
      <c r="K22" s="761" t="s">
        <v>810</v>
      </c>
      <c r="L22" s="610"/>
      <c r="M22" s="1400"/>
      <c r="N22" s="1401"/>
      <c r="O22" s="1401"/>
      <c r="P22" s="1401"/>
      <c r="Q22" s="1401"/>
      <c r="R22" s="1401"/>
      <c r="S22" s="1401"/>
      <c r="T22" s="1401"/>
      <c r="U22" s="1160"/>
      <c r="V22" s="619"/>
      <c r="W22" s="58"/>
      <c r="X22" s="58"/>
      <c r="Y22" s="58"/>
      <c r="Z22" s="58"/>
      <c r="AA22" s="58"/>
      <c r="AB22" s="58"/>
      <c r="AC22" s="477"/>
      <c r="AD22" s="107"/>
      <c r="AE22" s="107"/>
      <c r="AF22" s="522"/>
      <c r="AG22" s="59"/>
      <c r="AH22" s="740"/>
      <c r="AI22" s="59"/>
      <c r="AJ22" s="213"/>
      <c r="AK22" s="566"/>
      <c r="AL22" s="566"/>
    </row>
    <row r="23" spans="1:38" s="567" customFormat="1" ht="18" thickBot="1">
      <c r="A23" s="558"/>
      <c r="B23" s="559"/>
      <c r="C23" s="1427"/>
      <c r="D23" s="1425"/>
      <c r="E23" s="1367"/>
      <c r="F23" s="1429"/>
      <c r="G23" s="1434"/>
      <c r="H23" s="1432"/>
      <c r="I23" s="1430"/>
      <c r="J23" s="728"/>
      <c r="K23" s="761" t="s">
        <v>811</v>
      </c>
      <c r="L23" s="610"/>
      <c r="M23" s="1400"/>
      <c r="N23" s="1401"/>
      <c r="O23" s="1401"/>
      <c r="P23" s="1401"/>
      <c r="Q23" s="1401"/>
      <c r="R23" s="1401"/>
      <c r="S23" s="1401"/>
      <c r="T23" s="1401"/>
      <c r="U23" s="1160"/>
      <c r="V23" s="619"/>
      <c r="W23" s="58"/>
      <c r="X23" s="58"/>
      <c r="Y23" s="58"/>
      <c r="Z23" s="58"/>
      <c r="AA23" s="58"/>
      <c r="AB23" s="58"/>
      <c r="AC23" s="477"/>
      <c r="AD23" s="107"/>
      <c r="AE23" s="107"/>
      <c r="AF23" s="522"/>
      <c r="AG23" s="59"/>
      <c r="AH23" s="740"/>
      <c r="AI23" s="59"/>
      <c r="AJ23" s="213"/>
      <c r="AK23" s="566"/>
      <c r="AL23" s="566"/>
    </row>
    <row r="24" spans="1:38" s="567" customFormat="1" ht="28">
      <c r="A24" s="558" t="s">
        <v>3</v>
      </c>
      <c r="B24" s="559"/>
      <c r="C24" s="629"/>
      <c r="D24" s="632" t="s">
        <v>812</v>
      </c>
      <c r="E24" s="586"/>
      <c r="F24" s="589"/>
      <c r="G24" s="232" t="s">
        <v>91</v>
      </c>
      <c r="H24" s="592" t="s">
        <v>92</v>
      </c>
      <c r="I24" s="197" t="s">
        <v>814</v>
      </c>
      <c r="J24" s="633" t="s">
        <v>725</v>
      </c>
      <c r="K24" s="762" t="s">
        <v>815</v>
      </c>
      <c r="L24" s="611"/>
      <c r="M24" s="1362"/>
      <c r="N24" s="1363"/>
      <c r="O24" s="1363"/>
      <c r="P24" s="1363"/>
      <c r="Q24" s="1363"/>
      <c r="R24" s="1363"/>
      <c r="S24" s="1363"/>
      <c r="T24" s="1363"/>
      <c r="U24" s="1159" t="s">
        <v>11</v>
      </c>
      <c r="V24" s="632"/>
      <c r="W24" s="632"/>
      <c r="X24" s="632"/>
      <c r="Y24" s="632"/>
      <c r="Z24" s="632"/>
      <c r="AA24" s="632"/>
      <c r="AB24" s="632"/>
      <c r="AC24" s="233"/>
      <c r="AD24" s="234"/>
      <c r="AE24" s="234"/>
      <c r="AF24" s="478"/>
      <c r="AG24" s="235"/>
      <c r="AH24" s="745"/>
      <c r="AI24" s="235"/>
      <c r="AJ24" s="213"/>
      <c r="AK24" s="566"/>
      <c r="AL24" s="566"/>
    </row>
    <row r="25" spans="1:38" s="567" customFormat="1" ht="18" thickBot="1">
      <c r="A25" s="558"/>
      <c r="B25" s="559"/>
      <c r="C25" s="671"/>
      <c r="D25" s="631"/>
      <c r="E25" s="600"/>
      <c r="F25" s="672"/>
      <c r="G25" s="410"/>
      <c r="H25" s="634"/>
      <c r="I25" s="410"/>
      <c r="J25" s="729"/>
      <c r="K25" s="763" t="s">
        <v>816</v>
      </c>
      <c r="L25" s="674"/>
      <c r="M25" s="1364"/>
      <c r="N25" s="1365"/>
      <c r="O25" s="1365"/>
      <c r="P25" s="1365"/>
      <c r="Q25" s="1365"/>
      <c r="R25" s="1365"/>
      <c r="S25" s="1365"/>
      <c r="T25" s="1365"/>
      <c r="U25" s="1161"/>
      <c r="V25" s="409"/>
      <c r="W25" s="409"/>
      <c r="X25" s="409"/>
      <c r="Y25" s="409"/>
      <c r="Z25" s="409"/>
      <c r="AA25" s="409"/>
      <c r="AB25" s="409"/>
      <c r="AC25" s="411"/>
      <c r="AD25" s="412"/>
      <c r="AE25" s="412"/>
      <c r="AF25" s="738"/>
      <c r="AG25" s="413"/>
      <c r="AH25" s="746"/>
      <c r="AI25" s="413"/>
      <c r="AJ25" s="422"/>
      <c r="AK25" s="566"/>
      <c r="AL25" s="566"/>
    </row>
    <row r="26" spans="1:38" s="557" customFormat="1" ht="27" customHeight="1" thickBot="1">
      <c r="A26" s="550" t="s">
        <v>34</v>
      </c>
      <c r="B26" s="551" t="s">
        <v>817</v>
      </c>
      <c r="C26" s="552" t="s">
        <v>818</v>
      </c>
      <c r="D26" s="553"/>
      <c r="E26" s="554"/>
      <c r="F26" s="849"/>
      <c r="G26" s="517"/>
      <c r="H26" s="517"/>
      <c r="I26" s="517"/>
      <c r="J26" s="517"/>
      <c r="K26" s="850"/>
      <c r="L26" s="851"/>
      <c r="M26" s="517"/>
      <c r="N26" s="517"/>
      <c r="O26" s="517"/>
      <c r="P26" s="517"/>
      <c r="Q26" s="517"/>
      <c r="R26" s="517"/>
      <c r="S26" s="517"/>
      <c r="T26" s="517"/>
      <c r="U26" s="517"/>
      <c r="V26" s="517"/>
      <c r="W26" s="517"/>
      <c r="X26" s="517"/>
      <c r="Y26" s="517"/>
      <c r="Z26" s="517"/>
      <c r="AA26" s="517"/>
      <c r="AB26" s="517"/>
      <c r="AC26" s="517"/>
      <c r="AD26" s="517"/>
      <c r="AE26" s="517"/>
      <c r="AF26" s="517"/>
      <c r="AG26" s="517"/>
      <c r="AH26" s="517"/>
      <c r="AI26" s="517"/>
      <c r="AJ26" s="517"/>
      <c r="AK26" s="556"/>
      <c r="AL26" s="556"/>
    </row>
    <row r="27" spans="1:38" s="567" customFormat="1" ht="39.5" customHeight="1">
      <c r="A27" s="558" t="s">
        <v>2</v>
      </c>
      <c r="B27" s="559"/>
      <c r="C27" s="1386" t="s">
        <v>820</v>
      </c>
      <c r="D27" s="1354" t="s">
        <v>819</v>
      </c>
      <c r="E27" s="1366" t="s">
        <v>1216</v>
      </c>
      <c r="F27" s="1372" t="s">
        <v>786</v>
      </c>
      <c r="G27" s="424" t="s">
        <v>91</v>
      </c>
      <c r="H27" s="571" t="s">
        <v>102</v>
      </c>
      <c r="I27" s="1372" t="s">
        <v>774</v>
      </c>
      <c r="J27" s="564" t="s">
        <v>731</v>
      </c>
      <c r="K27" s="676" t="s">
        <v>821</v>
      </c>
      <c r="L27" s="677"/>
      <c r="M27" s="1348"/>
      <c r="N27" s="1349"/>
      <c r="O27" s="1349"/>
      <c r="P27" s="1349"/>
      <c r="Q27" s="1349"/>
      <c r="R27" s="1349"/>
      <c r="S27" s="1349"/>
      <c r="T27" s="1349"/>
      <c r="U27" s="1159" t="s">
        <v>11</v>
      </c>
      <c r="V27" s="615"/>
      <c r="W27" s="55"/>
      <c r="X27" s="55"/>
      <c r="Y27" s="55"/>
      <c r="Z27" s="55"/>
      <c r="AA27" s="55"/>
      <c r="AB27" s="55"/>
      <c r="AC27" s="476"/>
      <c r="AD27" s="106"/>
      <c r="AE27" s="106"/>
      <c r="AF27" s="521"/>
      <c r="AG27" s="56"/>
      <c r="AH27" s="743"/>
      <c r="AI27" s="56"/>
      <c r="AJ27" s="191"/>
      <c r="AK27" s="566"/>
      <c r="AL27" s="566"/>
    </row>
    <row r="28" spans="1:38" s="567" customFormat="1" ht="18" thickBot="1">
      <c r="A28" s="558"/>
      <c r="B28" s="559"/>
      <c r="C28" s="1387"/>
      <c r="D28" s="1355"/>
      <c r="E28" s="1424"/>
      <c r="F28" s="1373"/>
      <c r="G28" s="439"/>
      <c r="H28" s="678"/>
      <c r="I28" s="1373"/>
      <c r="J28" s="730"/>
      <c r="K28" s="679" t="s">
        <v>822</v>
      </c>
      <c r="L28" s="680"/>
      <c r="M28" s="1414"/>
      <c r="N28" s="1415"/>
      <c r="O28" s="1415"/>
      <c r="P28" s="1415"/>
      <c r="Q28" s="1415"/>
      <c r="R28" s="1415"/>
      <c r="S28" s="1415"/>
      <c r="T28" s="1415"/>
      <c r="U28" s="1161"/>
      <c r="V28" s="438"/>
      <c r="W28" s="605"/>
      <c r="X28" s="605"/>
      <c r="Y28" s="605"/>
      <c r="Z28" s="605"/>
      <c r="AA28" s="605"/>
      <c r="AB28" s="605"/>
      <c r="AC28" s="736"/>
      <c r="AD28" s="737"/>
      <c r="AE28" s="737"/>
      <c r="AF28" s="523"/>
      <c r="AG28" s="475"/>
      <c r="AH28" s="744"/>
      <c r="AI28" s="475"/>
      <c r="AJ28" s="422"/>
      <c r="AK28" s="566"/>
      <c r="AL28" s="566"/>
    </row>
    <row r="29" spans="1:38" s="567" customFormat="1" ht="26.5" customHeight="1">
      <c r="A29" s="558" t="s">
        <v>2</v>
      </c>
      <c r="B29" s="559"/>
      <c r="C29" s="568" t="s">
        <v>823</v>
      </c>
      <c r="D29" s="569" t="s">
        <v>824</v>
      </c>
      <c r="E29" s="1366" t="s">
        <v>1216</v>
      </c>
      <c r="F29" s="1328" t="s">
        <v>795</v>
      </c>
      <c r="G29" s="424" t="s">
        <v>91</v>
      </c>
      <c r="H29" s="571" t="s">
        <v>100</v>
      </c>
      <c r="I29" s="1328" t="s">
        <v>753</v>
      </c>
      <c r="J29" s="572" t="s">
        <v>695</v>
      </c>
      <c r="K29" s="722"/>
      <c r="L29" s="613" t="s">
        <v>744</v>
      </c>
      <c r="M29" s="1209" t="s">
        <v>825</v>
      </c>
      <c r="N29" s="1210"/>
      <c r="O29" s="1331"/>
      <c r="P29" s="1332"/>
      <c r="Q29" s="1332"/>
      <c r="R29" s="1332"/>
      <c r="S29" s="1332"/>
      <c r="T29" s="1332"/>
      <c r="U29" s="1159" t="s">
        <v>11</v>
      </c>
      <c r="V29" s="54"/>
      <c r="W29" s="54"/>
      <c r="X29" s="54"/>
      <c r="Y29" s="424"/>
      <c r="Z29" s="54"/>
      <c r="AA29" s="54"/>
      <c r="AB29" s="54"/>
      <c r="AC29" s="479"/>
      <c r="AD29" s="480"/>
      <c r="AE29" s="480"/>
      <c r="AF29" s="521"/>
      <c r="AG29" s="56"/>
      <c r="AH29" s="527"/>
      <c r="AI29" s="56"/>
      <c r="AJ29" s="191"/>
      <c r="AK29" s="566"/>
      <c r="AL29" s="566"/>
    </row>
    <row r="30" spans="1:38" s="567" customFormat="1">
      <c r="A30" s="558"/>
      <c r="B30" s="559"/>
      <c r="C30" s="573"/>
      <c r="D30" s="574"/>
      <c r="E30" s="1367"/>
      <c r="F30" s="1329"/>
      <c r="G30" s="198"/>
      <c r="H30" s="576"/>
      <c r="I30" s="1329"/>
      <c r="J30" s="577"/>
      <c r="K30" s="612" t="s">
        <v>790</v>
      </c>
      <c r="L30" s="377"/>
      <c r="M30" s="1238"/>
      <c r="N30" s="1330"/>
      <c r="O30" s="1333"/>
      <c r="P30" s="1334"/>
      <c r="Q30" s="1334"/>
      <c r="R30" s="1334"/>
      <c r="S30" s="1334"/>
      <c r="T30" s="1334"/>
      <c r="U30" s="1160"/>
      <c r="V30" s="57"/>
      <c r="W30" s="57"/>
      <c r="X30" s="57"/>
      <c r="Y30" s="198"/>
      <c r="Z30" s="57"/>
      <c r="AA30" s="57"/>
      <c r="AB30" s="57"/>
      <c r="AC30" s="481"/>
      <c r="AD30" s="482"/>
      <c r="AE30" s="482"/>
      <c r="AF30" s="522"/>
      <c r="AG30" s="59"/>
      <c r="AH30" s="528"/>
      <c r="AI30" s="59"/>
      <c r="AJ30" s="213"/>
      <c r="AK30" s="566"/>
      <c r="AL30" s="566"/>
    </row>
    <row r="31" spans="1:38" s="567" customFormat="1" ht="17.5" customHeight="1">
      <c r="A31" s="558"/>
      <c r="B31" s="559"/>
      <c r="C31" s="573"/>
      <c r="D31" s="574"/>
      <c r="E31" s="1367"/>
      <c r="F31" s="1329"/>
      <c r="G31" s="198"/>
      <c r="H31" s="576"/>
      <c r="I31" s="1329"/>
      <c r="J31" s="577"/>
      <c r="K31" s="612" t="s">
        <v>826</v>
      </c>
      <c r="L31" s="377"/>
      <c r="M31" s="1238"/>
      <c r="N31" s="1330"/>
      <c r="O31" s="1333"/>
      <c r="P31" s="1334"/>
      <c r="Q31" s="1334"/>
      <c r="R31" s="1334"/>
      <c r="S31" s="1334"/>
      <c r="T31" s="1334"/>
      <c r="U31" s="1160"/>
      <c r="V31" s="57"/>
      <c r="W31" s="57"/>
      <c r="X31" s="57"/>
      <c r="Y31" s="198"/>
      <c r="Z31" s="57"/>
      <c r="AA31" s="57"/>
      <c r="AB31" s="57"/>
      <c r="AC31" s="481"/>
      <c r="AD31" s="482"/>
      <c r="AE31" s="482"/>
      <c r="AF31" s="522"/>
      <c r="AG31" s="59"/>
      <c r="AH31" s="528"/>
      <c r="AI31" s="59"/>
      <c r="AJ31" s="213"/>
      <c r="AK31" s="566"/>
      <c r="AL31" s="566"/>
    </row>
    <row r="32" spans="1:38" s="567" customFormat="1">
      <c r="A32" s="558"/>
      <c r="B32" s="559"/>
      <c r="C32" s="573"/>
      <c r="D32" s="574"/>
      <c r="E32" s="1367"/>
      <c r="F32" s="1329"/>
      <c r="G32" s="198"/>
      <c r="H32" s="576"/>
      <c r="I32" s="1329"/>
      <c r="J32" s="577"/>
      <c r="K32" s="612" t="s">
        <v>791</v>
      </c>
      <c r="L32" s="377"/>
      <c r="M32" s="1238"/>
      <c r="N32" s="1330"/>
      <c r="O32" s="1333"/>
      <c r="P32" s="1334"/>
      <c r="Q32" s="1334"/>
      <c r="R32" s="1334"/>
      <c r="S32" s="1334"/>
      <c r="T32" s="1334"/>
      <c r="U32" s="1160"/>
      <c r="V32" s="57"/>
      <c r="W32" s="57"/>
      <c r="X32" s="57"/>
      <c r="Y32" s="198"/>
      <c r="Z32" s="57"/>
      <c r="AA32" s="57"/>
      <c r="AB32" s="57"/>
      <c r="AC32" s="481"/>
      <c r="AD32" s="482"/>
      <c r="AE32" s="482"/>
      <c r="AF32" s="522"/>
      <c r="AG32" s="59"/>
      <c r="AH32" s="528"/>
      <c r="AI32" s="59"/>
      <c r="AJ32" s="213"/>
      <c r="AK32" s="566"/>
      <c r="AL32" s="566"/>
    </row>
    <row r="33" spans="1:123" s="567" customFormat="1">
      <c r="A33" s="558"/>
      <c r="B33" s="559"/>
      <c r="C33" s="573"/>
      <c r="D33" s="574"/>
      <c r="E33" s="1367"/>
      <c r="F33" s="1329"/>
      <c r="G33" s="198"/>
      <c r="H33" s="576"/>
      <c r="I33" s="1329"/>
      <c r="J33" s="577"/>
      <c r="K33" s="612" t="s">
        <v>792</v>
      </c>
      <c r="L33" s="377"/>
      <c r="M33" s="1238"/>
      <c r="N33" s="1330"/>
      <c r="O33" s="1333"/>
      <c r="P33" s="1334"/>
      <c r="Q33" s="1334"/>
      <c r="R33" s="1334"/>
      <c r="S33" s="1334"/>
      <c r="T33" s="1334"/>
      <c r="U33" s="1160"/>
      <c r="V33" s="57"/>
      <c r="W33" s="57"/>
      <c r="X33" s="57"/>
      <c r="Y33" s="198"/>
      <c r="Z33" s="57"/>
      <c r="AA33" s="57"/>
      <c r="AB33" s="57"/>
      <c r="AC33" s="481"/>
      <c r="AD33" s="482"/>
      <c r="AE33" s="482"/>
      <c r="AF33" s="522"/>
      <c r="AG33" s="59"/>
      <c r="AH33" s="528"/>
      <c r="AI33" s="59"/>
      <c r="AJ33" s="213"/>
      <c r="AK33" s="566"/>
      <c r="AL33" s="566"/>
    </row>
    <row r="34" spans="1:123" s="582" customFormat="1" ht="18" thickBot="1">
      <c r="A34" s="578"/>
      <c r="B34" s="579"/>
      <c r="C34" s="580" t="s">
        <v>915</v>
      </c>
      <c r="D34" s="581"/>
      <c r="E34" s="581"/>
      <c r="F34" s="999"/>
      <c r="G34" s="999"/>
      <c r="H34" s="999"/>
      <c r="I34" s="999"/>
      <c r="J34" s="999"/>
      <c r="K34" s="1000"/>
      <c r="L34" s="997"/>
      <c r="M34" s="998"/>
      <c r="N34" s="998"/>
      <c r="O34" s="998"/>
      <c r="P34" s="998"/>
      <c r="Q34" s="998"/>
      <c r="R34" s="998"/>
      <c r="S34" s="999"/>
      <c r="T34" s="998"/>
      <c r="U34" s="998"/>
      <c r="V34" s="999"/>
      <c r="W34" s="999"/>
      <c r="X34" s="999"/>
      <c r="Y34" s="999"/>
      <c r="Z34" s="999"/>
      <c r="AA34" s="999"/>
      <c r="AB34" s="999"/>
      <c r="AC34" s="999"/>
      <c r="AD34" s="999"/>
      <c r="AE34" s="999"/>
      <c r="AF34" s="999"/>
      <c r="AG34" s="999"/>
      <c r="AH34" s="999"/>
      <c r="AI34" s="999"/>
      <c r="AJ34" s="999"/>
      <c r="AK34" s="565"/>
      <c r="AL34" s="565"/>
      <c r="AM34" s="565"/>
      <c r="AN34" s="565"/>
      <c r="AO34" s="565"/>
      <c r="AP34" s="565"/>
      <c r="AQ34" s="565"/>
      <c r="AR34" s="565"/>
      <c r="AS34" s="565"/>
      <c r="AT34" s="565"/>
      <c r="AU34" s="565"/>
      <c r="AV34" s="565"/>
      <c r="AW34" s="565"/>
      <c r="AX34" s="565"/>
      <c r="AY34" s="565"/>
      <c r="AZ34" s="565"/>
      <c r="BA34" s="565"/>
      <c r="BB34" s="565"/>
      <c r="BC34" s="565"/>
      <c r="BD34" s="565"/>
      <c r="BE34" s="565"/>
      <c r="BF34" s="565"/>
      <c r="BG34" s="565"/>
      <c r="BH34" s="565"/>
      <c r="BI34" s="565"/>
      <c r="BJ34" s="565"/>
      <c r="BK34" s="565"/>
      <c r="BL34" s="565"/>
      <c r="BM34" s="565"/>
      <c r="BN34" s="565"/>
      <c r="BO34" s="565"/>
      <c r="BP34" s="565"/>
      <c r="BQ34" s="565"/>
      <c r="BR34" s="565"/>
      <c r="BS34" s="565"/>
      <c r="BT34" s="565"/>
      <c r="BU34" s="565"/>
      <c r="BV34" s="565"/>
      <c r="BW34" s="565"/>
      <c r="BX34" s="565"/>
      <c r="BY34" s="565"/>
      <c r="BZ34" s="565"/>
      <c r="CA34" s="565"/>
      <c r="CB34" s="565"/>
      <c r="CC34" s="565"/>
      <c r="CD34" s="565"/>
      <c r="CE34" s="565"/>
      <c r="CF34" s="565"/>
      <c r="CG34" s="565"/>
      <c r="CH34" s="565"/>
      <c r="CI34" s="565"/>
      <c r="CJ34" s="565"/>
      <c r="CK34" s="565"/>
      <c r="CL34" s="565"/>
      <c r="CM34" s="565"/>
      <c r="CN34" s="565"/>
      <c r="CO34" s="565"/>
      <c r="CP34" s="565"/>
      <c r="CQ34" s="565"/>
      <c r="CR34" s="565"/>
      <c r="CS34" s="565"/>
      <c r="CT34" s="565"/>
      <c r="CU34" s="565"/>
      <c r="CV34" s="565"/>
      <c r="CW34" s="565"/>
      <c r="CX34" s="565"/>
      <c r="CY34" s="565"/>
      <c r="CZ34" s="565"/>
      <c r="DA34" s="565"/>
      <c r="DB34" s="565"/>
      <c r="DC34" s="565"/>
      <c r="DD34" s="565"/>
      <c r="DE34" s="565"/>
      <c r="DF34" s="565"/>
      <c r="DG34" s="565"/>
      <c r="DH34" s="565"/>
      <c r="DI34" s="565"/>
      <c r="DJ34" s="565"/>
      <c r="DK34" s="565"/>
      <c r="DL34" s="565"/>
      <c r="DM34" s="565"/>
      <c r="DN34" s="565"/>
      <c r="DO34" s="565"/>
      <c r="DP34" s="565"/>
      <c r="DQ34" s="565"/>
      <c r="DR34" s="565"/>
      <c r="DS34" s="565"/>
    </row>
    <row r="35" spans="1:123" s="584" customFormat="1" ht="20" customHeight="1">
      <c r="A35" s="578" t="s">
        <v>3</v>
      </c>
      <c r="B35" s="559"/>
      <c r="C35" s="1423"/>
      <c r="D35" s="1345" t="s">
        <v>828</v>
      </c>
      <c r="E35" s="681"/>
      <c r="F35" s="617"/>
      <c r="G35" s="1322" t="s">
        <v>91</v>
      </c>
      <c r="H35" s="590" t="s">
        <v>94</v>
      </c>
      <c r="I35" s="1345" t="s">
        <v>793</v>
      </c>
      <c r="J35" s="1352" t="s">
        <v>731</v>
      </c>
      <c r="K35" s="682" t="s">
        <v>95</v>
      </c>
      <c r="L35" s="683"/>
      <c r="M35" s="1416"/>
      <c r="N35" s="1416"/>
      <c r="O35" s="1416"/>
      <c r="P35" s="1416"/>
      <c r="Q35" s="1416"/>
      <c r="R35" s="1416"/>
      <c r="S35" s="1416"/>
      <c r="T35" s="1417"/>
      <c r="U35" s="1159" t="s">
        <v>11</v>
      </c>
      <c r="V35" s="684"/>
      <c r="W35" s="684"/>
      <c r="X35" s="684"/>
      <c r="Y35" s="684"/>
      <c r="Z35" s="684"/>
      <c r="AA35" s="684"/>
      <c r="AB35" s="684"/>
      <c r="AC35" s="685"/>
      <c r="AD35" s="686"/>
      <c r="AE35" s="686"/>
      <c r="AF35" s="1356"/>
      <c r="AG35" s="687"/>
      <c r="AH35" s="748"/>
      <c r="AI35" s="688"/>
      <c r="AJ35" s="689"/>
      <c r="AK35" s="565"/>
      <c r="AL35" s="565"/>
      <c r="AM35" s="565"/>
      <c r="AN35" s="565"/>
      <c r="AO35" s="565"/>
      <c r="AP35" s="565"/>
      <c r="AQ35" s="565"/>
      <c r="AR35" s="565"/>
      <c r="AS35" s="565"/>
      <c r="AT35" s="565"/>
      <c r="AU35" s="565"/>
      <c r="AV35" s="565"/>
      <c r="AW35" s="565"/>
      <c r="AX35" s="565"/>
      <c r="AY35" s="565"/>
      <c r="AZ35" s="565"/>
      <c r="BA35" s="565"/>
      <c r="BB35" s="565"/>
      <c r="BC35" s="565"/>
      <c r="BD35" s="565"/>
      <c r="BE35" s="565"/>
      <c r="BF35" s="565"/>
      <c r="BG35" s="565"/>
      <c r="BH35" s="565"/>
      <c r="BI35" s="565"/>
      <c r="BJ35" s="565"/>
      <c r="BK35" s="565"/>
      <c r="BL35" s="565"/>
      <c r="BM35" s="565"/>
      <c r="BN35" s="565"/>
      <c r="BO35" s="565"/>
      <c r="BP35" s="565"/>
      <c r="BQ35" s="565"/>
      <c r="BR35" s="565"/>
      <c r="BS35" s="565"/>
      <c r="BT35" s="565"/>
      <c r="BU35" s="565"/>
      <c r="BV35" s="565"/>
      <c r="BW35" s="565"/>
      <c r="BX35" s="565"/>
      <c r="BY35" s="565"/>
      <c r="BZ35" s="565"/>
      <c r="CA35" s="565"/>
      <c r="CB35" s="565"/>
      <c r="CC35" s="565"/>
      <c r="CD35" s="565"/>
      <c r="CE35" s="565"/>
      <c r="CF35" s="565"/>
      <c r="CG35" s="565"/>
      <c r="CH35" s="565"/>
      <c r="CI35" s="565"/>
      <c r="CJ35" s="565"/>
      <c r="CK35" s="565"/>
      <c r="CL35" s="565"/>
      <c r="CM35" s="565"/>
      <c r="CN35" s="565"/>
      <c r="CO35" s="565"/>
      <c r="CP35" s="565"/>
      <c r="CQ35" s="565"/>
      <c r="CR35" s="565"/>
      <c r="CS35" s="565"/>
      <c r="CT35" s="565"/>
      <c r="CU35" s="565"/>
      <c r="CV35" s="565"/>
      <c r="CW35" s="565"/>
      <c r="CX35" s="565"/>
      <c r="CY35" s="565"/>
      <c r="CZ35" s="565"/>
      <c r="DA35" s="565"/>
      <c r="DB35" s="565"/>
      <c r="DC35" s="565"/>
      <c r="DD35" s="565"/>
      <c r="DE35" s="565"/>
      <c r="DF35" s="565"/>
      <c r="DG35" s="565"/>
      <c r="DH35" s="565"/>
      <c r="DI35" s="565"/>
      <c r="DJ35" s="565"/>
      <c r="DK35" s="565"/>
      <c r="DL35" s="565"/>
      <c r="DM35" s="565"/>
      <c r="DN35" s="565"/>
      <c r="DO35" s="565"/>
      <c r="DP35" s="565"/>
      <c r="DQ35" s="565"/>
      <c r="DR35" s="565"/>
      <c r="DS35" s="565"/>
    </row>
    <row r="36" spans="1:123" s="584" customFormat="1" ht="20" customHeight="1">
      <c r="A36" s="578"/>
      <c r="B36" s="559"/>
      <c r="C36" s="1320"/>
      <c r="D36" s="1346"/>
      <c r="E36" s="667"/>
      <c r="F36" s="616"/>
      <c r="G36" s="1323"/>
      <c r="H36" s="690"/>
      <c r="I36" s="1346"/>
      <c r="J36" s="1325"/>
      <c r="K36" s="585" t="s">
        <v>794</v>
      </c>
      <c r="L36" s="636"/>
      <c r="M36" s="1358"/>
      <c r="N36" s="1358"/>
      <c r="O36" s="1358"/>
      <c r="P36" s="1358"/>
      <c r="Q36" s="1358"/>
      <c r="R36" s="1358"/>
      <c r="S36" s="1358"/>
      <c r="T36" s="1359"/>
      <c r="U36" s="1160"/>
      <c r="V36" s="591"/>
      <c r="W36" s="591"/>
      <c r="X36" s="591"/>
      <c r="Y36" s="591"/>
      <c r="Z36" s="591"/>
      <c r="AA36" s="591"/>
      <c r="AB36" s="591"/>
      <c r="AC36" s="534"/>
      <c r="AD36" s="535"/>
      <c r="AE36" s="535"/>
      <c r="AF36" s="1317"/>
      <c r="AG36" s="536"/>
      <c r="AH36" s="742"/>
      <c r="AI36" s="537"/>
      <c r="AJ36" s="668"/>
      <c r="AK36" s="565"/>
      <c r="AL36" s="565"/>
      <c r="AM36" s="565"/>
      <c r="AN36" s="565"/>
      <c r="AO36" s="565"/>
      <c r="AP36" s="565"/>
      <c r="AQ36" s="565"/>
      <c r="AR36" s="565"/>
      <c r="AS36" s="565"/>
      <c r="AT36" s="565"/>
      <c r="AU36" s="565"/>
      <c r="AV36" s="565"/>
      <c r="AW36" s="565"/>
      <c r="AX36" s="565"/>
      <c r="AY36" s="565"/>
      <c r="AZ36" s="565"/>
      <c r="BA36" s="565"/>
      <c r="BB36" s="565"/>
      <c r="BC36" s="565"/>
      <c r="BD36" s="565"/>
      <c r="BE36" s="565"/>
      <c r="BF36" s="565"/>
      <c r="BG36" s="565"/>
      <c r="BH36" s="565"/>
      <c r="BI36" s="565"/>
      <c r="BJ36" s="565"/>
      <c r="BK36" s="565"/>
      <c r="BL36" s="565"/>
      <c r="BM36" s="565"/>
      <c r="BN36" s="565"/>
      <c r="BO36" s="565"/>
      <c r="BP36" s="565"/>
      <c r="BQ36" s="565"/>
      <c r="BR36" s="565"/>
      <c r="BS36" s="565"/>
      <c r="BT36" s="565"/>
      <c r="BU36" s="565"/>
      <c r="BV36" s="565"/>
      <c r="BW36" s="565"/>
      <c r="BX36" s="565"/>
      <c r="BY36" s="565"/>
      <c r="BZ36" s="565"/>
      <c r="CA36" s="565"/>
      <c r="CB36" s="565"/>
      <c r="CC36" s="565"/>
      <c r="CD36" s="565"/>
      <c r="CE36" s="565"/>
      <c r="CF36" s="565"/>
      <c r="CG36" s="565"/>
      <c r="CH36" s="565"/>
      <c r="CI36" s="565"/>
      <c r="CJ36" s="565"/>
      <c r="CK36" s="565"/>
      <c r="CL36" s="565"/>
      <c r="CM36" s="565"/>
      <c r="CN36" s="565"/>
      <c r="CO36" s="565"/>
      <c r="CP36" s="565"/>
      <c r="CQ36" s="565"/>
      <c r="CR36" s="565"/>
      <c r="CS36" s="565"/>
      <c r="CT36" s="565"/>
      <c r="CU36" s="565"/>
      <c r="CV36" s="565"/>
      <c r="CW36" s="565"/>
      <c r="CX36" s="565"/>
      <c r="CY36" s="565"/>
      <c r="CZ36" s="565"/>
      <c r="DA36" s="565"/>
      <c r="DB36" s="565"/>
      <c r="DC36" s="565"/>
      <c r="DD36" s="565"/>
      <c r="DE36" s="565"/>
      <c r="DF36" s="565"/>
      <c r="DG36" s="565"/>
      <c r="DH36" s="565"/>
      <c r="DI36" s="565"/>
      <c r="DJ36" s="565"/>
      <c r="DK36" s="565"/>
      <c r="DL36" s="565"/>
      <c r="DM36" s="565"/>
      <c r="DN36" s="565"/>
      <c r="DO36" s="565"/>
      <c r="DP36" s="565"/>
      <c r="DQ36" s="565"/>
      <c r="DR36" s="565"/>
      <c r="DS36" s="565"/>
    </row>
    <row r="37" spans="1:123" s="584" customFormat="1" ht="28">
      <c r="A37" s="578"/>
      <c r="B37" s="559"/>
      <c r="C37" s="1320"/>
      <c r="D37" s="1346"/>
      <c r="E37" s="667"/>
      <c r="F37" s="616"/>
      <c r="G37" s="1323"/>
      <c r="H37" s="690"/>
      <c r="I37" s="1346"/>
      <c r="J37" s="1325"/>
      <c r="K37" s="585" t="s">
        <v>693</v>
      </c>
      <c r="L37" s="636"/>
      <c r="M37" s="1358"/>
      <c r="N37" s="1358"/>
      <c r="O37" s="1358"/>
      <c r="P37" s="1358"/>
      <c r="Q37" s="1358"/>
      <c r="R37" s="1358"/>
      <c r="S37" s="1358"/>
      <c r="T37" s="1359"/>
      <c r="U37" s="1160"/>
      <c r="V37" s="591"/>
      <c r="W37" s="591"/>
      <c r="X37" s="591"/>
      <c r="Y37" s="591"/>
      <c r="Z37" s="591"/>
      <c r="AA37" s="591"/>
      <c r="AB37" s="591"/>
      <c r="AC37" s="534"/>
      <c r="AD37" s="535"/>
      <c r="AE37" s="535"/>
      <c r="AF37" s="1317"/>
      <c r="AG37" s="536"/>
      <c r="AH37" s="742"/>
      <c r="AI37" s="537"/>
      <c r="AJ37" s="668"/>
      <c r="AK37" s="565"/>
      <c r="AL37" s="565"/>
      <c r="AM37" s="565"/>
      <c r="AN37" s="565"/>
      <c r="AO37" s="565"/>
      <c r="AP37" s="565"/>
      <c r="AQ37" s="565"/>
      <c r="AR37" s="565"/>
      <c r="AS37" s="565"/>
      <c r="AT37" s="565"/>
      <c r="AU37" s="565"/>
      <c r="AV37" s="565"/>
      <c r="AW37" s="565"/>
      <c r="AX37" s="565"/>
      <c r="AY37" s="565"/>
      <c r="AZ37" s="565"/>
      <c r="BA37" s="565"/>
      <c r="BB37" s="565"/>
      <c r="BC37" s="565"/>
      <c r="BD37" s="565"/>
      <c r="BE37" s="565"/>
      <c r="BF37" s="565"/>
      <c r="BG37" s="565"/>
      <c r="BH37" s="565"/>
      <c r="BI37" s="565"/>
      <c r="BJ37" s="565"/>
      <c r="BK37" s="565"/>
      <c r="BL37" s="565"/>
      <c r="BM37" s="565"/>
      <c r="BN37" s="565"/>
      <c r="BO37" s="565"/>
      <c r="BP37" s="565"/>
      <c r="BQ37" s="565"/>
      <c r="BR37" s="565"/>
      <c r="BS37" s="565"/>
      <c r="BT37" s="565"/>
      <c r="BU37" s="565"/>
      <c r="BV37" s="565"/>
      <c r="BW37" s="565"/>
      <c r="BX37" s="565"/>
      <c r="BY37" s="565"/>
      <c r="BZ37" s="565"/>
      <c r="CA37" s="565"/>
      <c r="CB37" s="565"/>
      <c r="CC37" s="565"/>
      <c r="CD37" s="565"/>
      <c r="CE37" s="565"/>
      <c r="CF37" s="565"/>
      <c r="CG37" s="565"/>
      <c r="CH37" s="565"/>
      <c r="CI37" s="565"/>
      <c r="CJ37" s="565"/>
      <c r="CK37" s="565"/>
      <c r="CL37" s="565"/>
      <c r="CM37" s="565"/>
      <c r="CN37" s="565"/>
      <c r="CO37" s="565"/>
      <c r="CP37" s="565"/>
      <c r="CQ37" s="565"/>
      <c r="CR37" s="565"/>
      <c r="CS37" s="565"/>
      <c r="CT37" s="565"/>
      <c r="CU37" s="565"/>
      <c r="CV37" s="565"/>
      <c r="CW37" s="565"/>
      <c r="CX37" s="565"/>
      <c r="CY37" s="565"/>
      <c r="CZ37" s="565"/>
      <c r="DA37" s="565"/>
      <c r="DB37" s="565"/>
      <c r="DC37" s="565"/>
      <c r="DD37" s="565"/>
      <c r="DE37" s="565"/>
      <c r="DF37" s="565"/>
      <c r="DG37" s="565"/>
      <c r="DH37" s="565"/>
      <c r="DI37" s="565"/>
      <c r="DJ37" s="565"/>
      <c r="DK37" s="565"/>
      <c r="DL37" s="565"/>
      <c r="DM37" s="565"/>
      <c r="DN37" s="565"/>
      <c r="DO37" s="565"/>
      <c r="DP37" s="565"/>
      <c r="DQ37" s="565"/>
      <c r="DR37" s="565"/>
      <c r="DS37" s="565"/>
    </row>
    <row r="38" spans="1:123" s="584" customFormat="1" ht="20" customHeight="1" thickBot="1">
      <c r="A38" s="578"/>
      <c r="B38" s="559"/>
      <c r="C38" s="1376"/>
      <c r="D38" s="1347"/>
      <c r="E38" s="691"/>
      <c r="F38" s="692"/>
      <c r="G38" s="1324"/>
      <c r="H38" s="693"/>
      <c r="I38" s="1347"/>
      <c r="J38" s="1353"/>
      <c r="K38" s="694" t="s">
        <v>96</v>
      </c>
      <c r="L38" s="695"/>
      <c r="M38" s="1360"/>
      <c r="N38" s="1360"/>
      <c r="O38" s="1360"/>
      <c r="P38" s="1360"/>
      <c r="Q38" s="1360"/>
      <c r="R38" s="1360"/>
      <c r="S38" s="1360"/>
      <c r="T38" s="1361"/>
      <c r="U38" s="1161"/>
      <c r="V38" s="673"/>
      <c r="W38" s="673"/>
      <c r="X38" s="673"/>
      <c r="Y38" s="673"/>
      <c r="Z38" s="673"/>
      <c r="AA38" s="673"/>
      <c r="AB38" s="673"/>
      <c r="AC38" s="696"/>
      <c r="AD38" s="697"/>
      <c r="AE38" s="697"/>
      <c r="AF38" s="1357"/>
      <c r="AG38" s="698"/>
      <c r="AH38" s="749"/>
      <c r="AI38" s="700"/>
      <c r="AJ38" s="701"/>
      <c r="AK38" s="565"/>
      <c r="AL38" s="565"/>
      <c r="AM38" s="565"/>
      <c r="AN38" s="565"/>
      <c r="AO38" s="565"/>
      <c r="AP38" s="565"/>
      <c r="AQ38" s="565"/>
      <c r="AR38" s="565"/>
      <c r="AS38" s="565"/>
      <c r="AT38" s="565"/>
      <c r="AU38" s="565"/>
      <c r="AV38" s="565"/>
      <c r="AW38" s="565"/>
      <c r="AX38" s="565"/>
      <c r="AY38" s="565"/>
      <c r="AZ38" s="565"/>
      <c r="BA38" s="565"/>
      <c r="BB38" s="565"/>
      <c r="BC38" s="565"/>
      <c r="BD38" s="565"/>
      <c r="BE38" s="565"/>
      <c r="BF38" s="565"/>
      <c r="BG38" s="565"/>
      <c r="BH38" s="565"/>
      <c r="BI38" s="565"/>
      <c r="BJ38" s="565"/>
      <c r="BK38" s="565"/>
      <c r="BL38" s="565"/>
      <c r="BM38" s="565"/>
      <c r="BN38" s="565"/>
      <c r="BO38" s="565"/>
      <c r="BP38" s="565"/>
      <c r="BQ38" s="565"/>
      <c r="BR38" s="565"/>
      <c r="BS38" s="565"/>
      <c r="BT38" s="565"/>
      <c r="BU38" s="565"/>
      <c r="BV38" s="565"/>
      <c r="BW38" s="565"/>
      <c r="BX38" s="565"/>
      <c r="BY38" s="565"/>
      <c r="BZ38" s="565"/>
      <c r="CA38" s="565"/>
      <c r="CB38" s="565"/>
      <c r="CC38" s="565"/>
      <c r="CD38" s="565"/>
      <c r="CE38" s="565"/>
      <c r="CF38" s="565"/>
      <c r="CG38" s="565"/>
      <c r="CH38" s="565"/>
      <c r="CI38" s="565"/>
      <c r="CJ38" s="565"/>
      <c r="CK38" s="565"/>
      <c r="CL38" s="565"/>
      <c r="CM38" s="565"/>
      <c r="CN38" s="565"/>
      <c r="CO38" s="565"/>
      <c r="CP38" s="565"/>
      <c r="CQ38" s="565"/>
      <c r="CR38" s="565"/>
      <c r="CS38" s="565"/>
      <c r="CT38" s="565"/>
      <c r="CU38" s="565"/>
      <c r="CV38" s="565"/>
      <c r="CW38" s="565"/>
      <c r="CX38" s="565"/>
      <c r="CY38" s="565"/>
      <c r="CZ38" s="565"/>
      <c r="DA38" s="565"/>
      <c r="DB38" s="565"/>
      <c r="DC38" s="565"/>
      <c r="DD38" s="565"/>
      <c r="DE38" s="565"/>
      <c r="DF38" s="565"/>
      <c r="DG38" s="565"/>
      <c r="DH38" s="565"/>
      <c r="DI38" s="565"/>
      <c r="DJ38" s="565"/>
      <c r="DK38" s="565"/>
      <c r="DL38" s="565"/>
      <c r="DM38" s="565"/>
      <c r="DN38" s="565"/>
      <c r="DO38" s="565"/>
      <c r="DP38" s="565"/>
      <c r="DQ38" s="565"/>
      <c r="DR38" s="565"/>
      <c r="DS38" s="565"/>
    </row>
    <row r="39" spans="1:123" s="567" customFormat="1" ht="36" customHeight="1" thickBot="1">
      <c r="A39" s="558" t="s">
        <v>2</v>
      </c>
      <c r="B39" s="559"/>
      <c r="C39" s="560" t="s">
        <v>829</v>
      </c>
      <c r="D39" s="561" t="s">
        <v>796</v>
      </c>
      <c r="E39" s="562"/>
      <c r="F39" s="617"/>
      <c r="G39" s="424" t="s">
        <v>91</v>
      </c>
      <c r="H39" s="571" t="s">
        <v>100</v>
      </c>
      <c r="I39" s="620"/>
      <c r="J39" s="621"/>
      <c r="K39" s="595"/>
      <c r="L39" s="596"/>
      <c r="M39" s="1348"/>
      <c r="N39" s="1349"/>
      <c r="O39" s="1349"/>
      <c r="P39" s="1349"/>
      <c r="Q39" s="1349"/>
      <c r="R39" s="1349"/>
      <c r="S39" s="1349"/>
      <c r="T39" s="1349"/>
      <c r="U39" s="812" t="s">
        <v>11</v>
      </c>
      <c r="V39" s="54"/>
      <c r="W39" s="55"/>
      <c r="X39" s="55"/>
      <c r="Y39" s="55"/>
      <c r="Z39" s="55"/>
      <c r="AA39" s="55"/>
      <c r="AB39" s="55"/>
      <c r="AC39" s="476"/>
      <c r="AD39" s="106"/>
      <c r="AE39" s="106"/>
      <c r="AF39" s="521"/>
      <c r="AG39" s="56"/>
      <c r="AH39" s="743"/>
      <c r="AI39" s="56"/>
      <c r="AJ39" s="191"/>
      <c r="AK39" s="566"/>
      <c r="AL39" s="566"/>
    </row>
    <row r="40" spans="1:123" s="567" customFormat="1" ht="85" thickBot="1">
      <c r="A40" s="558" t="s">
        <v>2</v>
      </c>
      <c r="B40" s="559"/>
      <c r="C40" s="560" t="s">
        <v>830</v>
      </c>
      <c r="D40" s="561" t="s">
        <v>831</v>
      </c>
      <c r="E40" s="827" t="s">
        <v>1218</v>
      </c>
      <c r="F40" s="54" t="s">
        <v>832</v>
      </c>
      <c r="G40" s="424" t="s">
        <v>91</v>
      </c>
      <c r="H40" s="571" t="s">
        <v>100</v>
      </c>
      <c r="I40" s="622" t="s">
        <v>774</v>
      </c>
      <c r="J40" s="621"/>
      <c r="K40" s="607"/>
      <c r="L40" s="609"/>
      <c r="M40" s="1348"/>
      <c r="N40" s="1349"/>
      <c r="O40" s="1349"/>
      <c r="P40" s="1349"/>
      <c r="Q40" s="1349"/>
      <c r="R40" s="1349"/>
      <c r="S40" s="1349"/>
      <c r="T40" s="1349"/>
      <c r="U40" s="812" t="s">
        <v>11</v>
      </c>
      <c r="V40" s="54"/>
      <c r="W40" s="55"/>
      <c r="X40" s="55"/>
      <c r="Y40" s="55"/>
      <c r="Z40" s="55"/>
      <c r="AA40" s="55"/>
      <c r="AB40" s="55"/>
      <c r="AC40" s="476"/>
      <c r="AD40" s="106"/>
      <c r="AE40" s="106"/>
      <c r="AF40" s="521"/>
      <c r="AG40" s="56"/>
      <c r="AH40" s="743"/>
      <c r="AI40" s="56"/>
      <c r="AJ40" s="191"/>
      <c r="AK40" s="566"/>
      <c r="AL40" s="566"/>
    </row>
    <row r="41" spans="1:123" s="567" customFormat="1" ht="36" customHeight="1" thickBot="1">
      <c r="A41" s="558" t="s">
        <v>2</v>
      </c>
      <c r="B41" s="559"/>
      <c r="C41" s="560" t="s">
        <v>833</v>
      </c>
      <c r="D41" s="561" t="s">
        <v>834</v>
      </c>
      <c r="E41" s="1046" t="s">
        <v>1214</v>
      </c>
      <c r="F41" s="54"/>
      <c r="G41" s="424" t="s">
        <v>91</v>
      </c>
      <c r="H41" s="571" t="s">
        <v>100</v>
      </c>
      <c r="I41" s="622" t="s">
        <v>774</v>
      </c>
      <c r="J41" s="621"/>
      <c r="K41" s="623"/>
      <c r="L41" s="624"/>
      <c r="M41" s="1350"/>
      <c r="N41" s="1351"/>
      <c r="O41" s="1351"/>
      <c r="P41" s="1351"/>
      <c r="Q41" s="1351"/>
      <c r="R41" s="1351"/>
      <c r="S41" s="1351"/>
      <c r="T41" s="1351"/>
      <c r="U41" s="813" t="s">
        <v>11</v>
      </c>
      <c r="V41" s="54"/>
      <c r="W41" s="55"/>
      <c r="X41" s="55"/>
      <c r="Y41" s="55"/>
      <c r="Z41" s="55"/>
      <c r="AA41" s="55"/>
      <c r="AB41" s="55"/>
      <c r="AC41" s="476"/>
      <c r="AD41" s="106"/>
      <c r="AE41" s="106"/>
      <c r="AF41" s="521"/>
      <c r="AG41" s="56"/>
      <c r="AH41" s="743"/>
      <c r="AI41" s="56"/>
      <c r="AJ41" s="191"/>
      <c r="AK41" s="566"/>
      <c r="AL41" s="566"/>
    </row>
    <row r="42" spans="1:123" s="200" customFormat="1" ht="26.5" customHeight="1">
      <c r="A42" s="625" t="s">
        <v>3</v>
      </c>
      <c r="B42" s="626"/>
      <c r="C42" s="629"/>
      <c r="D42" s="197" t="s">
        <v>835</v>
      </c>
      <c r="E42" s="575"/>
      <c r="F42" s="1341"/>
      <c r="G42" s="232" t="s">
        <v>93</v>
      </c>
      <c r="H42" s="592" t="s">
        <v>92</v>
      </c>
      <c r="I42" s="1341" t="s">
        <v>836</v>
      </c>
      <c r="J42" s="633" t="s">
        <v>725</v>
      </c>
      <c r="K42" s="723" t="s">
        <v>840</v>
      </c>
      <c r="L42" s="627" t="s">
        <v>837</v>
      </c>
      <c r="M42" s="1342" t="s">
        <v>838</v>
      </c>
      <c r="N42" s="1343"/>
      <c r="O42" s="1343"/>
      <c r="P42" s="1343"/>
      <c r="Q42" s="637"/>
      <c r="R42" s="637"/>
      <c r="S42" s="637"/>
      <c r="T42" s="637"/>
      <c r="U42" s="1159" t="s">
        <v>11</v>
      </c>
      <c r="V42" s="231"/>
      <c r="W42" s="231"/>
      <c r="X42" s="231"/>
      <c r="Y42" s="232"/>
      <c r="Z42" s="231"/>
      <c r="AA42" s="231"/>
      <c r="AB42" s="231"/>
      <c r="AC42" s="233"/>
      <c r="AD42" s="234"/>
      <c r="AE42" s="234"/>
      <c r="AF42" s="478"/>
      <c r="AG42" s="235"/>
      <c r="AH42" s="473"/>
      <c r="AI42" s="235"/>
      <c r="AJ42" s="213"/>
      <c r="AK42" s="628"/>
      <c r="AL42" s="628"/>
    </row>
    <row r="43" spans="1:123" s="567" customFormat="1">
      <c r="A43" s="558"/>
      <c r="B43" s="559"/>
      <c r="C43" s="629"/>
      <c r="D43" s="630"/>
      <c r="E43" s="575"/>
      <c r="F43" s="1341"/>
      <c r="G43" s="232"/>
      <c r="H43" s="592"/>
      <c r="I43" s="1341"/>
      <c r="J43" s="633"/>
      <c r="K43" s="635" t="s">
        <v>839</v>
      </c>
      <c r="L43" s="379"/>
      <c r="M43" s="1303"/>
      <c r="N43" s="1304"/>
      <c r="O43" s="1304"/>
      <c r="P43" s="1344"/>
      <c r="Q43" s="637"/>
      <c r="R43" s="637"/>
      <c r="S43" s="637"/>
      <c r="T43" s="637"/>
      <c r="U43" s="1160"/>
      <c r="V43" s="231"/>
      <c r="W43" s="231"/>
      <c r="X43" s="231"/>
      <c r="Y43" s="232"/>
      <c r="Z43" s="231"/>
      <c r="AA43" s="231"/>
      <c r="AB43" s="231"/>
      <c r="AC43" s="233"/>
      <c r="AD43" s="234"/>
      <c r="AE43" s="234"/>
      <c r="AF43" s="478"/>
      <c r="AG43" s="235"/>
      <c r="AH43" s="473"/>
      <c r="AI43" s="235"/>
      <c r="AJ43" s="213"/>
      <c r="AK43" s="566"/>
      <c r="AL43" s="566"/>
    </row>
    <row r="44" spans="1:123" s="567" customFormat="1" ht="17.5" customHeight="1">
      <c r="A44" s="558"/>
      <c r="B44" s="559"/>
      <c r="C44" s="629"/>
      <c r="D44" s="630"/>
      <c r="E44" s="575"/>
      <c r="F44" s="1341"/>
      <c r="G44" s="232"/>
      <c r="H44" s="592"/>
      <c r="I44" s="1341"/>
      <c r="J44" s="633"/>
      <c r="K44" s="635" t="s">
        <v>839</v>
      </c>
      <c r="L44" s="379"/>
      <c r="M44" s="1303"/>
      <c r="N44" s="1304"/>
      <c r="O44" s="1304"/>
      <c r="P44" s="1344"/>
      <c r="Q44" s="637"/>
      <c r="R44" s="637"/>
      <c r="S44" s="637"/>
      <c r="T44" s="637"/>
      <c r="U44" s="1160"/>
      <c r="V44" s="231"/>
      <c r="W44" s="231"/>
      <c r="X44" s="231"/>
      <c r="Y44" s="232"/>
      <c r="Z44" s="231"/>
      <c r="AA44" s="231"/>
      <c r="AB44" s="231"/>
      <c r="AC44" s="233"/>
      <c r="AD44" s="234"/>
      <c r="AE44" s="234"/>
      <c r="AF44" s="478"/>
      <c r="AG44" s="235"/>
      <c r="AH44" s="473"/>
      <c r="AI44" s="235"/>
      <c r="AJ44" s="213"/>
      <c r="AK44" s="566"/>
      <c r="AL44" s="566"/>
    </row>
    <row r="45" spans="1:123" s="567" customFormat="1">
      <c r="A45" s="558"/>
      <c r="B45" s="559"/>
      <c r="C45" s="629"/>
      <c r="D45" s="630"/>
      <c r="E45" s="575"/>
      <c r="F45" s="1341"/>
      <c r="G45" s="232"/>
      <c r="H45" s="592"/>
      <c r="I45" s="1341"/>
      <c r="J45" s="633"/>
      <c r="K45" s="635" t="s">
        <v>839</v>
      </c>
      <c r="L45" s="379"/>
      <c r="M45" s="1303"/>
      <c r="N45" s="1304"/>
      <c r="O45" s="1304"/>
      <c r="P45" s="1344"/>
      <c r="Q45" s="637"/>
      <c r="R45" s="637"/>
      <c r="S45" s="637"/>
      <c r="T45" s="637"/>
      <c r="U45" s="1160"/>
      <c r="V45" s="231"/>
      <c r="W45" s="231"/>
      <c r="X45" s="231"/>
      <c r="Y45" s="232"/>
      <c r="Z45" s="231"/>
      <c r="AA45" s="231"/>
      <c r="AB45" s="231"/>
      <c r="AC45" s="233"/>
      <c r="AD45" s="234"/>
      <c r="AE45" s="234"/>
      <c r="AF45" s="478"/>
      <c r="AG45" s="235"/>
      <c r="AH45" s="473"/>
      <c r="AI45" s="235"/>
      <c r="AJ45" s="213"/>
      <c r="AK45" s="566"/>
      <c r="AL45" s="566"/>
    </row>
    <row r="46" spans="1:123" s="567" customFormat="1">
      <c r="A46" s="558"/>
      <c r="B46" s="559"/>
      <c r="C46" s="629"/>
      <c r="D46" s="630"/>
      <c r="E46" s="575"/>
      <c r="F46" s="1341"/>
      <c r="G46" s="232"/>
      <c r="H46" s="592"/>
      <c r="I46" s="1341"/>
      <c r="J46" s="633"/>
      <c r="K46" s="635" t="s">
        <v>839</v>
      </c>
      <c r="L46" s="379"/>
      <c r="M46" s="1303"/>
      <c r="N46" s="1304"/>
      <c r="O46" s="1304"/>
      <c r="P46" s="1344"/>
      <c r="Q46" s="637"/>
      <c r="R46" s="637"/>
      <c r="S46" s="637"/>
      <c r="T46" s="637"/>
      <c r="U46" s="1160"/>
      <c r="V46" s="231"/>
      <c r="W46" s="231"/>
      <c r="X46" s="231"/>
      <c r="Y46" s="232"/>
      <c r="Z46" s="231"/>
      <c r="AA46" s="231"/>
      <c r="AB46" s="231"/>
      <c r="AC46" s="233"/>
      <c r="AD46" s="234"/>
      <c r="AE46" s="234"/>
      <c r="AF46" s="478"/>
      <c r="AG46" s="235"/>
      <c r="AH46" s="473"/>
      <c r="AI46" s="235"/>
      <c r="AJ46" s="213"/>
      <c r="AK46" s="566"/>
      <c r="AL46" s="566"/>
    </row>
    <row r="47" spans="1:123" s="567" customFormat="1" ht="18" thickBot="1">
      <c r="A47" s="558"/>
      <c r="B47" s="559"/>
      <c r="C47" s="629"/>
      <c r="D47" s="631"/>
      <c r="E47" s="600"/>
      <c r="F47" s="409"/>
      <c r="G47" s="410"/>
      <c r="H47" s="634"/>
      <c r="I47" s="409"/>
      <c r="J47" s="633"/>
      <c r="K47" s="635" t="s">
        <v>839</v>
      </c>
      <c r="L47" s="379"/>
      <c r="M47" s="1303"/>
      <c r="N47" s="1304"/>
      <c r="O47" s="1304"/>
      <c r="P47" s="1344"/>
      <c r="Q47" s="637"/>
      <c r="R47" s="637"/>
      <c r="S47" s="637"/>
      <c r="T47" s="637"/>
      <c r="U47" s="1160"/>
      <c r="V47" s="231"/>
      <c r="W47" s="231"/>
      <c r="X47" s="231"/>
      <c r="Y47" s="232"/>
      <c r="Z47" s="231"/>
      <c r="AA47" s="231"/>
      <c r="AB47" s="231"/>
      <c r="AC47" s="233"/>
      <c r="AD47" s="234"/>
      <c r="AE47" s="234"/>
      <c r="AF47" s="478"/>
      <c r="AG47" s="235"/>
      <c r="AH47" s="473"/>
      <c r="AI47" s="235"/>
      <c r="AJ47" s="213"/>
      <c r="AK47" s="566"/>
      <c r="AL47" s="566"/>
    </row>
    <row r="48" spans="1:123" s="53" customFormat="1" ht="70">
      <c r="A48" s="236" t="s">
        <v>2</v>
      </c>
      <c r="B48" s="196"/>
      <c r="C48" s="1183" t="s">
        <v>841</v>
      </c>
      <c r="D48" s="1185" t="s">
        <v>729</v>
      </c>
      <c r="E48" s="1046" t="s">
        <v>1214</v>
      </c>
      <c r="F48" s="1187"/>
      <c r="G48" s="240" t="s">
        <v>91</v>
      </c>
      <c r="H48" s="1189" t="s">
        <v>102</v>
      </c>
      <c r="I48" s="1191" t="s">
        <v>730</v>
      </c>
      <c r="J48" s="467" t="s">
        <v>731</v>
      </c>
      <c r="K48" s="500" t="s">
        <v>916</v>
      </c>
      <c r="L48" s="420"/>
      <c r="M48" s="1172"/>
      <c r="N48" s="1173"/>
      <c r="O48" s="1173"/>
      <c r="P48" s="1173"/>
      <c r="Q48" s="1173"/>
      <c r="R48" s="1173"/>
      <c r="S48" s="1173"/>
      <c r="T48" s="1173"/>
      <c r="U48" s="1159" t="s">
        <v>11</v>
      </c>
      <c r="V48" s="54"/>
      <c r="W48" s="54"/>
      <c r="X48" s="54"/>
      <c r="Y48" s="424"/>
      <c r="Z48" s="54"/>
      <c r="AA48" s="54"/>
      <c r="AB48" s="54"/>
      <c r="AC48" s="479"/>
      <c r="AD48" s="480"/>
      <c r="AE48" s="480"/>
      <c r="AF48" s="521"/>
      <c r="AG48" s="56"/>
      <c r="AH48" s="1339"/>
      <c r="AI48" s="56"/>
      <c r="AJ48" s="191"/>
      <c r="AK48" s="52"/>
      <c r="AL48" s="52"/>
    </row>
    <row r="49" spans="1:123" s="53" customFormat="1" ht="42">
      <c r="A49" s="236"/>
      <c r="B49" s="196"/>
      <c r="C49" s="1184"/>
      <c r="D49" s="1186"/>
      <c r="E49" s="397"/>
      <c r="F49" s="1188"/>
      <c r="G49" s="386"/>
      <c r="H49" s="1190"/>
      <c r="I49" s="1192"/>
      <c r="J49" s="356"/>
      <c r="K49" s="388" t="s">
        <v>917</v>
      </c>
      <c r="L49" s="377"/>
      <c r="M49" s="1175"/>
      <c r="N49" s="1176"/>
      <c r="O49" s="1176"/>
      <c r="P49" s="1176"/>
      <c r="Q49" s="1176"/>
      <c r="R49" s="1176"/>
      <c r="S49" s="1176"/>
      <c r="T49" s="1176"/>
      <c r="U49" s="1160"/>
      <c r="V49" s="57"/>
      <c r="W49" s="57"/>
      <c r="X49" s="57"/>
      <c r="Y49" s="198"/>
      <c r="Z49" s="57"/>
      <c r="AA49" s="57"/>
      <c r="AB49" s="57"/>
      <c r="AC49" s="481"/>
      <c r="AD49" s="482"/>
      <c r="AE49" s="482"/>
      <c r="AF49" s="522"/>
      <c r="AG49" s="59"/>
      <c r="AH49" s="1340"/>
      <c r="AI49" s="59"/>
      <c r="AJ49" s="213"/>
      <c r="AK49" s="52"/>
      <c r="AL49" s="52"/>
    </row>
    <row r="50" spans="1:123" s="53" customFormat="1" ht="28">
      <c r="A50" s="236"/>
      <c r="B50" s="196"/>
      <c r="C50" s="1184"/>
      <c r="D50" s="1186"/>
      <c r="E50" s="397"/>
      <c r="F50" s="1188"/>
      <c r="G50" s="386"/>
      <c r="H50" s="1190"/>
      <c r="I50" s="1192"/>
      <c r="J50" s="356"/>
      <c r="K50" s="388" t="s">
        <v>918</v>
      </c>
      <c r="L50" s="377"/>
      <c r="M50" s="1175"/>
      <c r="N50" s="1176"/>
      <c r="O50" s="1176"/>
      <c r="P50" s="1176"/>
      <c r="Q50" s="1176"/>
      <c r="R50" s="1176"/>
      <c r="S50" s="1176"/>
      <c r="T50" s="1176"/>
      <c r="U50" s="1160"/>
      <c r="V50" s="57"/>
      <c r="W50" s="57"/>
      <c r="X50" s="57"/>
      <c r="Y50" s="198"/>
      <c r="Z50" s="57"/>
      <c r="AA50" s="57"/>
      <c r="AB50" s="57"/>
      <c r="AC50" s="481"/>
      <c r="AD50" s="482"/>
      <c r="AE50" s="482"/>
      <c r="AF50" s="522"/>
      <c r="AG50" s="59"/>
      <c r="AH50" s="1340"/>
      <c r="AI50" s="59"/>
      <c r="AJ50" s="213"/>
      <c r="AK50" s="52"/>
      <c r="AL50" s="52"/>
    </row>
    <row r="51" spans="1:123" s="53" customFormat="1">
      <c r="A51" s="236"/>
      <c r="B51" s="196"/>
      <c r="C51" s="1184"/>
      <c r="D51" s="1186"/>
      <c r="E51" s="397"/>
      <c r="F51" s="1188"/>
      <c r="G51" s="386"/>
      <c r="H51" s="1190"/>
      <c r="I51" s="1192"/>
      <c r="J51" s="356"/>
      <c r="K51" s="388" t="s">
        <v>919</v>
      </c>
      <c r="L51" s="377"/>
      <c r="M51" s="1175"/>
      <c r="N51" s="1176"/>
      <c r="O51" s="1176"/>
      <c r="P51" s="1176"/>
      <c r="Q51" s="1176"/>
      <c r="R51" s="1176"/>
      <c r="S51" s="1176"/>
      <c r="T51" s="1176"/>
      <c r="U51" s="1160"/>
      <c r="V51" s="57"/>
      <c r="W51" s="57"/>
      <c r="X51" s="57"/>
      <c r="Y51" s="198"/>
      <c r="Z51" s="57"/>
      <c r="AA51" s="57"/>
      <c r="AB51" s="57"/>
      <c r="AC51" s="481"/>
      <c r="AD51" s="482"/>
      <c r="AE51" s="482"/>
      <c r="AF51" s="522"/>
      <c r="AG51" s="59"/>
      <c r="AH51" s="1340"/>
      <c r="AI51" s="59"/>
      <c r="AJ51" s="213"/>
      <c r="AK51" s="52"/>
      <c r="AL51" s="52"/>
    </row>
    <row r="52" spans="1:123" s="53" customFormat="1" ht="42">
      <c r="A52" s="236"/>
      <c r="B52" s="196"/>
      <c r="C52" s="1184"/>
      <c r="D52" s="1186"/>
      <c r="E52" s="397"/>
      <c r="F52" s="1188"/>
      <c r="G52" s="386"/>
      <c r="H52" s="1190"/>
      <c r="I52" s="1192"/>
      <c r="J52" s="356"/>
      <c r="K52" s="388" t="s">
        <v>920</v>
      </c>
      <c r="L52" s="377"/>
      <c r="M52" s="1175"/>
      <c r="N52" s="1176"/>
      <c r="O52" s="1176"/>
      <c r="P52" s="1176"/>
      <c r="Q52" s="1176"/>
      <c r="R52" s="1176"/>
      <c r="S52" s="1176"/>
      <c r="T52" s="1176"/>
      <c r="U52" s="1160"/>
      <c r="V52" s="57"/>
      <c r="W52" s="57"/>
      <c r="X52" s="57"/>
      <c r="Y52" s="198"/>
      <c r="Z52" s="57"/>
      <c r="AA52" s="57"/>
      <c r="AB52" s="57"/>
      <c r="AC52" s="481"/>
      <c r="AD52" s="482"/>
      <c r="AE52" s="482"/>
      <c r="AF52" s="522"/>
      <c r="AG52" s="59"/>
      <c r="AH52" s="1340"/>
      <c r="AI52" s="59"/>
      <c r="AJ52" s="213"/>
      <c r="AK52" s="52"/>
      <c r="AL52" s="52"/>
    </row>
    <row r="53" spans="1:123" s="53" customFormat="1" ht="28">
      <c r="A53" s="236"/>
      <c r="B53" s="196"/>
      <c r="C53" s="1184"/>
      <c r="D53" s="1186"/>
      <c r="E53" s="397"/>
      <c r="F53" s="1188"/>
      <c r="G53" s="386"/>
      <c r="H53" s="1190"/>
      <c r="I53" s="1192"/>
      <c r="J53" s="356"/>
      <c r="K53" s="389" t="s">
        <v>921</v>
      </c>
      <c r="L53" s="378"/>
      <c r="M53" s="1175"/>
      <c r="N53" s="1176"/>
      <c r="O53" s="1176"/>
      <c r="P53" s="1176"/>
      <c r="Q53" s="1176"/>
      <c r="R53" s="1176"/>
      <c r="S53" s="1176"/>
      <c r="T53" s="1176"/>
      <c r="U53" s="1160"/>
      <c r="V53" s="619"/>
      <c r="W53" s="619"/>
      <c r="X53" s="619"/>
      <c r="Y53" s="587"/>
      <c r="Z53" s="619"/>
      <c r="AA53" s="619"/>
      <c r="AB53" s="619"/>
      <c r="AC53" s="481"/>
      <c r="AD53" s="482"/>
      <c r="AE53" s="482"/>
      <c r="AF53" s="522"/>
      <c r="AG53" s="59"/>
      <c r="AH53" s="1340"/>
      <c r="AI53" s="59"/>
      <c r="AJ53" s="213"/>
      <c r="AK53" s="52"/>
      <c r="AL53" s="52"/>
    </row>
    <row r="54" spans="1:123" s="53" customFormat="1" ht="42">
      <c r="A54" s="236"/>
      <c r="B54" s="196"/>
      <c r="C54" s="1184"/>
      <c r="D54" s="1186"/>
      <c r="E54" s="397"/>
      <c r="F54" s="1188"/>
      <c r="G54" s="386"/>
      <c r="H54" s="1190"/>
      <c r="I54" s="1192"/>
      <c r="J54" s="356"/>
      <c r="K54" s="389" t="s">
        <v>922</v>
      </c>
      <c r="L54" s="378"/>
      <c r="M54" s="1175"/>
      <c r="N54" s="1176"/>
      <c r="O54" s="1176"/>
      <c r="P54" s="1176"/>
      <c r="Q54" s="1176"/>
      <c r="R54" s="1176"/>
      <c r="S54" s="1176"/>
      <c r="T54" s="1176"/>
      <c r="U54" s="1160"/>
      <c r="V54" s="619"/>
      <c r="W54" s="619"/>
      <c r="X54" s="619"/>
      <c r="Y54" s="587"/>
      <c r="Z54" s="619"/>
      <c r="AA54" s="619"/>
      <c r="AB54" s="619"/>
      <c r="AC54" s="481"/>
      <c r="AD54" s="482"/>
      <c r="AE54" s="482"/>
      <c r="AF54" s="522"/>
      <c r="AG54" s="59"/>
      <c r="AH54" s="1340"/>
      <c r="AI54" s="59"/>
      <c r="AJ54" s="213"/>
      <c r="AK54" s="52"/>
      <c r="AL54" s="52"/>
    </row>
    <row r="55" spans="1:123" s="53" customFormat="1" ht="18" thickBot="1">
      <c r="A55" s="236"/>
      <c r="B55" s="196"/>
      <c r="C55" s="1184"/>
      <c r="D55" s="1186"/>
      <c r="E55" s="397"/>
      <c r="F55" s="1188"/>
      <c r="G55" s="386"/>
      <c r="H55" s="1190"/>
      <c r="I55" s="1192"/>
      <c r="J55" s="356"/>
      <c r="K55" s="389" t="s">
        <v>96</v>
      </c>
      <c r="L55" s="378"/>
      <c r="M55" s="1398"/>
      <c r="N55" s="1399"/>
      <c r="O55" s="1399"/>
      <c r="P55" s="1399"/>
      <c r="Q55" s="1399"/>
      <c r="R55" s="1399"/>
      <c r="S55" s="1399"/>
      <c r="T55" s="1399"/>
      <c r="U55" s="1160"/>
      <c r="V55" s="57"/>
      <c r="W55" s="57"/>
      <c r="X55" s="57"/>
      <c r="Y55" s="198"/>
      <c r="Z55" s="57"/>
      <c r="AA55" s="57"/>
      <c r="AB55" s="57"/>
      <c r="AC55" s="481"/>
      <c r="AD55" s="482"/>
      <c r="AE55" s="482"/>
      <c r="AF55" s="522"/>
      <c r="AG55" s="59"/>
      <c r="AH55" s="1340"/>
      <c r="AI55" s="59"/>
      <c r="AJ55" s="213"/>
      <c r="AK55" s="52"/>
      <c r="AL55" s="52"/>
    </row>
    <row r="56" spans="1:123" s="53" customFormat="1" ht="42">
      <c r="A56" s="236" t="s">
        <v>2</v>
      </c>
      <c r="B56" s="196"/>
      <c r="C56" s="425" t="s">
        <v>842</v>
      </c>
      <c r="D56" s="426" t="s">
        <v>843</v>
      </c>
      <c r="E56" s="827" t="s">
        <v>1218</v>
      </c>
      <c r="F56" s="1191" t="s">
        <v>844</v>
      </c>
      <c r="G56" s="424" t="s">
        <v>93</v>
      </c>
      <c r="H56" s="571" t="s">
        <v>92</v>
      </c>
      <c r="I56" s="569" t="s">
        <v>923</v>
      </c>
      <c r="J56" s="467"/>
      <c r="K56" s="759"/>
      <c r="L56" s="768" t="s">
        <v>845</v>
      </c>
      <c r="M56" s="1411" t="s">
        <v>846</v>
      </c>
      <c r="N56" s="1337"/>
      <c r="O56" s="1337" t="s">
        <v>847</v>
      </c>
      <c r="P56" s="1337"/>
      <c r="Q56" s="766" t="s">
        <v>848</v>
      </c>
      <c r="R56" s="1337" t="s">
        <v>847</v>
      </c>
      <c r="S56" s="1337"/>
      <c r="T56" s="767"/>
      <c r="U56" s="1159" t="s">
        <v>11</v>
      </c>
      <c r="V56" s="615"/>
      <c r="W56" s="615"/>
      <c r="X56" s="615"/>
      <c r="Y56" s="424"/>
      <c r="Z56" s="615"/>
      <c r="AA56" s="615"/>
      <c r="AB56" s="615"/>
      <c r="AC56" s="479"/>
      <c r="AD56" s="480"/>
      <c r="AE56" s="480"/>
      <c r="AF56" s="521"/>
      <c r="AG56" s="56"/>
      <c r="AH56" s="527"/>
      <c r="AI56" s="56"/>
      <c r="AJ56" s="191"/>
      <c r="AK56" s="52"/>
      <c r="AL56" s="52"/>
    </row>
    <row r="57" spans="1:123" s="53" customFormat="1">
      <c r="A57" s="236"/>
      <c r="B57" s="196"/>
      <c r="C57" s="818"/>
      <c r="D57" s="387"/>
      <c r="E57" s="397"/>
      <c r="F57" s="1192"/>
      <c r="G57" s="832"/>
      <c r="H57" s="830"/>
      <c r="I57" s="816"/>
      <c r="J57" s="821"/>
      <c r="K57" s="983"/>
      <c r="L57" s="984" t="s">
        <v>849</v>
      </c>
      <c r="M57" s="1412"/>
      <c r="N57" s="1413"/>
      <c r="O57" s="1338"/>
      <c r="P57" s="1338"/>
      <c r="Q57" s="985"/>
      <c r="R57" s="1338"/>
      <c r="S57" s="1338"/>
      <c r="T57" s="986"/>
      <c r="U57" s="1160"/>
      <c r="V57" s="824"/>
      <c r="W57" s="824"/>
      <c r="X57" s="824"/>
      <c r="Y57" s="832"/>
      <c r="Z57" s="824"/>
      <c r="AA57" s="824"/>
      <c r="AB57" s="824"/>
      <c r="AC57" s="481"/>
      <c r="AD57" s="482"/>
      <c r="AE57" s="482"/>
      <c r="AF57" s="522"/>
      <c r="AG57" s="59"/>
      <c r="AH57" s="528"/>
      <c r="AI57" s="59"/>
      <c r="AJ57" s="213"/>
      <c r="AK57" s="52"/>
      <c r="AL57" s="52"/>
    </row>
    <row r="58" spans="1:123" s="567" customFormat="1" ht="18" thickBot="1">
      <c r="A58" s="558"/>
      <c r="B58" s="559"/>
      <c r="C58" s="789"/>
      <c r="D58" s="773"/>
      <c r="E58" s="790"/>
      <c r="F58" s="1202"/>
      <c r="G58" s="918"/>
      <c r="H58" s="915"/>
      <c r="I58" s="919"/>
      <c r="J58" s="917"/>
      <c r="K58" s="856" t="s">
        <v>138</v>
      </c>
      <c r="L58" s="857"/>
      <c r="M58" s="1418"/>
      <c r="N58" s="1419"/>
      <c r="O58" s="1419"/>
      <c r="P58" s="1419"/>
      <c r="Q58" s="1419"/>
      <c r="R58" s="1419"/>
      <c r="S58" s="1419"/>
      <c r="T58" s="1419"/>
      <c r="U58" s="1160"/>
      <c r="V58" s="919"/>
      <c r="W58" s="919"/>
      <c r="X58" s="919"/>
      <c r="Y58" s="918"/>
      <c r="Z58" s="919"/>
      <c r="AA58" s="919"/>
      <c r="AB58" s="919"/>
      <c r="AC58" s="484"/>
      <c r="AD58" s="485"/>
      <c r="AE58" s="485"/>
      <c r="AF58" s="889"/>
      <c r="AG58" s="475"/>
      <c r="AH58" s="648"/>
      <c r="AI58" s="475"/>
      <c r="AJ58" s="422"/>
      <c r="AK58" s="566"/>
      <c r="AL58" s="566"/>
    </row>
    <row r="59" spans="1:123" s="557" customFormat="1" ht="27" customHeight="1" thickBot="1">
      <c r="A59" s="550" t="s">
        <v>34</v>
      </c>
      <c r="B59" s="551" t="s">
        <v>850</v>
      </c>
      <c r="C59" s="552" t="s">
        <v>851</v>
      </c>
      <c r="D59" s="553"/>
      <c r="E59" s="554"/>
      <c r="F59" s="555"/>
      <c r="G59" s="144"/>
      <c r="H59" s="144"/>
      <c r="I59" s="517"/>
      <c r="J59" s="517"/>
      <c r="K59" s="850"/>
      <c r="L59" s="144"/>
      <c r="M59" s="144"/>
      <c r="N59" s="144"/>
      <c r="O59" s="144"/>
      <c r="P59" s="144"/>
      <c r="Q59" s="144"/>
      <c r="R59" s="144"/>
      <c r="S59" s="1002"/>
      <c r="T59" s="1002"/>
      <c r="U59" s="1002"/>
      <c r="V59" s="1002"/>
      <c r="W59" s="1002"/>
      <c r="X59" s="1002"/>
      <c r="Y59" s="1002"/>
      <c r="Z59" s="1002"/>
      <c r="AA59" s="1002"/>
      <c r="AB59" s="1002"/>
      <c r="AC59" s="1002"/>
      <c r="AD59" s="1002"/>
      <c r="AE59" s="1002"/>
      <c r="AF59" s="1002"/>
      <c r="AG59" s="1002"/>
      <c r="AH59" s="1002"/>
      <c r="AI59" s="1002"/>
      <c r="AJ59" s="1002"/>
      <c r="AK59" s="556"/>
      <c r="AL59" s="556"/>
    </row>
    <row r="60" spans="1:123" s="584" customFormat="1" ht="42">
      <c r="A60" s="578" t="s">
        <v>2</v>
      </c>
      <c r="B60" s="559"/>
      <c r="C60" s="702" t="s">
        <v>852</v>
      </c>
      <c r="D60" s="1326" t="s">
        <v>853</v>
      </c>
      <c r="E60" s="1049" t="s">
        <v>1216</v>
      </c>
      <c r="F60" s="1421"/>
      <c r="G60" s="424" t="s">
        <v>91</v>
      </c>
      <c r="H60" s="571" t="s">
        <v>102</v>
      </c>
      <c r="I60" s="569" t="s">
        <v>857</v>
      </c>
      <c r="J60" s="731" t="s">
        <v>854</v>
      </c>
      <c r="K60" s="423" t="s">
        <v>855</v>
      </c>
      <c r="L60" s="703"/>
      <c r="M60" s="1394"/>
      <c r="N60" s="1394"/>
      <c r="O60" s="1394"/>
      <c r="P60" s="1394"/>
      <c r="Q60" s="1394"/>
      <c r="R60" s="1394"/>
      <c r="S60" s="1394"/>
      <c r="T60" s="1395"/>
      <c r="U60" s="1159" t="s">
        <v>11</v>
      </c>
      <c r="V60" s="623"/>
      <c r="W60" s="623"/>
      <c r="X60" s="623"/>
      <c r="Y60" s="623"/>
      <c r="Z60" s="623"/>
      <c r="AA60" s="623"/>
      <c r="AB60" s="623"/>
      <c r="AC60" s="704"/>
      <c r="AD60" s="705"/>
      <c r="AE60" s="705"/>
      <c r="AF60" s="1053"/>
      <c r="AG60" s="706"/>
      <c r="AH60" s="1124"/>
      <c r="AI60" s="707"/>
      <c r="AJ60" s="689"/>
      <c r="AK60" s="565"/>
      <c r="AL60" s="565"/>
      <c r="AM60" s="565"/>
      <c r="AN60" s="565"/>
      <c r="AO60" s="565"/>
      <c r="AP60" s="565"/>
      <c r="AQ60" s="565"/>
      <c r="AR60" s="565"/>
      <c r="AS60" s="565"/>
      <c r="AT60" s="565"/>
      <c r="AU60" s="565"/>
      <c r="AV60" s="565"/>
      <c r="AW60" s="565"/>
      <c r="AX60" s="565"/>
      <c r="AY60" s="565"/>
      <c r="AZ60" s="565"/>
      <c r="BA60" s="565"/>
      <c r="BB60" s="565"/>
      <c r="BC60" s="565"/>
      <c r="BD60" s="565"/>
      <c r="BE60" s="565"/>
      <c r="BF60" s="565"/>
      <c r="BG60" s="565"/>
      <c r="BH60" s="565"/>
      <c r="BI60" s="565"/>
      <c r="BJ60" s="565"/>
      <c r="BK60" s="565"/>
      <c r="BL60" s="565"/>
      <c r="BM60" s="565"/>
      <c r="BN60" s="565"/>
      <c r="BO60" s="565"/>
      <c r="BP60" s="565"/>
      <c r="BQ60" s="565"/>
      <c r="BR60" s="565"/>
      <c r="BS60" s="565"/>
      <c r="BT60" s="565"/>
      <c r="BU60" s="565"/>
      <c r="BV60" s="565"/>
      <c r="BW60" s="565"/>
      <c r="BX60" s="565"/>
      <c r="BY60" s="565"/>
      <c r="BZ60" s="565"/>
      <c r="CA60" s="565"/>
      <c r="CB60" s="565"/>
      <c r="CC60" s="565"/>
      <c r="CD60" s="565"/>
      <c r="CE60" s="565"/>
      <c r="CF60" s="565"/>
      <c r="CG60" s="565"/>
      <c r="CH60" s="565"/>
      <c r="CI60" s="565"/>
      <c r="CJ60" s="565"/>
      <c r="CK60" s="565"/>
      <c r="CL60" s="565"/>
      <c r="CM60" s="565"/>
      <c r="CN60" s="565"/>
      <c r="CO60" s="565"/>
      <c r="CP60" s="565"/>
      <c r="CQ60" s="565"/>
      <c r="CR60" s="565"/>
      <c r="CS60" s="565"/>
      <c r="CT60" s="565"/>
      <c r="CU60" s="565"/>
      <c r="CV60" s="565"/>
      <c r="CW60" s="565"/>
      <c r="CX60" s="565"/>
      <c r="CY60" s="565"/>
      <c r="CZ60" s="565"/>
      <c r="DA60" s="565"/>
      <c r="DB60" s="565"/>
      <c r="DC60" s="565"/>
      <c r="DD60" s="565"/>
      <c r="DE60" s="565"/>
      <c r="DF60" s="565"/>
      <c r="DG60" s="565"/>
      <c r="DH60" s="565"/>
      <c r="DI60" s="565"/>
      <c r="DJ60" s="565"/>
      <c r="DK60" s="565"/>
      <c r="DL60" s="565"/>
      <c r="DM60" s="565"/>
      <c r="DN60" s="565"/>
      <c r="DO60" s="565"/>
      <c r="DP60" s="565"/>
      <c r="DQ60" s="565"/>
      <c r="DR60" s="565"/>
      <c r="DS60" s="565"/>
    </row>
    <row r="61" spans="1:123" s="584" customFormat="1" ht="43" thickBot="1">
      <c r="A61" s="578"/>
      <c r="B61" s="559"/>
      <c r="C61" s="708"/>
      <c r="D61" s="1327"/>
      <c r="E61" s="691"/>
      <c r="F61" s="1422"/>
      <c r="G61" s="709"/>
      <c r="H61" s="710"/>
      <c r="I61" s="709"/>
      <c r="J61" s="732"/>
      <c r="K61" s="711" t="s">
        <v>856</v>
      </c>
      <c r="L61" s="712"/>
      <c r="M61" s="1396"/>
      <c r="N61" s="1396"/>
      <c r="O61" s="1396"/>
      <c r="P61" s="1396"/>
      <c r="Q61" s="1396"/>
      <c r="R61" s="1396"/>
      <c r="S61" s="1396"/>
      <c r="T61" s="1397"/>
      <c r="U61" s="1161"/>
      <c r="V61" s="713"/>
      <c r="W61" s="713"/>
      <c r="X61" s="713"/>
      <c r="Y61" s="713"/>
      <c r="Z61" s="713"/>
      <c r="AA61" s="713"/>
      <c r="AB61" s="713"/>
      <c r="AC61" s="714"/>
      <c r="AD61" s="715"/>
      <c r="AE61" s="715"/>
      <c r="AF61" s="1054"/>
      <c r="AG61" s="716"/>
      <c r="AH61" s="1125"/>
      <c r="AI61" s="717"/>
      <c r="AJ61" s="701"/>
      <c r="AK61" s="565"/>
      <c r="AL61" s="565"/>
      <c r="AM61" s="565"/>
      <c r="AN61" s="565"/>
      <c r="AO61" s="565"/>
      <c r="AP61" s="565"/>
      <c r="AQ61" s="565"/>
      <c r="AR61" s="565"/>
      <c r="AS61" s="565"/>
      <c r="AT61" s="565"/>
      <c r="AU61" s="565"/>
      <c r="AV61" s="565"/>
      <c r="AW61" s="565"/>
      <c r="AX61" s="565"/>
      <c r="AY61" s="565"/>
      <c r="AZ61" s="565"/>
      <c r="BA61" s="565"/>
      <c r="BB61" s="565"/>
      <c r="BC61" s="565"/>
      <c r="BD61" s="565"/>
      <c r="BE61" s="565"/>
      <c r="BF61" s="565"/>
      <c r="BG61" s="565"/>
      <c r="BH61" s="565"/>
      <c r="BI61" s="565"/>
      <c r="BJ61" s="565"/>
      <c r="BK61" s="565"/>
      <c r="BL61" s="565"/>
      <c r="BM61" s="565"/>
      <c r="BN61" s="565"/>
      <c r="BO61" s="565"/>
      <c r="BP61" s="565"/>
      <c r="BQ61" s="565"/>
      <c r="BR61" s="565"/>
      <c r="BS61" s="565"/>
      <c r="BT61" s="565"/>
      <c r="BU61" s="565"/>
      <c r="BV61" s="565"/>
      <c r="BW61" s="565"/>
      <c r="BX61" s="565"/>
      <c r="BY61" s="565"/>
      <c r="BZ61" s="565"/>
      <c r="CA61" s="565"/>
      <c r="CB61" s="565"/>
      <c r="CC61" s="565"/>
      <c r="CD61" s="565"/>
      <c r="CE61" s="565"/>
      <c r="CF61" s="565"/>
      <c r="CG61" s="565"/>
      <c r="CH61" s="565"/>
      <c r="CI61" s="565"/>
      <c r="CJ61" s="565"/>
      <c r="CK61" s="565"/>
      <c r="CL61" s="565"/>
      <c r="CM61" s="565"/>
      <c r="CN61" s="565"/>
      <c r="CO61" s="565"/>
      <c r="CP61" s="565"/>
      <c r="CQ61" s="565"/>
      <c r="CR61" s="565"/>
      <c r="CS61" s="565"/>
      <c r="CT61" s="565"/>
      <c r="CU61" s="565"/>
      <c r="CV61" s="565"/>
      <c r="CW61" s="565"/>
      <c r="CX61" s="565"/>
      <c r="CY61" s="565"/>
      <c r="CZ61" s="565"/>
      <c r="DA61" s="565"/>
      <c r="DB61" s="565"/>
      <c r="DC61" s="565"/>
      <c r="DD61" s="565"/>
      <c r="DE61" s="565"/>
      <c r="DF61" s="565"/>
      <c r="DG61" s="565"/>
      <c r="DH61" s="565"/>
      <c r="DI61" s="565"/>
      <c r="DJ61" s="565"/>
      <c r="DK61" s="565"/>
      <c r="DL61" s="565"/>
      <c r="DM61" s="565"/>
      <c r="DN61" s="565"/>
      <c r="DO61" s="565"/>
      <c r="DP61" s="565"/>
      <c r="DQ61" s="565"/>
      <c r="DR61" s="565"/>
      <c r="DS61" s="565"/>
    </row>
    <row r="62" spans="1:123" s="567" customFormat="1" ht="26.5" customHeight="1">
      <c r="A62" s="558" t="s">
        <v>2</v>
      </c>
      <c r="B62" s="559"/>
      <c r="C62" s="568" t="s">
        <v>858</v>
      </c>
      <c r="D62" s="569" t="s">
        <v>859</v>
      </c>
      <c r="E62" s="1049" t="s">
        <v>1216</v>
      </c>
      <c r="F62" s="1328" t="s">
        <v>864</v>
      </c>
      <c r="G62" s="424" t="s">
        <v>91</v>
      </c>
      <c r="H62" s="571" t="s">
        <v>100</v>
      </c>
      <c r="I62" s="1328" t="s">
        <v>753</v>
      </c>
      <c r="J62" s="572" t="s">
        <v>695</v>
      </c>
      <c r="K62" s="722"/>
      <c r="L62" s="613" t="s">
        <v>744</v>
      </c>
      <c r="M62" s="1209" t="s">
        <v>825</v>
      </c>
      <c r="N62" s="1210"/>
      <c r="O62" s="1331"/>
      <c r="P62" s="1332"/>
      <c r="Q62" s="1332"/>
      <c r="R62" s="1332"/>
      <c r="S62" s="1332"/>
      <c r="T62" s="1332"/>
      <c r="U62" s="1159" t="s">
        <v>11</v>
      </c>
      <c r="V62" s="54"/>
      <c r="W62" s="54"/>
      <c r="X62" s="54"/>
      <c r="Y62" s="424"/>
      <c r="Z62" s="54"/>
      <c r="AA62" s="54"/>
      <c r="AB62" s="54"/>
      <c r="AC62" s="479"/>
      <c r="AD62" s="480"/>
      <c r="AE62" s="480"/>
      <c r="AF62" s="521"/>
      <c r="AG62" s="56"/>
      <c r="AH62" s="527"/>
      <c r="AI62" s="56"/>
      <c r="AJ62" s="191"/>
      <c r="AK62" s="566"/>
      <c r="AL62" s="566"/>
    </row>
    <row r="63" spans="1:123" s="567" customFormat="1">
      <c r="A63" s="558"/>
      <c r="B63" s="559"/>
      <c r="C63" s="573"/>
      <c r="D63" s="574"/>
      <c r="E63" s="575"/>
      <c r="F63" s="1329"/>
      <c r="G63" s="198"/>
      <c r="H63" s="576"/>
      <c r="I63" s="1329"/>
      <c r="J63" s="577"/>
      <c r="K63" s="612" t="s">
        <v>860</v>
      </c>
      <c r="L63" s="377"/>
      <c r="M63" s="1238"/>
      <c r="N63" s="1330"/>
      <c r="O63" s="1333"/>
      <c r="P63" s="1334"/>
      <c r="Q63" s="1334"/>
      <c r="R63" s="1334"/>
      <c r="S63" s="1334"/>
      <c r="T63" s="1334"/>
      <c r="U63" s="1160"/>
      <c r="V63" s="57"/>
      <c r="W63" s="57"/>
      <c r="X63" s="57"/>
      <c r="Y63" s="198"/>
      <c r="Z63" s="57"/>
      <c r="AA63" s="57"/>
      <c r="AB63" s="57"/>
      <c r="AC63" s="481"/>
      <c r="AD63" s="482"/>
      <c r="AE63" s="482"/>
      <c r="AF63" s="522"/>
      <c r="AG63" s="59"/>
      <c r="AH63" s="528"/>
      <c r="AI63" s="59"/>
      <c r="AJ63" s="213"/>
      <c r="AK63" s="566"/>
      <c r="AL63" s="566"/>
    </row>
    <row r="64" spans="1:123" s="567" customFormat="1" ht="17.5" customHeight="1">
      <c r="A64" s="558"/>
      <c r="B64" s="559"/>
      <c r="C64" s="573"/>
      <c r="D64" s="574"/>
      <c r="E64" s="575"/>
      <c r="F64" s="1329"/>
      <c r="G64" s="198"/>
      <c r="H64" s="576"/>
      <c r="I64" s="1329"/>
      <c r="J64" s="577"/>
      <c r="K64" s="612" t="s">
        <v>861</v>
      </c>
      <c r="L64" s="377"/>
      <c r="M64" s="1238"/>
      <c r="N64" s="1330"/>
      <c r="O64" s="1333"/>
      <c r="P64" s="1334"/>
      <c r="Q64" s="1334"/>
      <c r="R64" s="1334"/>
      <c r="S64" s="1334"/>
      <c r="T64" s="1334"/>
      <c r="U64" s="1160"/>
      <c r="V64" s="57"/>
      <c r="W64" s="57"/>
      <c r="X64" s="57"/>
      <c r="Y64" s="198"/>
      <c r="Z64" s="57"/>
      <c r="AA64" s="57"/>
      <c r="AB64" s="57"/>
      <c r="AC64" s="481"/>
      <c r="AD64" s="482"/>
      <c r="AE64" s="482"/>
      <c r="AF64" s="522"/>
      <c r="AG64" s="59"/>
      <c r="AH64" s="528"/>
      <c r="AI64" s="59"/>
      <c r="AJ64" s="213"/>
      <c r="AK64" s="566"/>
      <c r="AL64" s="566"/>
    </row>
    <row r="65" spans="1:123" s="567" customFormat="1">
      <c r="A65" s="558"/>
      <c r="B65" s="559"/>
      <c r="C65" s="573"/>
      <c r="D65" s="574"/>
      <c r="E65" s="575"/>
      <c r="F65" s="1329"/>
      <c r="G65" s="198"/>
      <c r="H65" s="576"/>
      <c r="I65" s="1329"/>
      <c r="J65" s="577"/>
      <c r="K65" s="612" t="s">
        <v>790</v>
      </c>
      <c r="L65" s="377"/>
      <c r="M65" s="1238"/>
      <c r="N65" s="1330"/>
      <c r="O65" s="1333"/>
      <c r="P65" s="1334"/>
      <c r="Q65" s="1334"/>
      <c r="R65" s="1334"/>
      <c r="S65" s="1334"/>
      <c r="T65" s="1334"/>
      <c r="U65" s="1160"/>
      <c r="V65" s="57"/>
      <c r="W65" s="57"/>
      <c r="X65" s="57"/>
      <c r="Y65" s="198"/>
      <c r="Z65" s="57"/>
      <c r="AA65" s="57"/>
      <c r="AB65" s="57"/>
      <c r="AC65" s="481"/>
      <c r="AD65" s="482"/>
      <c r="AE65" s="482"/>
      <c r="AF65" s="522"/>
      <c r="AG65" s="59"/>
      <c r="AH65" s="528"/>
      <c r="AI65" s="59"/>
      <c r="AJ65" s="213"/>
      <c r="AK65" s="566"/>
      <c r="AL65" s="566"/>
    </row>
    <row r="66" spans="1:123" s="567" customFormat="1">
      <c r="A66" s="558"/>
      <c r="B66" s="559"/>
      <c r="C66" s="573"/>
      <c r="D66" s="574"/>
      <c r="E66" s="575"/>
      <c r="F66" s="1329"/>
      <c r="G66" s="198"/>
      <c r="H66" s="576"/>
      <c r="I66" s="1329"/>
      <c r="J66" s="577"/>
      <c r="K66" s="612" t="s">
        <v>791</v>
      </c>
      <c r="L66" s="377"/>
      <c r="M66" s="1238"/>
      <c r="N66" s="1330"/>
      <c r="O66" s="1333"/>
      <c r="P66" s="1334"/>
      <c r="Q66" s="1334"/>
      <c r="R66" s="1334"/>
      <c r="S66" s="1334"/>
      <c r="T66" s="1334"/>
      <c r="U66" s="1160"/>
      <c r="V66" s="57"/>
      <c r="W66" s="57"/>
      <c r="X66" s="57"/>
      <c r="Y66" s="198"/>
      <c r="Z66" s="57"/>
      <c r="AA66" s="57"/>
      <c r="AB66" s="57"/>
      <c r="AC66" s="481"/>
      <c r="AD66" s="482"/>
      <c r="AE66" s="482"/>
      <c r="AF66" s="522"/>
      <c r="AG66" s="59"/>
      <c r="AH66" s="528"/>
      <c r="AI66" s="59"/>
      <c r="AJ66" s="213"/>
      <c r="AK66" s="566"/>
      <c r="AL66" s="566"/>
    </row>
    <row r="67" spans="1:123" s="567" customFormat="1" ht="18" thickBot="1">
      <c r="A67" s="558"/>
      <c r="B67" s="559"/>
      <c r="C67" s="573"/>
      <c r="D67" s="574"/>
      <c r="E67" s="575"/>
      <c r="F67" s="57"/>
      <c r="G67" s="198"/>
      <c r="H67" s="576"/>
      <c r="I67" s="57"/>
      <c r="J67" s="577"/>
      <c r="K67" s="612" t="s">
        <v>862</v>
      </c>
      <c r="L67" s="377"/>
      <c r="M67" s="1238"/>
      <c r="N67" s="1330"/>
      <c r="O67" s="1335"/>
      <c r="P67" s="1336"/>
      <c r="Q67" s="1336"/>
      <c r="R67" s="1336"/>
      <c r="S67" s="1336"/>
      <c r="T67" s="1336"/>
      <c r="U67" s="1160"/>
      <c r="V67" s="57"/>
      <c r="W67" s="57"/>
      <c r="X67" s="57"/>
      <c r="Y67" s="198"/>
      <c r="Z67" s="57"/>
      <c r="AA67" s="57"/>
      <c r="AB67" s="57"/>
      <c r="AC67" s="481"/>
      <c r="AD67" s="482"/>
      <c r="AE67" s="482"/>
      <c r="AF67" s="522"/>
      <c r="AG67" s="59"/>
      <c r="AH67" s="528"/>
      <c r="AI67" s="59"/>
      <c r="AJ67" s="213"/>
      <c r="AK67" s="566"/>
      <c r="AL67" s="566"/>
    </row>
    <row r="68" spans="1:123" s="584" customFormat="1" ht="20" customHeight="1">
      <c r="A68" s="578" t="s">
        <v>3</v>
      </c>
      <c r="B68" s="559"/>
      <c r="C68" s="1320"/>
      <c r="D68" s="1321" t="s">
        <v>863</v>
      </c>
      <c r="E68" s="618"/>
      <c r="F68" s="616"/>
      <c r="G68" s="1322" t="s">
        <v>91</v>
      </c>
      <c r="H68" s="592" t="s">
        <v>94</v>
      </c>
      <c r="I68" s="1321" t="s">
        <v>793</v>
      </c>
      <c r="J68" s="1325" t="s">
        <v>731</v>
      </c>
      <c r="K68" s="583" t="s">
        <v>95</v>
      </c>
      <c r="L68" s="532"/>
      <c r="M68" s="1358"/>
      <c r="N68" s="1358"/>
      <c r="O68" s="1358"/>
      <c r="P68" s="1358"/>
      <c r="Q68" s="1358"/>
      <c r="R68" s="1358"/>
      <c r="S68" s="1358"/>
      <c r="T68" s="1359"/>
      <c r="U68" s="1160" t="s">
        <v>11</v>
      </c>
      <c r="V68" s="591"/>
      <c r="W68" s="533"/>
      <c r="X68" s="533"/>
      <c r="Y68" s="533"/>
      <c r="Z68" s="533"/>
      <c r="AA68" s="533"/>
      <c r="AB68" s="533"/>
      <c r="AC68" s="534"/>
      <c r="AD68" s="535"/>
      <c r="AE68" s="535"/>
      <c r="AF68" s="1317"/>
      <c r="AG68" s="536"/>
      <c r="AH68" s="742"/>
      <c r="AI68" s="537"/>
      <c r="AJ68" s="538"/>
      <c r="AK68" s="565"/>
      <c r="AL68" s="565"/>
      <c r="AM68" s="565"/>
      <c r="AN68" s="565"/>
      <c r="AO68" s="565"/>
      <c r="AP68" s="565"/>
      <c r="AQ68" s="565"/>
      <c r="AR68" s="565"/>
      <c r="AS68" s="565"/>
      <c r="AT68" s="565"/>
      <c r="AU68" s="565"/>
      <c r="AV68" s="565"/>
      <c r="AW68" s="565"/>
      <c r="AX68" s="565"/>
      <c r="AY68" s="565"/>
      <c r="AZ68" s="565"/>
      <c r="BA68" s="565"/>
      <c r="BB68" s="565"/>
      <c r="BC68" s="565"/>
      <c r="BD68" s="565"/>
      <c r="BE68" s="565"/>
      <c r="BF68" s="565"/>
      <c r="BG68" s="565"/>
      <c r="BH68" s="565"/>
      <c r="BI68" s="565"/>
      <c r="BJ68" s="565"/>
      <c r="BK68" s="565"/>
      <c r="BL68" s="565"/>
      <c r="BM68" s="565"/>
      <c r="BN68" s="565"/>
      <c r="BO68" s="565"/>
      <c r="BP68" s="565"/>
      <c r="BQ68" s="565"/>
      <c r="BR68" s="565"/>
      <c r="BS68" s="565"/>
      <c r="BT68" s="565"/>
      <c r="BU68" s="565"/>
      <c r="BV68" s="565"/>
      <c r="BW68" s="565"/>
      <c r="BX68" s="565"/>
      <c r="BY68" s="565"/>
      <c r="BZ68" s="565"/>
      <c r="CA68" s="565"/>
      <c r="CB68" s="565"/>
      <c r="CC68" s="565"/>
      <c r="CD68" s="565"/>
      <c r="CE68" s="565"/>
      <c r="CF68" s="565"/>
      <c r="CG68" s="565"/>
      <c r="CH68" s="565"/>
      <c r="CI68" s="565"/>
      <c r="CJ68" s="565"/>
      <c r="CK68" s="565"/>
      <c r="CL68" s="565"/>
      <c r="CM68" s="565"/>
      <c r="CN68" s="565"/>
      <c r="CO68" s="565"/>
      <c r="CP68" s="565"/>
      <c r="CQ68" s="565"/>
      <c r="CR68" s="565"/>
      <c r="CS68" s="565"/>
      <c r="CT68" s="565"/>
      <c r="CU68" s="565"/>
      <c r="CV68" s="565"/>
      <c r="CW68" s="565"/>
      <c r="CX68" s="565"/>
      <c r="CY68" s="565"/>
      <c r="CZ68" s="565"/>
      <c r="DA68" s="565"/>
      <c r="DB68" s="565"/>
      <c r="DC68" s="565"/>
      <c r="DD68" s="565"/>
      <c r="DE68" s="565"/>
      <c r="DF68" s="565"/>
      <c r="DG68" s="565"/>
      <c r="DH68" s="565"/>
      <c r="DI68" s="565"/>
      <c r="DJ68" s="565"/>
      <c r="DK68" s="565"/>
      <c r="DL68" s="565"/>
      <c r="DM68" s="565"/>
      <c r="DN68" s="565"/>
      <c r="DO68" s="565"/>
      <c r="DP68" s="565"/>
      <c r="DQ68" s="565"/>
      <c r="DR68" s="565"/>
      <c r="DS68" s="565"/>
    </row>
    <row r="69" spans="1:123" s="584" customFormat="1" ht="20" customHeight="1">
      <c r="A69" s="578"/>
      <c r="B69" s="559"/>
      <c r="C69" s="1320"/>
      <c r="D69" s="1321"/>
      <c r="E69" s="618"/>
      <c r="F69" s="616"/>
      <c r="G69" s="1323"/>
      <c r="H69" s="365"/>
      <c r="I69" s="1321"/>
      <c r="J69" s="1325"/>
      <c r="K69" s="585" t="s">
        <v>794</v>
      </c>
      <c r="L69" s="532"/>
      <c r="M69" s="1358"/>
      <c r="N69" s="1358"/>
      <c r="O69" s="1358"/>
      <c r="P69" s="1358"/>
      <c r="Q69" s="1358"/>
      <c r="R69" s="1358"/>
      <c r="S69" s="1358"/>
      <c r="T69" s="1359"/>
      <c r="U69" s="1160"/>
      <c r="V69" s="591"/>
      <c r="W69" s="533"/>
      <c r="X69" s="533"/>
      <c r="Y69" s="533"/>
      <c r="Z69" s="533"/>
      <c r="AA69" s="533"/>
      <c r="AB69" s="533"/>
      <c r="AC69" s="534"/>
      <c r="AD69" s="535"/>
      <c r="AE69" s="535"/>
      <c r="AF69" s="1317"/>
      <c r="AG69" s="536"/>
      <c r="AH69" s="742"/>
      <c r="AI69" s="537"/>
      <c r="AJ69" s="538"/>
      <c r="AK69" s="565"/>
      <c r="AL69" s="565"/>
      <c r="AM69" s="565"/>
      <c r="AN69" s="565"/>
      <c r="AO69" s="565"/>
      <c r="AP69" s="565"/>
      <c r="AQ69" s="565"/>
      <c r="AR69" s="565"/>
      <c r="AS69" s="565"/>
      <c r="AT69" s="565"/>
      <c r="AU69" s="565"/>
      <c r="AV69" s="565"/>
      <c r="AW69" s="565"/>
      <c r="AX69" s="565"/>
      <c r="AY69" s="565"/>
      <c r="AZ69" s="565"/>
      <c r="BA69" s="565"/>
      <c r="BB69" s="565"/>
      <c r="BC69" s="565"/>
      <c r="BD69" s="565"/>
      <c r="BE69" s="565"/>
      <c r="BF69" s="565"/>
      <c r="BG69" s="565"/>
      <c r="BH69" s="565"/>
      <c r="BI69" s="565"/>
      <c r="BJ69" s="565"/>
      <c r="BK69" s="565"/>
      <c r="BL69" s="565"/>
      <c r="BM69" s="565"/>
      <c r="BN69" s="565"/>
      <c r="BO69" s="565"/>
      <c r="BP69" s="565"/>
      <c r="BQ69" s="565"/>
      <c r="BR69" s="565"/>
      <c r="BS69" s="565"/>
      <c r="BT69" s="565"/>
      <c r="BU69" s="565"/>
      <c r="BV69" s="565"/>
      <c r="BW69" s="565"/>
      <c r="BX69" s="565"/>
      <c r="BY69" s="565"/>
      <c r="BZ69" s="565"/>
      <c r="CA69" s="565"/>
      <c r="CB69" s="565"/>
      <c r="CC69" s="565"/>
      <c r="CD69" s="565"/>
      <c r="CE69" s="565"/>
      <c r="CF69" s="565"/>
      <c r="CG69" s="565"/>
      <c r="CH69" s="565"/>
      <c r="CI69" s="565"/>
      <c r="CJ69" s="565"/>
      <c r="CK69" s="565"/>
      <c r="CL69" s="565"/>
      <c r="CM69" s="565"/>
      <c r="CN69" s="565"/>
      <c r="CO69" s="565"/>
      <c r="CP69" s="565"/>
      <c r="CQ69" s="565"/>
      <c r="CR69" s="565"/>
      <c r="CS69" s="565"/>
      <c r="CT69" s="565"/>
      <c r="CU69" s="565"/>
      <c r="CV69" s="565"/>
      <c r="CW69" s="565"/>
      <c r="CX69" s="565"/>
      <c r="CY69" s="565"/>
      <c r="CZ69" s="565"/>
      <c r="DA69" s="565"/>
      <c r="DB69" s="565"/>
      <c r="DC69" s="565"/>
      <c r="DD69" s="565"/>
      <c r="DE69" s="565"/>
      <c r="DF69" s="565"/>
      <c r="DG69" s="565"/>
      <c r="DH69" s="565"/>
      <c r="DI69" s="565"/>
      <c r="DJ69" s="565"/>
      <c r="DK69" s="565"/>
      <c r="DL69" s="565"/>
      <c r="DM69" s="565"/>
      <c r="DN69" s="565"/>
      <c r="DO69" s="565"/>
      <c r="DP69" s="565"/>
      <c r="DQ69" s="565"/>
      <c r="DR69" s="565"/>
      <c r="DS69" s="565"/>
    </row>
    <row r="70" spans="1:123" s="584" customFormat="1" ht="28">
      <c r="A70" s="578"/>
      <c r="B70" s="559"/>
      <c r="C70" s="1320"/>
      <c r="D70" s="1321"/>
      <c r="E70" s="618"/>
      <c r="F70" s="616"/>
      <c r="G70" s="1323"/>
      <c r="H70" s="365"/>
      <c r="I70" s="1321"/>
      <c r="J70" s="1325"/>
      <c r="K70" s="585" t="s">
        <v>693</v>
      </c>
      <c r="L70" s="532"/>
      <c r="M70" s="1358"/>
      <c r="N70" s="1358"/>
      <c r="O70" s="1358"/>
      <c r="P70" s="1358"/>
      <c r="Q70" s="1358"/>
      <c r="R70" s="1358"/>
      <c r="S70" s="1358"/>
      <c r="T70" s="1359"/>
      <c r="U70" s="1160"/>
      <c r="V70" s="591"/>
      <c r="W70" s="533"/>
      <c r="X70" s="533"/>
      <c r="Y70" s="533"/>
      <c r="Z70" s="533"/>
      <c r="AA70" s="533"/>
      <c r="AB70" s="533"/>
      <c r="AC70" s="534"/>
      <c r="AD70" s="535"/>
      <c r="AE70" s="535"/>
      <c r="AF70" s="1317"/>
      <c r="AG70" s="536"/>
      <c r="AH70" s="742"/>
      <c r="AI70" s="537"/>
      <c r="AJ70" s="538"/>
      <c r="AK70" s="565"/>
      <c r="AL70" s="565"/>
      <c r="AM70" s="565"/>
      <c r="AN70" s="565"/>
      <c r="AO70" s="565"/>
      <c r="AP70" s="565"/>
      <c r="AQ70" s="565"/>
      <c r="AR70" s="565"/>
      <c r="AS70" s="565"/>
      <c r="AT70" s="565"/>
      <c r="AU70" s="565"/>
      <c r="AV70" s="565"/>
      <c r="AW70" s="565"/>
      <c r="AX70" s="565"/>
      <c r="AY70" s="565"/>
      <c r="AZ70" s="565"/>
      <c r="BA70" s="565"/>
      <c r="BB70" s="565"/>
      <c r="BC70" s="565"/>
      <c r="BD70" s="565"/>
      <c r="BE70" s="565"/>
      <c r="BF70" s="565"/>
      <c r="BG70" s="565"/>
      <c r="BH70" s="565"/>
      <c r="BI70" s="565"/>
      <c r="BJ70" s="565"/>
      <c r="BK70" s="565"/>
      <c r="BL70" s="565"/>
      <c r="BM70" s="565"/>
      <c r="BN70" s="565"/>
      <c r="BO70" s="565"/>
      <c r="BP70" s="565"/>
      <c r="BQ70" s="565"/>
      <c r="BR70" s="565"/>
      <c r="BS70" s="565"/>
      <c r="BT70" s="565"/>
      <c r="BU70" s="565"/>
      <c r="BV70" s="565"/>
      <c r="BW70" s="565"/>
      <c r="BX70" s="565"/>
      <c r="BY70" s="565"/>
      <c r="BZ70" s="565"/>
      <c r="CA70" s="565"/>
      <c r="CB70" s="565"/>
      <c r="CC70" s="565"/>
      <c r="CD70" s="565"/>
      <c r="CE70" s="565"/>
      <c r="CF70" s="565"/>
      <c r="CG70" s="565"/>
      <c r="CH70" s="565"/>
      <c r="CI70" s="565"/>
      <c r="CJ70" s="565"/>
      <c r="CK70" s="565"/>
      <c r="CL70" s="565"/>
      <c r="CM70" s="565"/>
      <c r="CN70" s="565"/>
      <c r="CO70" s="565"/>
      <c r="CP70" s="565"/>
      <c r="CQ70" s="565"/>
      <c r="CR70" s="565"/>
      <c r="CS70" s="565"/>
      <c r="CT70" s="565"/>
      <c r="CU70" s="565"/>
      <c r="CV70" s="565"/>
      <c r="CW70" s="565"/>
      <c r="CX70" s="565"/>
      <c r="CY70" s="565"/>
      <c r="CZ70" s="565"/>
      <c r="DA70" s="565"/>
      <c r="DB70" s="565"/>
      <c r="DC70" s="565"/>
      <c r="DD70" s="565"/>
      <c r="DE70" s="565"/>
      <c r="DF70" s="565"/>
      <c r="DG70" s="565"/>
      <c r="DH70" s="565"/>
      <c r="DI70" s="565"/>
      <c r="DJ70" s="565"/>
      <c r="DK70" s="565"/>
      <c r="DL70" s="565"/>
      <c r="DM70" s="565"/>
      <c r="DN70" s="565"/>
      <c r="DO70" s="565"/>
      <c r="DP70" s="565"/>
      <c r="DQ70" s="565"/>
      <c r="DR70" s="565"/>
      <c r="DS70" s="565"/>
    </row>
    <row r="71" spans="1:123" s="584" customFormat="1" ht="20" customHeight="1" thickBot="1">
      <c r="A71" s="578"/>
      <c r="B71" s="559"/>
      <c r="C71" s="1320"/>
      <c r="D71" s="1321"/>
      <c r="E71" s="618"/>
      <c r="F71" s="616"/>
      <c r="G71" s="1324"/>
      <c r="H71" s="365"/>
      <c r="I71" s="1321"/>
      <c r="J71" s="1325"/>
      <c r="K71" s="593" t="s">
        <v>96</v>
      </c>
      <c r="L71" s="532"/>
      <c r="M71" s="1318"/>
      <c r="N71" s="1318"/>
      <c r="O71" s="1318"/>
      <c r="P71" s="1318"/>
      <c r="Q71" s="1318"/>
      <c r="R71" s="1318"/>
      <c r="S71" s="1318"/>
      <c r="T71" s="1319"/>
      <c r="U71" s="1161"/>
      <c r="V71" s="591"/>
      <c r="W71" s="533"/>
      <c r="X71" s="533"/>
      <c r="Y71" s="533"/>
      <c r="Z71" s="533"/>
      <c r="AA71" s="533"/>
      <c r="AB71" s="533"/>
      <c r="AC71" s="534"/>
      <c r="AD71" s="535"/>
      <c r="AE71" s="535"/>
      <c r="AF71" s="1317"/>
      <c r="AG71" s="536"/>
      <c r="AH71" s="742"/>
      <c r="AI71" s="537"/>
      <c r="AJ71" s="538"/>
      <c r="AK71" s="565"/>
      <c r="AL71" s="565"/>
      <c r="AM71" s="565"/>
      <c r="AN71" s="565"/>
      <c r="AO71" s="565"/>
      <c r="AP71" s="565"/>
      <c r="AQ71" s="565"/>
      <c r="AR71" s="565"/>
      <c r="AS71" s="565"/>
      <c r="AT71" s="565"/>
      <c r="AU71" s="565"/>
      <c r="AV71" s="565"/>
      <c r="AW71" s="565"/>
      <c r="AX71" s="565"/>
      <c r="AY71" s="565"/>
      <c r="AZ71" s="565"/>
      <c r="BA71" s="565"/>
      <c r="BB71" s="565"/>
      <c r="BC71" s="565"/>
      <c r="BD71" s="565"/>
      <c r="BE71" s="565"/>
      <c r="BF71" s="565"/>
      <c r="BG71" s="565"/>
      <c r="BH71" s="565"/>
      <c r="BI71" s="565"/>
      <c r="BJ71" s="565"/>
      <c r="BK71" s="565"/>
      <c r="BL71" s="565"/>
      <c r="BM71" s="565"/>
      <c r="BN71" s="565"/>
      <c r="BO71" s="565"/>
      <c r="BP71" s="565"/>
      <c r="BQ71" s="565"/>
      <c r="BR71" s="565"/>
      <c r="BS71" s="565"/>
      <c r="BT71" s="565"/>
      <c r="BU71" s="565"/>
      <c r="BV71" s="565"/>
      <c r="BW71" s="565"/>
      <c r="BX71" s="565"/>
      <c r="BY71" s="565"/>
      <c r="BZ71" s="565"/>
      <c r="CA71" s="565"/>
      <c r="CB71" s="565"/>
      <c r="CC71" s="565"/>
      <c r="CD71" s="565"/>
      <c r="CE71" s="565"/>
      <c r="CF71" s="565"/>
      <c r="CG71" s="565"/>
      <c r="CH71" s="565"/>
      <c r="CI71" s="565"/>
      <c r="CJ71" s="565"/>
      <c r="CK71" s="565"/>
      <c r="CL71" s="565"/>
      <c r="CM71" s="565"/>
      <c r="CN71" s="565"/>
      <c r="CO71" s="565"/>
      <c r="CP71" s="565"/>
      <c r="CQ71" s="565"/>
      <c r="CR71" s="565"/>
      <c r="CS71" s="565"/>
      <c r="CT71" s="565"/>
      <c r="CU71" s="565"/>
      <c r="CV71" s="565"/>
      <c r="CW71" s="565"/>
      <c r="CX71" s="565"/>
      <c r="CY71" s="565"/>
      <c r="CZ71" s="565"/>
      <c r="DA71" s="565"/>
      <c r="DB71" s="565"/>
      <c r="DC71" s="565"/>
      <c r="DD71" s="565"/>
      <c r="DE71" s="565"/>
      <c r="DF71" s="565"/>
      <c r="DG71" s="565"/>
      <c r="DH71" s="565"/>
      <c r="DI71" s="565"/>
      <c r="DJ71" s="565"/>
      <c r="DK71" s="565"/>
      <c r="DL71" s="565"/>
      <c r="DM71" s="565"/>
      <c r="DN71" s="565"/>
      <c r="DO71" s="565"/>
      <c r="DP71" s="565"/>
      <c r="DQ71" s="565"/>
      <c r="DR71" s="565"/>
      <c r="DS71" s="565"/>
    </row>
    <row r="72" spans="1:123" s="53" customFormat="1" ht="28">
      <c r="A72" s="236" t="s">
        <v>2</v>
      </c>
      <c r="B72" s="196"/>
      <c r="C72" s="1183" t="s">
        <v>865</v>
      </c>
      <c r="D72" s="1185" t="s">
        <v>866</v>
      </c>
      <c r="E72" s="1049" t="s">
        <v>1216</v>
      </c>
      <c r="F72" s="1187"/>
      <c r="G72" s="240" t="s">
        <v>91</v>
      </c>
      <c r="H72" s="1189" t="s">
        <v>102</v>
      </c>
      <c r="I72" s="1191" t="s">
        <v>867</v>
      </c>
      <c r="J72" s="467" t="s">
        <v>731</v>
      </c>
      <c r="K72" s="500" t="s">
        <v>868</v>
      </c>
      <c r="L72" s="420"/>
      <c r="M72" s="1172"/>
      <c r="N72" s="1173"/>
      <c r="O72" s="1173"/>
      <c r="P72" s="1173"/>
      <c r="Q72" s="1173"/>
      <c r="R72" s="1173"/>
      <c r="S72" s="1173"/>
      <c r="T72" s="1173"/>
      <c r="U72" s="1159" t="s">
        <v>11</v>
      </c>
      <c r="V72" s="54"/>
      <c r="W72" s="54"/>
      <c r="X72" s="54"/>
      <c r="Y72" s="424"/>
      <c r="Z72" s="54"/>
      <c r="AA72" s="54"/>
      <c r="AB72" s="54"/>
      <c r="AC72" s="479"/>
      <c r="AD72" s="480"/>
      <c r="AE72" s="480"/>
      <c r="AF72" s="521"/>
      <c r="AG72" s="56"/>
      <c r="AH72" s="1162" t="s">
        <v>779</v>
      </c>
      <c r="AI72" s="56"/>
      <c r="AJ72" s="191"/>
      <c r="AK72" s="52"/>
      <c r="AL72" s="52"/>
    </row>
    <row r="73" spans="1:123" s="53" customFormat="1" ht="28">
      <c r="A73" s="236"/>
      <c r="B73" s="196"/>
      <c r="C73" s="1184"/>
      <c r="D73" s="1186"/>
      <c r="E73" s="397"/>
      <c r="F73" s="1188"/>
      <c r="G73" s="386"/>
      <c r="H73" s="1190"/>
      <c r="I73" s="1192"/>
      <c r="J73" s="356"/>
      <c r="K73" s="388" t="s">
        <v>869</v>
      </c>
      <c r="L73" s="377"/>
      <c r="M73" s="1175"/>
      <c r="N73" s="1176"/>
      <c r="O73" s="1176"/>
      <c r="P73" s="1176"/>
      <c r="Q73" s="1176"/>
      <c r="R73" s="1176"/>
      <c r="S73" s="1176"/>
      <c r="T73" s="1176"/>
      <c r="U73" s="1160"/>
      <c r="V73" s="57"/>
      <c r="W73" s="57"/>
      <c r="X73" s="57"/>
      <c r="Y73" s="198"/>
      <c r="Z73" s="57"/>
      <c r="AA73" s="57"/>
      <c r="AB73" s="57"/>
      <c r="AC73" s="481"/>
      <c r="AD73" s="482"/>
      <c r="AE73" s="482"/>
      <c r="AF73" s="522"/>
      <c r="AG73" s="59"/>
      <c r="AH73" s="1163"/>
      <c r="AI73" s="59"/>
      <c r="AJ73" s="213"/>
      <c r="AK73" s="52"/>
      <c r="AL73" s="52"/>
    </row>
    <row r="74" spans="1:123" s="53" customFormat="1" ht="28">
      <c r="A74" s="236"/>
      <c r="B74" s="196"/>
      <c r="C74" s="1184"/>
      <c r="D74" s="1186"/>
      <c r="E74" s="397"/>
      <c r="F74" s="1188"/>
      <c r="G74" s="386"/>
      <c r="H74" s="1190"/>
      <c r="I74" s="1192"/>
      <c r="J74" s="356"/>
      <c r="K74" s="388" t="s">
        <v>870</v>
      </c>
      <c r="L74" s="377"/>
      <c r="M74" s="1175"/>
      <c r="N74" s="1176"/>
      <c r="O74" s="1176"/>
      <c r="P74" s="1176"/>
      <c r="Q74" s="1176"/>
      <c r="R74" s="1176"/>
      <c r="S74" s="1176"/>
      <c r="T74" s="1176"/>
      <c r="U74" s="1160"/>
      <c r="V74" s="57"/>
      <c r="W74" s="57"/>
      <c r="X74" s="57"/>
      <c r="Y74" s="198"/>
      <c r="Z74" s="57"/>
      <c r="AA74" s="57"/>
      <c r="AB74" s="57"/>
      <c r="AC74" s="481"/>
      <c r="AD74" s="482"/>
      <c r="AE74" s="482"/>
      <c r="AF74" s="522"/>
      <c r="AG74" s="59"/>
      <c r="AH74" s="1163"/>
      <c r="AI74" s="59"/>
      <c r="AJ74" s="213"/>
      <c r="AK74" s="52"/>
      <c r="AL74" s="52"/>
    </row>
    <row r="75" spans="1:123" s="53" customFormat="1" ht="28">
      <c r="A75" s="236"/>
      <c r="B75" s="196"/>
      <c r="C75" s="1184"/>
      <c r="D75" s="1186"/>
      <c r="E75" s="397"/>
      <c r="F75" s="1188"/>
      <c r="G75" s="386"/>
      <c r="H75" s="1190"/>
      <c r="I75" s="1192"/>
      <c r="J75" s="356"/>
      <c r="K75" s="389" t="s">
        <v>871</v>
      </c>
      <c r="L75" s="378"/>
      <c r="M75" s="1175"/>
      <c r="N75" s="1176"/>
      <c r="O75" s="1176"/>
      <c r="P75" s="1176"/>
      <c r="Q75" s="1176"/>
      <c r="R75" s="1176"/>
      <c r="S75" s="1176"/>
      <c r="T75" s="1176"/>
      <c r="U75" s="1160"/>
      <c r="V75" s="57"/>
      <c r="W75" s="57"/>
      <c r="X75" s="57"/>
      <c r="Y75" s="198"/>
      <c r="Z75" s="57"/>
      <c r="AA75" s="57"/>
      <c r="AB75" s="57"/>
      <c r="AC75" s="481"/>
      <c r="AD75" s="482"/>
      <c r="AE75" s="482"/>
      <c r="AF75" s="522"/>
      <c r="AG75" s="59"/>
      <c r="AH75" s="1163"/>
      <c r="AI75" s="59"/>
      <c r="AJ75" s="213"/>
      <c r="AK75" s="52"/>
      <c r="AL75" s="52"/>
    </row>
    <row r="76" spans="1:123" s="53" customFormat="1" ht="29" thickBot="1">
      <c r="A76" s="236"/>
      <c r="B76" s="196"/>
      <c r="C76" s="430"/>
      <c r="D76" s="1212"/>
      <c r="E76" s="397"/>
      <c r="F76" s="1213"/>
      <c r="G76" s="386"/>
      <c r="H76" s="374"/>
      <c r="I76" s="380"/>
      <c r="J76" s="356"/>
      <c r="K76" s="389" t="s">
        <v>871</v>
      </c>
      <c r="L76" s="378"/>
      <c r="M76" s="1175"/>
      <c r="N76" s="1176"/>
      <c r="O76" s="1176"/>
      <c r="P76" s="1176"/>
      <c r="Q76" s="1176"/>
      <c r="R76" s="1176"/>
      <c r="S76" s="1176"/>
      <c r="T76" s="1176"/>
      <c r="U76" s="1161"/>
      <c r="V76" s="619"/>
      <c r="W76" s="619"/>
      <c r="X76" s="619"/>
      <c r="Y76" s="587"/>
      <c r="Z76" s="619"/>
      <c r="AA76" s="619"/>
      <c r="AB76" s="619"/>
      <c r="AC76" s="481"/>
      <c r="AD76" s="482"/>
      <c r="AE76" s="482"/>
      <c r="AF76" s="522"/>
      <c r="AG76" s="59"/>
      <c r="AH76" s="371"/>
      <c r="AI76" s="59"/>
      <c r="AJ76" s="213"/>
      <c r="AK76" s="52"/>
      <c r="AL76" s="52"/>
    </row>
    <row r="77" spans="1:123" s="53" customFormat="1" ht="28">
      <c r="A77" s="236" t="s">
        <v>2</v>
      </c>
      <c r="B77" s="196"/>
      <c r="C77" s="425" t="s">
        <v>872</v>
      </c>
      <c r="D77" s="426" t="s">
        <v>1264</v>
      </c>
      <c r="E77" s="1049" t="s">
        <v>1216</v>
      </c>
      <c r="F77" s="427"/>
      <c r="G77" s="372" t="s">
        <v>91</v>
      </c>
      <c r="H77" s="373" t="s">
        <v>100</v>
      </c>
      <c r="I77" s="440" t="s">
        <v>775</v>
      </c>
      <c r="J77" s="375" t="s">
        <v>695</v>
      </c>
      <c r="K77" s="724" t="s">
        <v>873</v>
      </c>
      <c r="L77" s="640" t="s">
        <v>877</v>
      </c>
      <c r="M77" s="1314" t="s">
        <v>903</v>
      </c>
      <c r="N77" s="1314"/>
      <c r="O77" s="1314"/>
      <c r="P77" s="1314"/>
      <c r="Q77" s="1314"/>
      <c r="R77" s="1314"/>
      <c r="S77" s="1314"/>
      <c r="T77" s="1315"/>
      <c r="U77" s="1159" t="s">
        <v>11</v>
      </c>
      <c r="V77" s="54"/>
      <c r="W77" s="54"/>
      <c r="X77" s="54"/>
      <c r="Y77" s="424"/>
      <c r="Z77" s="54"/>
      <c r="AA77" s="54"/>
      <c r="AB77" s="54"/>
      <c r="AC77" s="479"/>
      <c r="AD77" s="480"/>
      <c r="AE77" s="480"/>
      <c r="AF77" s="521"/>
      <c r="AG77" s="56"/>
      <c r="AH77" s="527"/>
      <c r="AI77" s="56"/>
      <c r="AJ77" s="191"/>
      <c r="AK77" s="52"/>
      <c r="AL77" s="52"/>
    </row>
    <row r="78" spans="1:123" s="53" customFormat="1" ht="28">
      <c r="A78" s="236"/>
      <c r="B78" s="196"/>
      <c r="C78" s="430"/>
      <c r="D78" s="227"/>
      <c r="E78" s="397"/>
      <c r="F78" s="399"/>
      <c r="G78" s="386"/>
      <c r="H78" s="431"/>
      <c r="I78" s="380"/>
      <c r="J78" s="356"/>
      <c r="K78" s="725" t="s">
        <v>874</v>
      </c>
      <c r="L78" s="638" t="s">
        <v>878</v>
      </c>
      <c r="M78" s="1316"/>
      <c r="N78" s="1316"/>
      <c r="O78" s="1316"/>
      <c r="P78" s="1316"/>
      <c r="Q78" s="1316"/>
      <c r="R78" s="1316"/>
      <c r="S78" s="1316"/>
      <c r="T78" s="1175"/>
      <c r="U78" s="1160"/>
      <c r="V78" s="57"/>
      <c r="W78" s="57"/>
      <c r="X78" s="57"/>
      <c r="Y78" s="198"/>
      <c r="Z78" s="57"/>
      <c r="AA78" s="57"/>
      <c r="AB78" s="57"/>
      <c r="AC78" s="481"/>
      <c r="AD78" s="482"/>
      <c r="AE78" s="482"/>
      <c r="AF78" s="522"/>
      <c r="AG78" s="59"/>
      <c r="AH78" s="528"/>
      <c r="AI78" s="59"/>
      <c r="AJ78" s="213"/>
      <c r="AK78" s="52"/>
      <c r="AL78" s="52"/>
    </row>
    <row r="79" spans="1:123" s="53" customFormat="1" ht="28">
      <c r="A79" s="236"/>
      <c r="B79" s="196"/>
      <c r="C79" s="430"/>
      <c r="D79" s="227"/>
      <c r="E79" s="397"/>
      <c r="F79" s="399"/>
      <c r="G79" s="386"/>
      <c r="H79" s="431"/>
      <c r="I79" s="380"/>
      <c r="J79" s="356"/>
      <c r="K79" s="725" t="s">
        <v>875</v>
      </c>
      <c r="L79" s="638" t="s">
        <v>879</v>
      </c>
      <c r="M79" s="1316"/>
      <c r="N79" s="1316"/>
      <c r="O79" s="1316"/>
      <c r="P79" s="1316"/>
      <c r="Q79" s="1316"/>
      <c r="R79" s="1316"/>
      <c r="S79" s="1316"/>
      <c r="T79" s="1175"/>
      <c r="U79" s="1160"/>
      <c r="V79" s="619"/>
      <c r="W79" s="619"/>
      <c r="X79" s="619"/>
      <c r="Y79" s="587"/>
      <c r="Z79" s="619"/>
      <c r="AA79" s="619"/>
      <c r="AB79" s="619"/>
      <c r="AC79" s="481"/>
      <c r="AD79" s="482"/>
      <c r="AE79" s="482"/>
      <c r="AF79" s="522"/>
      <c r="AG79" s="59"/>
      <c r="AH79" s="528"/>
      <c r="AI79" s="59"/>
      <c r="AJ79" s="213"/>
      <c r="AK79" s="52"/>
      <c r="AL79" s="52"/>
    </row>
    <row r="80" spans="1:123" s="53" customFormat="1" ht="29" thickBot="1">
      <c r="A80" s="236"/>
      <c r="B80" s="196"/>
      <c r="C80" s="430"/>
      <c r="D80" s="227"/>
      <c r="E80" s="397"/>
      <c r="F80" s="399"/>
      <c r="G80" s="386"/>
      <c r="H80" s="431"/>
      <c r="I80" s="380"/>
      <c r="J80" s="356"/>
      <c r="K80" s="725" t="s">
        <v>876</v>
      </c>
      <c r="L80" s="638" t="s">
        <v>879</v>
      </c>
      <c r="M80" s="1316"/>
      <c r="N80" s="1316"/>
      <c r="O80" s="1316"/>
      <c r="P80" s="1316"/>
      <c r="Q80" s="1316"/>
      <c r="R80" s="1316"/>
      <c r="S80" s="1316"/>
      <c r="T80" s="1175"/>
      <c r="U80" s="1161"/>
      <c r="V80" s="619"/>
      <c r="W80" s="619"/>
      <c r="X80" s="619"/>
      <c r="Y80" s="587"/>
      <c r="Z80" s="619"/>
      <c r="AA80" s="619"/>
      <c r="AB80" s="619"/>
      <c r="AC80" s="481"/>
      <c r="AD80" s="482"/>
      <c r="AE80" s="482"/>
      <c r="AF80" s="522"/>
      <c r="AG80" s="59"/>
      <c r="AH80" s="528"/>
      <c r="AI80" s="59"/>
      <c r="AJ80" s="213"/>
      <c r="AK80" s="52"/>
      <c r="AL80" s="52"/>
    </row>
    <row r="81" spans="1:123" s="53" customFormat="1" ht="28">
      <c r="A81" s="236" t="s">
        <v>2</v>
      </c>
      <c r="B81" s="196"/>
      <c r="C81" s="1183" t="s">
        <v>881</v>
      </c>
      <c r="D81" s="1185" t="s">
        <v>882</v>
      </c>
      <c r="E81" s="1049" t="s">
        <v>1216</v>
      </c>
      <c r="F81" s="1187"/>
      <c r="G81" s="372" t="s">
        <v>91</v>
      </c>
      <c r="H81" s="1189" t="s">
        <v>102</v>
      </c>
      <c r="I81" s="1191" t="s">
        <v>730</v>
      </c>
      <c r="J81" s="1408" t="s">
        <v>731</v>
      </c>
      <c r="K81" s="500" t="s">
        <v>883</v>
      </c>
      <c r="L81" s="420"/>
      <c r="M81" s="1172"/>
      <c r="N81" s="1173"/>
      <c r="O81" s="1173"/>
      <c r="P81" s="1173"/>
      <c r="Q81" s="1173"/>
      <c r="R81" s="1173"/>
      <c r="S81" s="1173"/>
      <c r="T81" s="1173"/>
      <c r="U81" s="1159" t="s">
        <v>11</v>
      </c>
      <c r="V81" s="615"/>
      <c r="W81" s="615"/>
      <c r="X81" s="615"/>
      <c r="Y81" s="424"/>
      <c r="Z81" s="615"/>
      <c r="AA81" s="615"/>
      <c r="AB81" s="615"/>
      <c r="AC81" s="479"/>
      <c r="AD81" s="480"/>
      <c r="AE81" s="480"/>
      <c r="AF81" s="521"/>
      <c r="AG81" s="56"/>
      <c r="AH81" s="1339"/>
      <c r="AI81" s="56"/>
      <c r="AJ81" s="191"/>
      <c r="AK81" s="52"/>
      <c r="AL81" s="52"/>
    </row>
    <row r="82" spans="1:123" s="53" customFormat="1" ht="42">
      <c r="A82" s="236"/>
      <c r="B82" s="196"/>
      <c r="C82" s="1184"/>
      <c r="D82" s="1186"/>
      <c r="E82" s="397"/>
      <c r="F82" s="1188"/>
      <c r="G82" s="386"/>
      <c r="H82" s="1190"/>
      <c r="I82" s="1192"/>
      <c r="J82" s="1409"/>
      <c r="K82" s="388" t="s">
        <v>884</v>
      </c>
      <c r="L82" s="377"/>
      <c r="M82" s="1175"/>
      <c r="N82" s="1176"/>
      <c r="O82" s="1176"/>
      <c r="P82" s="1176"/>
      <c r="Q82" s="1176"/>
      <c r="R82" s="1176"/>
      <c r="S82" s="1176"/>
      <c r="T82" s="1176"/>
      <c r="U82" s="1160"/>
      <c r="V82" s="619"/>
      <c r="W82" s="619"/>
      <c r="X82" s="619"/>
      <c r="Y82" s="587"/>
      <c r="Z82" s="619"/>
      <c r="AA82" s="619"/>
      <c r="AB82" s="619"/>
      <c r="AC82" s="481"/>
      <c r="AD82" s="482"/>
      <c r="AE82" s="482"/>
      <c r="AF82" s="522"/>
      <c r="AG82" s="59"/>
      <c r="AH82" s="1340"/>
      <c r="AI82" s="59"/>
      <c r="AJ82" s="213"/>
      <c r="AK82" s="52"/>
      <c r="AL82" s="52"/>
    </row>
    <row r="83" spans="1:123" s="53" customFormat="1" ht="42">
      <c r="A83" s="236"/>
      <c r="B83" s="196"/>
      <c r="C83" s="1184"/>
      <c r="D83" s="1186"/>
      <c r="E83" s="397"/>
      <c r="F83" s="1188"/>
      <c r="G83" s="386"/>
      <c r="H83" s="1190"/>
      <c r="I83" s="1192"/>
      <c r="J83" s="1409"/>
      <c r="K83" s="388" t="s">
        <v>885</v>
      </c>
      <c r="L83" s="377"/>
      <c r="M83" s="1175"/>
      <c r="N83" s="1176"/>
      <c r="O83" s="1176"/>
      <c r="P83" s="1176"/>
      <c r="Q83" s="1176"/>
      <c r="R83" s="1176"/>
      <c r="S83" s="1176"/>
      <c r="T83" s="1176"/>
      <c r="U83" s="1160"/>
      <c r="V83" s="619"/>
      <c r="W83" s="619"/>
      <c r="X83" s="619"/>
      <c r="Y83" s="587"/>
      <c r="Z83" s="619"/>
      <c r="AA83" s="619"/>
      <c r="AB83" s="619"/>
      <c r="AC83" s="481"/>
      <c r="AD83" s="482"/>
      <c r="AE83" s="482"/>
      <c r="AF83" s="522"/>
      <c r="AG83" s="59"/>
      <c r="AH83" s="1340"/>
      <c r="AI83" s="59"/>
      <c r="AJ83" s="213"/>
      <c r="AK83" s="52"/>
      <c r="AL83" s="52"/>
    </row>
    <row r="84" spans="1:123" s="53" customFormat="1" ht="42">
      <c r="A84" s="236"/>
      <c r="B84" s="196"/>
      <c r="C84" s="1184"/>
      <c r="D84" s="1186"/>
      <c r="E84" s="397"/>
      <c r="F84" s="1188"/>
      <c r="G84" s="386"/>
      <c r="H84" s="1190"/>
      <c r="I84" s="1192"/>
      <c r="J84" s="1409"/>
      <c r="K84" s="388" t="s">
        <v>886</v>
      </c>
      <c r="L84" s="377"/>
      <c r="M84" s="1175"/>
      <c r="N84" s="1176"/>
      <c r="O84" s="1176"/>
      <c r="P84" s="1176"/>
      <c r="Q84" s="1176"/>
      <c r="R84" s="1176"/>
      <c r="S84" s="1176"/>
      <c r="T84" s="1176"/>
      <c r="U84" s="1160"/>
      <c r="V84" s="619"/>
      <c r="W84" s="619"/>
      <c r="X84" s="619"/>
      <c r="Y84" s="587"/>
      <c r="Z84" s="619"/>
      <c r="AA84" s="619"/>
      <c r="AB84" s="619"/>
      <c r="AC84" s="481"/>
      <c r="AD84" s="482"/>
      <c r="AE84" s="482"/>
      <c r="AF84" s="522"/>
      <c r="AG84" s="59"/>
      <c r="AH84" s="1340"/>
      <c r="AI84" s="59"/>
      <c r="AJ84" s="213"/>
      <c r="AK84" s="52"/>
      <c r="AL84" s="52"/>
    </row>
    <row r="85" spans="1:123" s="53" customFormat="1" ht="42">
      <c r="A85" s="236"/>
      <c r="B85" s="196"/>
      <c r="C85" s="1184"/>
      <c r="D85" s="1186"/>
      <c r="E85" s="397"/>
      <c r="F85" s="1188"/>
      <c r="G85" s="386"/>
      <c r="H85" s="1190"/>
      <c r="I85" s="1192"/>
      <c r="J85" s="1409"/>
      <c r="K85" s="388" t="s">
        <v>887</v>
      </c>
      <c r="L85" s="377"/>
      <c r="M85" s="1175"/>
      <c r="N85" s="1176"/>
      <c r="O85" s="1176"/>
      <c r="P85" s="1176"/>
      <c r="Q85" s="1176"/>
      <c r="R85" s="1176"/>
      <c r="S85" s="1176"/>
      <c r="T85" s="1176"/>
      <c r="U85" s="1160"/>
      <c r="V85" s="619"/>
      <c r="W85" s="619"/>
      <c r="X85" s="619"/>
      <c r="Y85" s="587"/>
      <c r="Z85" s="619"/>
      <c r="AA85" s="619"/>
      <c r="AB85" s="619"/>
      <c r="AC85" s="481"/>
      <c r="AD85" s="482"/>
      <c r="AE85" s="482"/>
      <c r="AF85" s="522"/>
      <c r="AG85" s="59"/>
      <c r="AH85" s="1340"/>
      <c r="AI85" s="59"/>
      <c r="AJ85" s="213"/>
      <c r="AK85" s="52"/>
      <c r="AL85" s="52"/>
    </row>
    <row r="86" spans="1:123" s="53" customFormat="1" ht="18" thickBot="1">
      <c r="A86" s="236"/>
      <c r="B86" s="196"/>
      <c r="C86" s="1184"/>
      <c r="D86" s="1186"/>
      <c r="E86" s="397"/>
      <c r="F86" s="1188"/>
      <c r="G86" s="386"/>
      <c r="H86" s="1190"/>
      <c r="I86" s="1192"/>
      <c r="J86" s="1409"/>
      <c r="K86" s="389" t="s">
        <v>96</v>
      </c>
      <c r="L86" s="378"/>
      <c r="M86" s="1398"/>
      <c r="N86" s="1399"/>
      <c r="O86" s="1399"/>
      <c r="P86" s="1399"/>
      <c r="Q86" s="1399"/>
      <c r="R86" s="1399"/>
      <c r="S86" s="1399"/>
      <c r="T86" s="1399"/>
      <c r="U86" s="1160"/>
      <c r="V86" s="619"/>
      <c r="W86" s="619"/>
      <c r="X86" s="619"/>
      <c r="Y86" s="587"/>
      <c r="Z86" s="619"/>
      <c r="AA86" s="619"/>
      <c r="AB86" s="619"/>
      <c r="AC86" s="481"/>
      <c r="AD86" s="482"/>
      <c r="AE86" s="482"/>
      <c r="AF86" s="522"/>
      <c r="AG86" s="59"/>
      <c r="AH86" s="1340"/>
      <c r="AI86" s="59"/>
      <c r="AJ86" s="213"/>
      <c r="AK86" s="52"/>
      <c r="AL86" s="52"/>
    </row>
    <row r="87" spans="1:123" s="557" customFormat="1" ht="27" customHeight="1" thickBot="1">
      <c r="A87" s="550" t="s">
        <v>34</v>
      </c>
      <c r="B87" s="551" t="s">
        <v>888</v>
      </c>
      <c r="C87" s="1003" t="s">
        <v>889</v>
      </c>
      <c r="D87" s="849"/>
      <c r="E87" s="1004"/>
      <c r="F87" s="849"/>
      <c r="G87" s="517"/>
      <c r="H87" s="517"/>
      <c r="I87" s="517"/>
      <c r="J87" s="517"/>
      <c r="K87" s="850"/>
      <c r="L87" s="517"/>
      <c r="M87" s="517"/>
      <c r="N87" s="517"/>
      <c r="O87" s="517"/>
      <c r="P87" s="517"/>
      <c r="Q87" s="517"/>
      <c r="R87" s="517"/>
      <c r="S87" s="517"/>
      <c r="T87" s="517"/>
      <c r="U87" s="517"/>
      <c r="V87" s="517"/>
      <c r="W87" s="517"/>
      <c r="X87" s="517"/>
      <c r="Y87" s="517"/>
      <c r="Z87" s="517"/>
      <c r="AA87" s="517"/>
      <c r="AB87" s="517"/>
      <c r="AC87" s="517"/>
      <c r="AD87" s="517"/>
      <c r="AE87" s="517"/>
      <c r="AF87" s="517"/>
      <c r="AG87" s="517"/>
      <c r="AH87" s="517"/>
      <c r="AI87" s="517"/>
      <c r="AJ87" s="517"/>
      <c r="AK87" s="556"/>
      <c r="AL87" s="556"/>
    </row>
    <row r="88" spans="1:123" s="584" customFormat="1" ht="29" thickBot="1">
      <c r="A88" s="578" t="s">
        <v>2</v>
      </c>
      <c r="B88" s="559"/>
      <c r="C88" s="649" t="s">
        <v>891</v>
      </c>
      <c r="D88" s="650" t="s">
        <v>890</v>
      </c>
      <c r="E88" s="1049" t="s">
        <v>1216</v>
      </c>
      <c r="F88" s="652"/>
      <c r="G88" s="464" t="s">
        <v>91</v>
      </c>
      <c r="H88" s="653" t="s">
        <v>100</v>
      </c>
      <c r="I88" s="654" t="s">
        <v>892</v>
      </c>
      <c r="J88" s="655" t="s">
        <v>695</v>
      </c>
      <c r="K88" s="656"/>
      <c r="L88" s="657"/>
      <c r="M88" s="1406"/>
      <c r="N88" s="1406"/>
      <c r="O88" s="1406"/>
      <c r="P88" s="1406"/>
      <c r="Q88" s="1406"/>
      <c r="R88" s="1406"/>
      <c r="S88" s="1406"/>
      <c r="T88" s="1407"/>
      <c r="U88" s="490" t="s">
        <v>11</v>
      </c>
      <c r="V88" s="658"/>
      <c r="W88" s="658"/>
      <c r="X88" s="658"/>
      <c r="Y88" s="658"/>
      <c r="Z88" s="658"/>
      <c r="AA88" s="658"/>
      <c r="AB88" s="658"/>
      <c r="AC88" s="659"/>
      <c r="AD88" s="660"/>
      <c r="AE88" s="660"/>
      <c r="AF88" s="739"/>
      <c r="AG88" s="661"/>
      <c r="AH88" s="1123"/>
      <c r="AI88" s="662"/>
      <c r="AJ88" s="663"/>
      <c r="AK88" s="565"/>
      <c r="AL88" s="565"/>
      <c r="AM88" s="565"/>
      <c r="AN88" s="565"/>
      <c r="AO88" s="565"/>
      <c r="AP88" s="565"/>
      <c r="AQ88" s="565"/>
      <c r="AR88" s="565"/>
      <c r="AS88" s="565"/>
      <c r="AT88" s="565"/>
      <c r="AU88" s="565"/>
      <c r="AV88" s="565"/>
      <c r="AW88" s="565"/>
      <c r="AX88" s="565"/>
      <c r="AY88" s="565"/>
      <c r="AZ88" s="565"/>
      <c r="BA88" s="565"/>
      <c r="BB88" s="565"/>
      <c r="BC88" s="565"/>
      <c r="BD88" s="565"/>
      <c r="BE88" s="565"/>
      <c r="BF88" s="565"/>
      <c r="BG88" s="565"/>
      <c r="BH88" s="565"/>
      <c r="BI88" s="565"/>
      <c r="BJ88" s="565"/>
      <c r="BK88" s="565"/>
      <c r="BL88" s="565"/>
      <c r="BM88" s="565"/>
      <c r="BN88" s="565"/>
      <c r="BO88" s="565"/>
      <c r="BP88" s="565"/>
      <c r="BQ88" s="565"/>
      <c r="BR88" s="565"/>
      <c r="BS88" s="565"/>
      <c r="BT88" s="565"/>
      <c r="BU88" s="565"/>
      <c r="BV88" s="565"/>
      <c r="BW88" s="565"/>
      <c r="BX88" s="565"/>
      <c r="BY88" s="565"/>
      <c r="BZ88" s="565"/>
      <c r="CA88" s="565"/>
      <c r="CB88" s="565"/>
      <c r="CC88" s="565"/>
      <c r="CD88" s="565"/>
      <c r="CE88" s="565"/>
      <c r="CF88" s="565"/>
      <c r="CG88" s="565"/>
      <c r="CH88" s="565"/>
      <c r="CI88" s="565"/>
      <c r="CJ88" s="565"/>
      <c r="CK88" s="565"/>
      <c r="CL88" s="565"/>
      <c r="CM88" s="565"/>
      <c r="CN88" s="565"/>
      <c r="CO88" s="565"/>
      <c r="CP88" s="565"/>
      <c r="CQ88" s="565"/>
      <c r="CR88" s="565"/>
      <c r="CS88" s="565"/>
      <c r="CT88" s="565"/>
      <c r="CU88" s="565"/>
      <c r="CV88" s="565"/>
      <c r="CW88" s="565"/>
      <c r="CX88" s="565"/>
      <c r="CY88" s="565"/>
      <c r="CZ88" s="565"/>
      <c r="DA88" s="565"/>
      <c r="DB88" s="565"/>
      <c r="DC88" s="565"/>
      <c r="DD88" s="565"/>
      <c r="DE88" s="565"/>
      <c r="DF88" s="565"/>
      <c r="DG88" s="565"/>
      <c r="DH88" s="565"/>
      <c r="DI88" s="565"/>
      <c r="DJ88" s="565"/>
      <c r="DK88" s="565"/>
      <c r="DL88" s="565"/>
      <c r="DM88" s="565"/>
      <c r="DN88" s="565"/>
      <c r="DO88" s="565"/>
      <c r="DP88" s="565"/>
      <c r="DQ88" s="565"/>
      <c r="DR88" s="565"/>
      <c r="DS88" s="565"/>
    </row>
    <row r="89" spans="1:123" s="567" customFormat="1" ht="26.5" customHeight="1">
      <c r="A89" s="558" t="s">
        <v>2</v>
      </c>
      <c r="B89" s="559"/>
      <c r="C89" s="568" t="s">
        <v>893</v>
      </c>
      <c r="D89" s="569" t="s">
        <v>894</v>
      </c>
      <c r="E89" s="1049" t="s">
        <v>1216</v>
      </c>
      <c r="F89" s="1328" t="s">
        <v>864</v>
      </c>
      <c r="G89" s="424" t="s">
        <v>91</v>
      </c>
      <c r="H89" s="571" t="s">
        <v>100</v>
      </c>
      <c r="I89" s="1328" t="s">
        <v>753</v>
      </c>
      <c r="J89" s="572" t="s">
        <v>695</v>
      </c>
      <c r="K89" s="722"/>
      <c r="L89" s="613" t="s">
        <v>744</v>
      </c>
      <c r="M89" s="1209" t="s">
        <v>825</v>
      </c>
      <c r="N89" s="1210"/>
      <c r="O89" s="1331"/>
      <c r="P89" s="1332"/>
      <c r="Q89" s="1332"/>
      <c r="R89" s="1332"/>
      <c r="S89" s="1332"/>
      <c r="T89" s="1332"/>
      <c r="U89" s="1159" t="s">
        <v>11</v>
      </c>
      <c r="V89" s="615"/>
      <c r="W89" s="615"/>
      <c r="X89" s="615"/>
      <c r="Y89" s="424"/>
      <c r="Z89" s="615"/>
      <c r="AA89" s="615"/>
      <c r="AB89" s="615"/>
      <c r="AC89" s="479"/>
      <c r="AD89" s="480"/>
      <c r="AE89" s="480"/>
      <c r="AF89" s="521"/>
      <c r="AG89" s="56"/>
      <c r="AH89" s="527"/>
      <c r="AI89" s="56"/>
      <c r="AJ89" s="191"/>
      <c r="AK89" s="566"/>
      <c r="AL89" s="566"/>
    </row>
    <row r="90" spans="1:123" s="567" customFormat="1">
      <c r="A90" s="558"/>
      <c r="B90" s="559"/>
      <c r="C90" s="573"/>
      <c r="D90" s="574"/>
      <c r="E90" s="575"/>
      <c r="F90" s="1329"/>
      <c r="G90" s="587"/>
      <c r="H90" s="588"/>
      <c r="I90" s="1329"/>
      <c r="J90" s="577"/>
      <c r="K90" s="612" t="s">
        <v>860</v>
      </c>
      <c r="L90" s="377"/>
      <c r="M90" s="1238"/>
      <c r="N90" s="1330"/>
      <c r="O90" s="1333"/>
      <c r="P90" s="1334"/>
      <c r="Q90" s="1334"/>
      <c r="R90" s="1334"/>
      <c r="S90" s="1334"/>
      <c r="T90" s="1334"/>
      <c r="U90" s="1160"/>
      <c r="V90" s="619"/>
      <c r="W90" s="619"/>
      <c r="X90" s="619"/>
      <c r="Y90" s="587"/>
      <c r="Z90" s="619"/>
      <c r="AA90" s="619"/>
      <c r="AB90" s="619"/>
      <c r="AC90" s="481"/>
      <c r="AD90" s="482"/>
      <c r="AE90" s="482"/>
      <c r="AF90" s="522"/>
      <c r="AG90" s="59"/>
      <c r="AH90" s="528"/>
      <c r="AI90" s="59"/>
      <c r="AJ90" s="213"/>
      <c r="AK90" s="566"/>
      <c r="AL90" s="566"/>
    </row>
    <row r="91" spans="1:123" s="567" customFormat="1" ht="17.5" customHeight="1">
      <c r="A91" s="558"/>
      <c r="B91" s="559"/>
      <c r="C91" s="573"/>
      <c r="D91" s="574"/>
      <c r="E91" s="575"/>
      <c r="F91" s="1329"/>
      <c r="G91" s="587"/>
      <c r="H91" s="588"/>
      <c r="I91" s="1329"/>
      <c r="J91" s="577"/>
      <c r="K91" s="612" t="s">
        <v>861</v>
      </c>
      <c r="L91" s="377"/>
      <c r="M91" s="1238"/>
      <c r="N91" s="1330"/>
      <c r="O91" s="1333"/>
      <c r="P91" s="1334"/>
      <c r="Q91" s="1334"/>
      <c r="R91" s="1334"/>
      <c r="S91" s="1334"/>
      <c r="T91" s="1334"/>
      <c r="U91" s="1160"/>
      <c r="V91" s="619"/>
      <c r="W91" s="619"/>
      <c r="X91" s="619"/>
      <c r="Y91" s="587"/>
      <c r="Z91" s="619"/>
      <c r="AA91" s="619"/>
      <c r="AB91" s="619"/>
      <c r="AC91" s="481"/>
      <c r="AD91" s="482"/>
      <c r="AE91" s="482"/>
      <c r="AF91" s="522"/>
      <c r="AG91" s="59"/>
      <c r="AH91" s="528"/>
      <c r="AI91" s="59"/>
      <c r="AJ91" s="213"/>
      <c r="AK91" s="566"/>
      <c r="AL91" s="566"/>
    </row>
    <row r="92" spans="1:123" s="567" customFormat="1">
      <c r="A92" s="558"/>
      <c r="B92" s="559"/>
      <c r="C92" s="573"/>
      <c r="D92" s="574"/>
      <c r="E92" s="575"/>
      <c r="F92" s="1329"/>
      <c r="G92" s="587"/>
      <c r="H92" s="588"/>
      <c r="I92" s="1329"/>
      <c r="J92" s="577"/>
      <c r="K92" s="612" t="s">
        <v>790</v>
      </c>
      <c r="L92" s="377"/>
      <c r="M92" s="1238"/>
      <c r="N92" s="1330"/>
      <c r="O92" s="1333"/>
      <c r="P92" s="1334"/>
      <c r="Q92" s="1334"/>
      <c r="R92" s="1334"/>
      <c r="S92" s="1334"/>
      <c r="T92" s="1334"/>
      <c r="U92" s="1160"/>
      <c r="V92" s="619"/>
      <c r="W92" s="619"/>
      <c r="X92" s="619"/>
      <c r="Y92" s="587"/>
      <c r="Z92" s="619"/>
      <c r="AA92" s="619"/>
      <c r="AB92" s="619"/>
      <c r="AC92" s="481"/>
      <c r="AD92" s="482"/>
      <c r="AE92" s="482"/>
      <c r="AF92" s="522"/>
      <c r="AG92" s="59"/>
      <c r="AH92" s="528"/>
      <c r="AI92" s="59"/>
      <c r="AJ92" s="213"/>
      <c r="AK92" s="566"/>
      <c r="AL92" s="566"/>
    </row>
    <row r="93" spans="1:123" s="567" customFormat="1">
      <c r="A93" s="558"/>
      <c r="B93" s="559"/>
      <c r="C93" s="573"/>
      <c r="D93" s="574"/>
      <c r="E93" s="575"/>
      <c r="F93" s="1329"/>
      <c r="G93" s="587"/>
      <c r="H93" s="588"/>
      <c r="I93" s="1329"/>
      <c r="J93" s="577"/>
      <c r="K93" s="612" t="s">
        <v>791</v>
      </c>
      <c r="L93" s="377"/>
      <c r="M93" s="1238"/>
      <c r="N93" s="1330"/>
      <c r="O93" s="1333"/>
      <c r="P93" s="1334"/>
      <c r="Q93" s="1334"/>
      <c r="R93" s="1334"/>
      <c r="S93" s="1334"/>
      <c r="T93" s="1334"/>
      <c r="U93" s="1160"/>
      <c r="V93" s="619"/>
      <c r="W93" s="619"/>
      <c r="X93" s="619"/>
      <c r="Y93" s="587"/>
      <c r="Z93" s="619"/>
      <c r="AA93" s="619"/>
      <c r="AB93" s="619"/>
      <c r="AC93" s="481"/>
      <c r="AD93" s="482"/>
      <c r="AE93" s="482"/>
      <c r="AF93" s="522"/>
      <c r="AG93" s="59"/>
      <c r="AH93" s="528"/>
      <c r="AI93" s="59"/>
      <c r="AJ93" s="213"/>
      <c r="AK93" s="566"/>
      <c r="AL93" s="566"/>
    </row>
    <row r="94" spans="1:123" s="567" customFormat="1" ht="18" thickBot="1">
      <c r="A94" s="558"/>
      <c r="B94" s="559"/>
      <c r="C94" s="573"/>
      <c r="D94" s="574"/>
      <c r="E94" s="575"/>
      <c r="F94" s="619"/>
      <c r="G94" s="587"/>
      <c r="H94" s="588"/>
      <c r="I94" s="619"/>
      <c r="J94" s="577"/>
      <c r="K94" s="612" t="s">
        <v>862</v>
      </c>
      <c r="L94" s="377"/>
      <c r="M94" s="1238"/>
      <c r="N94" s="1330"/>
      <c r="O94" s="614"/>
      <c r="P94" s="614"/>
      <c r="Q94" s="614"/>
      <c r="R94" s="614"/>
      <c r="S94" s="614"/>
      <c r="T94" s="614"/>
      <c r="U94" s="1161"/>
      <c r="V94" s="619"/>
      <c r="W94" s="619"/>
      <c r="X94" s="619"/>
      <c r="Y94" s="587"/>
      <c r="Z94" s="619"/>
      <c r="AA94" s="619"/>
      <c r="AB94" s="619"/>
      <c r="AC94" s="481"/>
      <c r="AD94" s="482"/>
      <c r="AE94" s="482"/>
      <c r="AF94" s="522"/>
      <c r="AG94" s="59"/>
      <c r="AH94" s="528"/>
      <c r="AI94" s="59"/>
      <c r="AJ94" s="213"/>
      <c r="AK94" s="566"/>
      <c r="AL94" s="566"/>
    </row>
    <row r="95" spans="1:123" s="584" customFormat="1" ht="20" customHeight="1">
      <c r="A95" s="578" t="s">
        <v>3</v>
      </c>
      <c r="B95" s="559"/>
      <c r="C95" s="1320"/>
      <c r="D95" s="1321" t="s">
        <v>863</v>
      </c>
      <c r="E95" s="618"/>
      <c r="F95" s="1341"/>
      <c r="G95" s="1402" t="s">
        <v>91</v>
      </c>
      <c r="H95" s="592" t="s">
        <v>94</v>
      </c>
      <c r="I95" s="1321" t="s">
        <v>793</v>
      </c>
      <c r="J95" s="1325" t="s">
        <v>731</v>
      </c>
      <c r="K95" s="583" t="s">
        <v>95</v>
      </c>
      <c r="L95" s="636"/>
      <c r="M95" s="1358"/>
      <c r="N95" s="1358"/>
      <c r="O95" s="1358"/>
      <c r="P95" s="1358"/>
      <c r="Q95" s="1358"/>
      <c r="R95" s="1358"/>
      <c r="S95" s="1358"/>
      <c r="T95" s="1359"/>
      <c r="U95" s="1159" t="s">
        <v>11</v>
      </c>
      <c r="V95" s="591"/>
      <c r="W95" s="533"/>
      <c r="X95" s="533"/>
      <c r="Y95" s="533"/>
      <c r="Z95" s="533"/>
      <c r="AA95" s="533"/>
      <c r="AB95" s="533"/>
      <c r="AC95" s="534"/>
      <c r="AD95" s="535"/>
      <c r="AE95" s="535"/>
      <c r="AF95" s="1317"/>
      <c r="AG95" s="536"/>
      <c r="AH95" s="742"/>
      <c r="AI95" s="537"/>
      <c r="AJ95" s="538"/>
      <c r="AK95" s="565"/>
      <c r="AL95" s="565"/>
      <c r="AM95" s="565"/>
      <c r="AN95" s="565"/>
      <c r="AO95" s="565"/>
      <c r="AP95" s="565"/>
      <c r="AQ95" s="565"/>
      <c r="AR95" s="565"/>
      <c r="AS95" s="565"/>
      <c r="AT95" s="565"/>
      <c r="AU95" s="565"/>
      <c r="AV95" s="565"/>
      <c r="AW95" s="565"/>
      <c r="AX95" s="565"/>
      <c r="AY95" s="565"/>
      <c r="AZ95" s="565"/>
      <c r="BA95" s="565"/>
      <c r="BB95" s="565"/>
      <c r="BC95" s="565"/>
      <c r="BD95" s="565"/>
      <c r="BE95" s="565"/>
      <c r="BF95" s="565"/>
      <c r="BG95" s="565"/>
      <c r="BH95" s="565"/>
      <c r="BI95" s="565"/>
      <c r="BJ95" s="565"/>
      <c r="BK95" s="565"/>
      <c r="BL95" s="565"/>
      <c r="BM95" s="565"/>
      <c r="BN95" s="565"/>
      <c r="BO95" s="565"/>
      <c r="BP95" s="565"/>
      <c r="BQ95" s="565"/>
      <c r="BR95" s="565"/>
      <c r="BS95" s="565"/>
      <c r="BT95" s="565"/>
      <c r="BU95" s="565"/>
      <c r="BV95" s="565"/>
      <c r="BW95" s="565"/>
      <c r="BX95" s="565"/>
      <c r="BY95" s="565"/>
      <c r="BZ95" s="565"/>
      <c r="CA95" s="565"/>
      <c r="CB95" s="565"/>
      <c r="CC95" s="565"/>
      <c r="CD95" s="565"/>
      <c r="CE95" s="565"/>
      <c r="CF95" s="565"/>
      <c r="CG95" s="565"/>
      <c r="CH95" s="565"/>
      <c r="CI95" s="565"/>
      <c r="CJ95" s="565"/>
      <c r="CK95" s="565"/>
      <c r="CL95" s="565"/>
      <c r="CM95" s="565"/>
      <c r="CN95" s="565"/>
      <c r="CO95" s="565"/>
      <c r="CP95" s="565"/>
      <c r="CQ95" s="565"/>
      <c r="CR95" s="565"/>
      <c r="CS95" s="565"/>
      <c r="CT95" s="565"/>
      <c r="CU95" s="565"/>
      <c r="CV95" s="565"/>
      <c r="CW95" s="565"/>
      <c r="CX95" s="565"/>
      <c r="CY95" s="565"/>
      <c r="CZ95" s="565"/>
      <c r="DA95" s="565"/>
      <c r="DB95" s="565"/>
      <c r="DC95" s="565"/>
      <c r="DD95" s="565"/>
      <c r="DE95" s="565"/>
      <c r="DF95" s="565"/>
      <c r="DG95" s="565"/>
      <c r="DH95" s="565"/>
      <c r="DI95" s="565"/>
      <c r="DJ95" s="565"/>
      <c r="DK95" s="565"/>
      <c r="DL95" s="565"/>
      <c r="DM95" s="565"/>
      <c r="DN95" s="565"/>
      <c r="DO95" s="565"/>
      <c r="DP95" s="565"/>
      <c r="DQ95" s="565"/>
      <c r="DR95" s="565"/>
      <c r="DS95" s="565"/>
    </row>
    <row r="96" spans="1:123" s="584" customFormat="1" ht="20" customHeight="1">
      <c r="A96" s="578"/>
      <c r="B96" s="559"/>
      <c r="C96" s="1320"/>
      <c r="D96" s="1321"/>
      <c r="E96" s="618"/>
      <c r="F96" s="1341"/>
      <c r="G96" s="1402"/>
      <c r="H96" s="365"/>
      <c r="I96" s="1321"/>
      <c r="J96" s="1325"/>
      <c r="K96" s="585" t="s">
        <v>794</v>
      </c>
      <c r="L96" s="636"/>
      <c r="M96" s="1358"/>
      <c r="N96" s="1358"/>
      <c r="O96" s="1358"/>
      <c r="P96" s="1358"/>
      <c r="Q96" s="1358"/>
      <c r="R96" s="1358"/>
      <c r="S96" s="1358"/>
      <c r="T96" s="1359"/>
      <c r="U96" s="1160"/>
      <c r="V96" s="591"/>
      <c r="W96" s="533"/>
      <c r="X96" s="533"/>
      <c r="Y96" s="533"/>
      <c r="Z96" s="533"/>
      <c r="AA96" s="533"/>
      <c r="AB96" s="533"/>
      <c r="AC96" s="534"/>
      <c r="AD96" s="535"/>
      <c r="AE96" s="535"/>
      <c r="AF96" s="1317"/>
      <c r="AG96" s="536"/>
      <c r="AH96" s="742"/>
      <c r="AI96" s="537"/>
      <c r="AJ96" s="538"/>
      <c r="AK96" s="565"/>
      <c r="AL96" s="565"/>
      <c r="AM96" s="565"/>
      <c r="AN96" s="565"/>
      <c r="AO96" s="565"/>
      <c r="AP96" s="565"/>
      <c r="AQ96" s="565"/>
      <c r="AR96" s="565"/>
      <c r="AS96" s="565"/>
      <c r="AT96" s="565"/>
      <c r="AU96" s="565"/>
      <c r="AV96" s="565"/>
      <c r="AW96" s="565"/>
      <c r="AX96" s="565"/>
      <c r="AY96" s="565"/>
      <c r="AZ96" s="565"/>
      <c r="BA96" s="565"/>
      <c r="BB96" s="565"/>
      <c r="BC96" s="565"/>
      <c r="BD96" s="565"/>
      <c r="BE96" s="565"/>
      <c r="BF96" s="565"/>
      <c r="BG96" s="565"/>
      <c r="BH96" s="565"/>
      <c r="BI96" s="565"/>
      <c r="BJ96" s="565"/>
      <c r="BK96" s="565"/>
      <c r="BL96" s="565"/>
      <c r="BM96" s="565"/>
      <c r="BN96" s="565"/>
      <c r="BO96" s="565"/>
      <c r="BP96" s="565"/>
      <c r="BQ96" s="565"/>
      <c r="BR96" s="565"/>
      <c r="BS96" s="565"/>
      <c r="BT96" s="565"/>
      <c r="BU96" s="565"/>
      <c r="BV96" s="565"/>
      <c r="BW96" s="565"/>
      <c r="BX96" s="565"/>
      <c r="BY96" s="565"/>
      <c r="BZ96" s="565"/>
      <c r="CA96" s="565"/>
      <c r="CB96" s="565"/>
      <c r="CC96" s="565"/>
      <c r="CD96" s="565"/>
      <c r="CE96" s="565"/>
      <c r="CF96" s="565"/>
      <c r="CG96" s="565"/>
      <c r="CH96" s="565"/>
      <c r="CI96" s="565"/>
      <c r="CJ96" s="565"/>
      <c r="CK96" s="565"/>
      <c r="CL96" s="565"/>
      <c r="CM96" s="565"/>
      <c r="CN96" s="565"/>
      <c r="CO96" s="565"/>
      <c r="CP96" s="565"/>
      <c r="CQ96" s="565"/>
      <c r="CR96" s="565"/>
      <c r="CS96" s="565"/>
      <c r="CT96" s="565"/>
      <c r="CU96" s="565"/>
      <c r="CV96" s="565"/>
      <c r="CW96" s="565"/>
      <c r="CX96" s="565"/>
      <c r="CY96" s="565"/>
      <c r="CZ96" s="565"/>
      <c r="DA96" s="565"/>
      <c r="DB96" s="565"/>
      <c r="DC96" s="565"/>
      <c r="DD96" s="565"/>
      <c r="DE96" s="565"/>
      <c r="DF96" s="565"/>
      <c r="DG96" s="565"/>
      <c r="DH96" s="565"/>
      <c r="DI96" s="565"/>
      <c r="DJ96" s="565"/>
      <c r="DK96" s="565"/>
      <c r="DL96" s="565"/>
      <c r="DM96" s="565"/>
      <c r="DN96" s="565"/>
      <c r="DO96" s="565"/>
      <c r="DP96" s="565"/>
      <c r="DQ96" s="565"/>
      <c r="DR96" s="565"/>
      <c r="DS96" s="565"/>
    </row>
    <row r="97" spans="1:123" s="584" customFormat="1" ht="28">
      <c r="A97" s="578"/>
      <c r="B97" s="559"/>
      <c r="C97" s="1320"/>
      <c r="D97" s="1321"/>
      <c r="E97" s="618"/>
      <c r="F97" s="1341"/>
      <c r="G97" s="1402"/>
      <c r="H97" s="365"/>
      <c r="I97" s="1321"/>
      <c r="J97" s="1325"/>
      <c r="K97" s="585" t="s">
        <v>693</v>
      </c>
      <c r="L97" s="636"/>
      <c r="M97" s="1358"/>
      <c r="N97" s="1358"/>
      <c r="O97" s="1358"/>
      <c r="P97" s="1358"/>
      <c r="Q97" s="1358"/>
      <c r="R97" s="1358"/>
      <c r="S97" s="1358"/>
      <c r="T97" s="1359"/>
      <c r="U97" s="1160"/>
      <c r="V97" s="591"/>
      <c r="W97" s="533"/>
      <c r="X97" s="533"/>
      <c r="Y97" s="533"/>
      <c r="Z97" s="533"/>
      <c r="AA97" s="533"/>
      <c r="AB97" s="533"/>
      <c r="AC97" s="534"/>
      <c r="AD97" s="535"/>
      <c r="AE97" s="535"/>
      <c r="AF97" s="1317"/>
      <c r="AG97" s="536"/>
      <c r="AH97" s="742"/>
      <c r="AI97" s="537"/>
      <c r="AJ97" s="538"/>
      <c r="AK97" s="565"/>
      <c r="AL97" s="565"/>
      <c r="AM97" s="565"/>
      <c r="AN97" s="565"/>
      <c r="AO97" s="565"/>
      <c r="AP97" s="565"/>
      <c r="AQ97" s="565"/>
      <c r="AR97" s="565"/>
      <c r="AS97" s="565"/>
      <c r="AT97" s="565"/>
      <c r="AU97" s="565"/>
      <c r="AV97" s="565"/>
      <c r="AW97" s="565"/>
      <c r="AX97" s="565"/>
      <c r="AY97" s="565"/>
      <c r="AZ97" s="565"/>
      <c r="BA97" s="565"/>
      <c r="BB97" s="565"/>
      <c r="BC97" s="565"/>
      <c r="BD97" s="565"/>
      <c r="BE97" s="565"/>
      <c r="BF97" s="565"/>
      <c r="BG97" s="565"/>
      <c r="BH97" s="565"/>
      <c r="BI97" s="565"/>
      <c r="BJ97" s="565"/>
      <c r="BK97" s="565"/>
      <c r="BL97" s="565"/>
      <c r="BM97" s="565"/>
      <c r="BN97" s="565"/>
      <c r="BO97" s="565"/>
      <c r="BP97" s="565"/>
      <c r="BQ97" s="565"/>
      <c r="BR97" s="565"/>
      <c r="BS97" s="565"/>
      <c r="BT97" s="565"/>
      <c r="BU97" s="565"/>
      <c r="BV97" s="565"/>
      <c r="BW97" s="565"/>
      <c r="BX97" s="565"/>
      <c r="BY97" s="565"/>
      <c r="BZ97" s="565"/>
      <c r="CA97" s="565"/>
      <c r="CB97" s="565"/>
      <c r="CC97" s="565"/>
      <c r="CD97" s="565"/>
      <c r="CE97" s="565"/>
      <c r="CF97" s="565"/>
      <c r="CG97" s="565"/>
      <c r="CH97" s="565"/>
      <c r="CI97" s="565"/>
      <c r="CJ97" s="565"/>
      <c r="CK97" s="565"/>
      <c r="CL97" s="565"/>
      <c r="CM97" s="565"/>
      <c r="CN97" s="565"/>
      <c r="CO97" s="565"/>
      <c r="CP97" s="565"/>
      <c r="CQ97" s="565"/>
      <c r="CR97" s="565"/>
      <c r="CS97" s="565"/>
      <c r="CT97" s="565"/>
      <c r="CU97" s="565"/>
      <c r="CV97" s="565"/>
      <c r="CW97" s="565"/>
      <c r="CX97" s="565"/>
      <c r="CY97" s="565"/>
      <c r="CZ97" s="565"/>
      <c r="DA97" s="565"/>
      <c r="DB97" s="565"/>
      <c r="DC97" s="565"/>
      <c r="DD97" s="565"/>
      <c r="DE97" s="565"/>
      <c r="DF97" s="565"/>
      <c r="DG97" s="565"/>
      <c r="DH97" s="565"/>
      <c r="DI97" s="565"/>
      <c r="DJ97" s="565"/>
      <c r="DK97" s="565"/>
      <c r="DL97" s="565"/>
      <c r="DM97" s="565"/>
      <c r="DN97" s="565"/>
      <c r="DO97" s="565"/>
      <c r="DP97" s="565"/>
      <c r="DQ97" s="565"/>
      <c r="DR97" s="565"/>
      <c r="DS97" s="565"/>
    </row>
    <row r="98" spans="1:123" s="584" customFormat="1" ht="20" customHeight="1" thickBot="1">
      <c r="A98" s="578"/>
      <c r="B98" s="559"/>
      <c r="C98" s="1320"/>
      <c r="D98" s="1321"/>
      <c r="E98" s="618"/>
      <c r="F98" s="1341"/>
      <c r="G98" s="1402"/>
      <c r="H98" s="365"/>
      <c r="I98" s="1321"/>
      <c r="J98" s="1325"/>
      <c r="K98" s="593" t="s">
        <v>96</v>
      </c>
      <c r="L98" s="636"/>
      <c r="M98" s="1318"/>
      <c r="N98" s="1318"/>
      <c r="O98" s="1318"/>
      <c r="P98" s="1318"/>
      <c r="Q98" s="1318"/>
      <c r="R98" s="1318"/>
      <c r="S98" s="1318"/>
      <c r="T98" s="1319"/>
      <c r="U98" s="1160"/>
      <c r="V98" s="591"/>
      <c r="W98" s="533"/>
      <c r="X98" s="533"/>
      <c r="Y98" s="533"/>
      <c r="Z98" s="533"/>
      <c r="AA98" s="533"/>
      <c r="AB98" s="533"/>
      <c r="AC98" s="534"/>
      <c r="AD98" s="535"/>
      <c r="AE98" s="535"/>
      <c r="AF98" s="1317"/>
      <c r="AG98" s="536"/>
      <c r="AH98" s="742"/>
      <c r="AI98" s="537"/>
      <c r="AJ98" s="538"/>
      <c r="AK98" s="565"/>
      <c r="AL98" s="565"/>
      <c r="AM98" s="565"/>
      <c r="AN98" s="565"/>
      <c r="AO98" s="565"/>
      <c r="AP98" s="565"/>
      <c r="AQ98" s="565"/>
      <c r="AR98" s="565"/>
      <c r="AS98" s="565"/>
      <c r="AT98" s="565"/>
      <c r="AU98" s="565"/>
      <c r="AV98" s="565"/>
      <c r="AW98" s="565"/>
      <c r="AX98" s="565"/>
      <c r="AY98" s="565"/>
      <c r="AZ98" s="565"/>
      <c r="BA98" s="565"/>
      <c r="BB98" s="565"/>
      <c r="BC98" s="565"/>
      <c r="BD98" s="565"/>
      <c r="BE98" s="565"/>
      <c r="BF98" s="565"/>
      <c r="BG98" s="565"/>
      <c r="BH98" s="565"/>
      <c r="BI98" s="565"/>
      <c r="BJ98" s="565"/>
      <c r="BK98" s="565"/>
      <c r="BL98" s="565"/>
      <c r="BM98" s="565"/>
      <c r="BN98" s="565"/>
      <c r="BO98" s="565"/>
      <c r="BP98" s="565"/>
      <c r="BQ98" s="565"/>
      <c r="BR98" s="565"/>
      <c r="BS98" s="565"/>
      <c r="BT98" s="565"/>
      <c r="BU98" s="565"/>
      <c r="BV98" s="565"/>
      <c r="BW98" s="565"/>
      <c r="BX98" s="565"/>
      <c r="BY98" s="565"/>
      <c r="BZ98" s="565"/>
      <c r="CA98" s="565"/>
      <c r="CB98" s="565"/>
      <c r="CC98" s="565"/>
      <c r="CD98" s="565"/>
      <c r="CE98" s="565"/>
      <c r="CF98" s="565"/>
      <c r="CG98" s="565"/>
      <c r="CH98" s="565"/>
      <c r="CI98" s="565"/>
      <c r="CJ98" s="565"/>
      <c r="CK98" s="565"/>
      <c r="CL98" s="565"/>
      <c r="CM98" s="565"/>
      <c r="CN98" s="565"/>
      <c r="CO98" s="565"/>
      <c r="CP98" s="565"/>
      <c r="CQ98" s="565"/>
      <c r="CR98" s="565"/>
      <c r="CS98" s="565"/>
      <c r="CT98" s="565"/>
      <c r="CU98" s="565"/>
      <c r="CV98" s="565"/>
      <c r="CW98" s="565"/>
      <c r="CX98" s="565"/>
      <c r="CY98" s="565"/>
      <c r="CZ98" s="565"/>
      <c r="DA98" s="565"/>
      <c r="DB98" s="565"/>
      <c r="DC98" s="565"/>
      <c r="DD98" s="565"/>
      <c r="DE98" s="565"/>
      <c r="DF98" s="565"/>
      <c r="DG98" s="565"/>
      <c r="DH98" s="565"/>
      <c r="DI98" s="565"/>
      <c r="DJ98" s="565"/>
      <c r="DK98" s="565"/>
      <c r="DL98" s="565"/>
      <c r="DM98" s="565"/>
      <c r="DN98" s="565"/>
      <c r="DO98" s="565"/>
      <c r="DP98" s="565"/>
      <c r="DQ98" s="565"/>
      <c r="DR98" s="565"/>
      <c r="DS98" s="565"/>
    </row>
    <row r="99" spans="1:123" s="53" customFormat="1" ht="28">
      <c r="A99" s="236" t="s">
        <v>2</v>
      </c>
      <c r="B99" s="196"/>
      <c r="C99" s="1183" t="s">
        <v>895</v>
      </c>
      <c r="D99" s="1185" t="s">
        <v>866</v>
      </c>
      <c r="E99" s="1049" t="s">
        <v>1216</v>
      </c>
      <c r="F99" s="665"/>
      <c r="G99" s="372" t="s">
        <v>91</v>
      </c>
      <c r="H99" s="1189" t="s">
        <v>102</v>
      </c>
      <c r="I99" s="1191" t="s">
        <v>867</v>
      </c>
      <c r="J99" s="467" t="s">
        <v>731</v>
      </c>
      <c r="K99" s="500" t="s">
        <v>868</v>
      </c>
      <c r="L99" s="420"/>
      <c r="M99" s="1172"/>
      <c r="N99" s="1173"/>
      <c r="O99" s="1173"/>
      <c r="P99" s="1173"/>
      <c r="Q99" s="1173"/>
      <c r="R99" s="1173"/>
      <c r="S99" s="1173"/>
      <c r="T99" s="1173"/>
      <c r="U99" s="1159" t="s">
        <v>11</v>
      </c>
      <c r="V99" s="615"/>
      <c r="W99" s="615"/>
      <c r="X99" s="615"/>
      <c r="Y99" s="424"/>
      <c r="Z99" s="615"/>
      <c r="AA99" s="615"/>
      <c r="AB99" s="615"/>
      <c r="AC99" s="479"/>
      <c r="AD99" s="480"/>
      <c r="AE99" s="480"/>
      <c r="AF99" s="521"/>
      <c r="AG99" s="56"/>
      <c r="AH99" s="1162" t="s">
        <v>779</v>
      </c>
      <c r="AI99" s="56"/>
      <c r="AJ99" s="191"/>
      <c r="AK99" s="52"/>
      <c r="AL99" s="52"/>
    </row>
    <row r="100" spans="1:123" s="53" customFormat="1" ht="28">
      <c r="A100" s="236"/>
      <c r="B100" s="196"/>
      <c r="C100" s="1184"/>
      <c r="D100" s="1186"/>
      <c r="E100" s="397"/>
      <c r="F100" s="666"/>
      <c r="G100" s="386"/>
      <c r="H100" s="1190"/>
      <c r="I100" s="1192"/>
      <c r="J100" s="356"/>
      <c r="K100" s="388" t="s">
        <v>869</v>
      </c>
      <c r="L100" s="377"/>
      <c r="M100" s="1175"/>
      <c r="N100" s="1176"/>
      <c r="O100" s="1176"/>
      <c r="P100" s="1176"/>
      <c r="Q100" s="1176"/>
      <c r="R100" s="1176"/>
      <c r="S100" s="1176"/>
      <c r="T100" s="1176"/>
      <c r="U100" s="1160"/>
      <c r="V100" s="619"/>
      <c r="W100" s="619"/>
      <c r="X100" s="619"/>
      <c r="Y100" s="587"/>
      <c r="Z100" s="619"/>
      <c r="AA100" s="619"/>
      <c r="AB100" s="619"/>
      <c r="AC100" s="481"/>
      <c r="AD100" s="482"/>
      <c r="AE100" s="482"/>
      <c r="AF100" s="522"/>
      <c r="AG100" s="59"/>
      <c r="AH100" s="1163"/>
      <c r="AI100" s="59"/>
      <c r="AJ100" s="213"/>
      <c r="AK100" s="52"/>
      <c r="AL100" s="52"/>
    </row>
    <row r="101" spans="1:123" s="53" customFormat="1" ht="28">
      <c r="A101" s="236"/>
      <c r="B101" s="196"/>
      <c r="C101" s="1184"/>
      <c r="D101" s="1186"/>
      <c r="E101" s="397"/>
      <c r="F101" s="666"/>
      <c r="G101" s="386"/>
      <c r="H101" s="1190"/>
      <c r="I101" s="1192"/>
      <c r="J101" s="356"/>
      <c r="K101" s="388" t="s">
        <v>870</v>
      </c>
      <c r="L101" s="377"/>
      <c r="M101" s="1175"/>
      <c r="N101" s="1176"/>
      <c r="O101" s="1176"/>
      <c r="P101" s="1176"/>
      <c r="Q101" s="1176"/>
      <c r="R101" s="1176"/>
      <c r="S101" s="1176"/>
      <c r="T101" s="1176"/>
      <c r="U101" s="1160"/>
      <c r="V101" s="619"/>
      <c r="W101" s="619"/>
      <c r="X101" s="619"/>
      <c r="Y101" s="587"/>
      <c r="Z101" s="619"/>
      <c r="AA101" s="619"/>
      <c r="AB101" s="619"/>
      <c r="AC101" s="481"/>
      <c r="AD101" s="482"/>
      <c r="AE101" s="482"/>
      <c r="AF101" s="522"/>
      <c r="AG101" s="59"/>
      <c r="AH101" s="1163"/>
      <c r="AI101" s="59"/>
      <c r="AJ101" s="213"/>
      <c r="AK101" s="52"/>
      <c r="AL101" s="52"/>
    </row>
    <row r="102" spans="1:123" s="53" customFormat="1" ht="28">
      <c r="A102" s="236"/>
      <c r="B102" s="196"/>
      <c r="C102" s="1184"/>
      <c r="D102" s="1186"/>
      <c r="E102" s="397"/>
      <c r="F102" s="666"/>
      <c r="G102" s="386"/>
      <c r="H102" s="1190"/>
      <c r="I102" s="1192"/>
      <c r="J102" s="356"/>
      <c r="K102" s="389" t="s">
        <v>896</v>
      </c>
      <c r="L102" s="378"/>
      <c r="M102" s="1175"/>
      <c r="N102" s="1176"/>
      <c r="O102" s="1176"/>
      <c r="P102" s="1176"/>
      <c r="Q102" s="1176"/>
      <c r="R102" s="1176"/>
      <c r="S102" s="1176"/>
      <c r="T102" s="1176"/>
      <c r="U102" s="1160"/>
      <c r="V102" s="619"/>
      <c r="W102" s="619"/>
      <c r="X102" s="619"/>
      <c r="Y102" s="587"/>
      <c r="Z102" s="619"/>
      <c r="AA102" s="619"/>
      <c r="AB102" s="619"/>
      <c r="AC102" s="481"/>
      <c r="AD102" s="482"/>
      <c r="AE102" s="482"/>
      <c r="AF102" s="522"/>
      <c r="AG102" s="59"/>
      <c r="AH102" s="1163"/>
      <c r="AI102" s="59"/>
      <c r="AJ102" s="213"/>
      <c r="AK102" s="52"/>
      <c r="AL102" s="52"/>
    </row>
    <row r="103" spans="1:123" s="53" customFormat="1" ht="29" thickBot="1">
      <c r="A103" s="236"/>
      <c r="B103" s="196"/>
      <c r="C103" s="432"/>
      <c r="D103" s="1212"/>
      <c r="E103" s="433"/>
      <c r="F103" s="719"/>
      <c r="G103" s="435"/>
      <c r="H103" s="720"/>
      <c r="I103" s="466"/>
      <c r="J103" s="468"/>
      <c r="K103" s="718" t="s">
        <v>871</v>
      </c>
      <c r="L103" s="437"/>
      <c r="M103" s="1293"/>
      <c r="N103" s="1294"/>
      <c r="O103" s="1294"/>
      <c r="P103" s="1294"/>
      <c r="Q103" s="1294"/>
      <c r="R103" s="1294"/>
      <c r="S103" s="1294"/>
      <c r="T103" s="1294"/>
      <c r="U103" s="1161"/>
      <c r="V103" s="438"/>
      <c r="W103" s="438"/>
      <c r="X103" s="438"/>
      <c r="Y103" s="439"/>
      <c r="Z103" s="438"/>
      <c r="AA103" s="438"/>
      <c r="AB103" s="438"/>
      <c r="AC103" s="484"/>
      <c r="AD103" s="485"/>
      <c r="AE103" s="485"/>
      <c r="AF103" s="523"/>
      <c r="AG103" s="475"/>
      <c r="AH103" s="525"/>
      <c r="AI103" s="475"/>
      <c r="AJ103" s="422"/>
      <c r="AK103" s="52"/>
      <c r="AL103" s="52"/>
    </row>
    <row r="104" spans="1:123" s="584" customFormat="1" ht="29" thickBot="1">
      <c r="A104" s="578" t="s">
        <v>2</v>
      </c>
      <c r="B104" s="559"/>
      <c r="C104" s="649" t="s">
        <v>897</v>
      </c>
      <c r="D104" s="650" t="s">
        <v>898</v>
      </c>
      <c r="E104" s="1049" t="s">
        <v>1216</v>
      </c>
      <c r="F104" s="652"/>
      <c r="G104" s="464" t="s">
        <v>91</v>
      </c>
      <c r="H104" s="653" t="s">
        <v>102</v>
      </c>
      <c r="I104" s="654" t="s">
        <v>892</v>
      </c>
      <c r="J104" s="655" t="s">
        <v>695</v>
      </c>
      <c r="K104" s="656"/>
      <c r="L104" s="657"/>
      <c r="M104" s="1406"/>
      <c r="N104" s="1406"/>
      <c r="O104" s="1406"/>
      <c r="P104" s="1406"/>
      <c r="Q104" s="1406"/>
      <c r="R104" s="1406"/>
      <c r="S104" s="1406"/>
      <c r="T104" s="1407"/>
      <c r="U104" s="490" t="s">
        <v>11</v>
      </c>
      <c r="V104" s="658"/>
      <c r="W104" s="658"/>
      <c r="X104" s="658"/>
      <c r="Y104" s="658"/>
      <c r="Z104" s="658"/>
      <c r="AA104" s="658"/>
      <c r="AB104" s="658"/>
      <c r="AC104" s="659"/>
      <c r="AD104" s="660"/>
      <c r="AE104" s="660"/>
      <c r="AF104" s="1122"/>
      <c r="AG104" s="661"/>
      <c r="AH104" s="1123"/>
      <c r="AI104" s="662"/>
      <c r="AJ104" s="663"/>
      <c r="AK104" s="565"/>
      <c r="AL104" s="565"/>
      <c r="AM104" s="565"/>
      <c r="AN104" s="565"/>
      <c r="AO104" s="565"/>
      <c r="AP104" s="565"/>
      <c r="AQ104" s="565"/>
      <c r="AR104" s="565"/>
      <c r="AS104" s="565"/>
      <c r="AT104" s="565"/>
      <c r="AU104" s="565"/>
      <c r="AV104" s="565"/>
      <c r="AW104" s="565"/>
      <c r="AX104" s="565"/>
      <c r="AY104" s="565"/>
      <c r="AZ104" s="565"/>
      <c r="BA104" s="565"/>
      <c r="BB104" s="565"/>
      <c r="BC104" s="565"/>
      <c r="BD104" s="565"/>
      <c r="BE104" s="565"/>
      <c r="BF104" s="565"/>
      <c r="BG104" s="565"/>
      <c r="BH104" s="565"/>
      <c r="BI104" s="565"/>
      <c r="BJ104" s="565"/>
      <c r="BK104" s="565"/>
      <c r="BL104" s="565"/>
      <c r="BM104" s="565"/>
      <c r="BN104" s="565"/>
      <c r="BO104" s="565"/>
      <c r="BP104" s="565"/>
      <c r="BQ104" s="565"/>
      <c r="BR104" s="565"/>
      <c r="BS104" s="565"/>
      <c r="BT104" s="565"/>
      <c r="BU104" s="565"/>
      <c r="BV104" s="565"/>
      <c r="BW104" s="565"/>
      <c r="BX104" s="565"/>
      <c r="BY104" s="565"/>
      <c r="BZ104" s="565"/>
      <c r="CA104" s="565"/>
      <c r="CB104" s="565"/>
      <c r="CC104" s="565"/>
      <c r="CD104" s="565"/>
      <c r="CE104" s="565"/>
      <c r="CF104" s="565"/>
      <c r="CG104" s="565"/>
      <c r="CH104" s="565"/>
      <c r="CI104" s="565"/>
      <c r="CJ104" s="565"/>
      <c r="CK104" s="565"/>
      <c r="CL104" s="565"/>
      <c r="CM104" s="565"/>
      <c r="CN104" s="565"/>
      <c r="CO104" s="565"/>
      <c r="CP104" s="565"/>
      <c r="CQ104" s="565"/>
      <c r="CR104" s="565"/>
      <c r="CS104" s="565"/>
      <c r="CT104" s="565"/>
      <c r="CU104" s="565"/>
      <c r="CV104" s="565"/>
      <c r="CW104" s="565"/>
      <c r="CX104" s="565"/>
      <c r="CY104" s="565"/>
      <c r="CZ104" s="565"/>
      <c r="DA104" s="565"/>
      <c r="DB104" s="565"/>
      <c r="DC104" s="565"/>
      <c r="DD104" s="565"/>
      <c r="DE104" s="565"/>
      <c r="DF104" s="565"/>
      <c r="DG104" s="565"/>
      <c r="DH104" s="565"/>
      <c r="DI104" s="565"/>
      <c r="DJ104" s="565"/>
      <c r="DK104" s="565"/>
      <c r="DL104" s="565"/>
      <c r="DM104" s="565"/>
      <c r="DN104" s="565"/>
      <c r="DO104" s="565"/>
      <c r="DP104" s="565"/>
      <c r="DQ104" s="565"/>
      <c r="DR104" s="565"/>
      <c r="DS104" s="565"/>
    </row>
    <row r="105" spans="1:123" s="53" customFormat="1" ht="28">
      <c r="A105" s="236" t="s">
        <v>2</v>
      </c>
      <c r="B105" s="196"/>
      <c r="C105" s="425" t="s">
        <v>899</v>
      </c>
      <c r="D105" s="426" t="s">
        <v>1265</v>
      </c>
      <c r="E105" s="1049" t="s">
        <v>1216</v>
      </c>
      <c r="F105" s="427"/>
      <c r="G105" s="372" t="s">
        <v>91</v>
      </c>
      <c r="H105" s="373" t="s">
        <v>247</v>
      </c>
      <c r="I105" s="440" t="s">
        <v>775</v>
      </c>
      <c r="J105" s="375" t="s">
        <v>695</v>
      </c>
      <c r="K105" s="724" t="s">
        <v>873</v>
      </c>
      <c r="L105" s="640" t="s">
        <v>877</v>
      </c>
      <c r="M105" s="1314" t="s">
        <v>880</v>
      </c>
      <c r="N105" s="1314"/>
      <c r="O105" s="1314"/>
      <c r="P105" s="1314"/>
      <c r="Q105" s="1314"/>
      <c r="R105" s="1314"/>
      <c r="S105" s="1314"/>
      <c r="T105" s="1315"/>
      <c r="U105" s="1159" t="s">
        <v>11</v>
      </c>
      <c r="V105" s="615"/>
      <c r="W105" s="615"/>
      <c r="X105" s="615"/>
      <c r="Y105" s="424"/>
      <c r="Z105" s="615"/>
      <c r="AA105" s="615"/>
      <c r="AB105" s="615"/>
      <c r="AC105" s="479"/>
      <c r="AD105" s="480"/>
      <c r="AE105" s="480"/>
      <c r="AF105" s="521"/>
      <c r="AG105" s="56"/>
      <c r="AH105" s="527"/>
      <c r="AI105" s="56"/>
      <c r="AJ105" s="191"/>
      <c r="AK105" s="52"/>
      <c r="AL105" s="52"/>
    </row>
    <row r="106" spans="1:123" s="53" customFormat="1" ht="42">
      <c r="A106" s="236"/>
      <c r="B106" s="196"/>
      <c r="C106" s="430"/>
      <c r="D106" s="227"/>
      <c r="E106" s="397"/>
      <c r="F106" s="399"/>
      <c r="G106" s="386"/>
      <c r="H106" s="431"/>
      <c r="I106" s="380"/>
      <c r="J106" s="356"/>
      <c r="K106" s="725" t="s">
        <v>900</v>
      </c>
      <c r="L106" s="638" t="s">
        <v>878</v>
      </c>
      <c r="M106" s="1316"/>
      <c r="N106" s="1316"/>
      <c r="O106" s="1316"/>
      <c r="P106" s="1316"/>
      <c r="Q106" s="1316"/>
      <c r="R106" s="1316"/>
      <c r="S106" s="1316"/>
      <c r="T106" s="1175"/>
      <c r="U106" s="1160"/>
      <c r="V106" s="619"/>
      <c r="W106" s="619"/>
      <c r="X106" s="619"/>
      <c r="Y106" s="587"/>
      <c r="Z106" s="619"/>
      <c r="AA106" s="619"/>
      <c r="AB106" s="619"/>
      <c r="AC106" s="481"/>
      <c r="AD106" s="482"/>
      <c r="AE106" s="482"/>
      <c r="AF106" s="522"/>
      <c r="AG106" s="59"/>
      <c r="AH106" s="528"/>
      <c r="AI106" s="59"/>
      <c r="AJ106" s="213"/>
      <c r="AK106" s="52"/>
      <c r="AL106" s="52"/>
    </row>
    <row r="107" spans="1:123" s="53" customFormat="1" ht="28">
      <c r="A107" s="236"/>
      <c r="B107" s="196"/>
      <c r="C107" s="430"/>
      <c r="D107" s="227"/>
      <c r="E107" s="397"/>
      <c r="F107" s="399"/>
      <c r="G107" s="386"/>
      <c r="H107" s="431"/>
      <c r="I107" s="380"/>
      <c r="J107" s="356"/>
      <c r="K107" s="725" t="s">
        <v>901</v>
      </c>
      <c r="L107" s="638" t="s">
        <v>902</v>
      </c>
      <c r="M107" s="1316"/>
      <c r="N107" s="1316"/>
      <c r="O107" s="1316"/>
      <c r="P107" s="1316"/>
      <c r="Q107" s="1316"/>
      <c r="R107" s="1316"/>
      <c r="S107" s="1316"/>
      <c r="T107" s="1175"/>
      <c r="U107" s="1160"/>
      <c r="V107" s="619"/>
      <c r="W107" s="619"/>
      <c r="X107" s="619"/>
      <c r="Y107" s="587"/>
      <c r="Z107" s="619"/>
      <c r="AA107" s="619"/>
      <c r="AB107" s="619"/>
      <c r="AC107" s="481"/>
      <c r="AD107" s="482"/>
      <c r="AE107" s="482"/>
      <c r="AF107" s="522"/>
      <c r="AG107" s="59"/>
      <c r="AH107" s="528"/>
      <c r="AI107" s="59"/>
      <c r="AJ107" s="213"/>
      <c r="AK107" s="52"/>
      <c r="AL107" s="52"/>
    </row>
    <row r="108" spans="1:123" s="53" customFormat="1" ht="29" thickBot="1">
      <c r="A108" s="236"/>
      <c r="B108" s="196"/>
      <c r="C108" s="432"/>
      <c r="D108" s="465"/>
      <c r="E108" s="433"/>
      <c r="F108" s="434"/>
      <c r="G108" s="435"/>
      <c r="H108" s="436"/>
      <c r="I108" s="466"/>
      <c r="J108" s="356"/>
      <c r="K108" s="726" t="s">
        <v>876</v>
      </c>
      <c r="L108" s="639" t="s">
        <v>879</v>
      </c>
      <c r="M108" s="1316"/>
      <c r="N108" s="1316"/>
      <c r="O108" s="1316"/>
      <c r="P108" s="1316"/>
      <c r="Q108" s="1316"/>
      <c r="R108" s="1316"/>
      <c r="S108" s="1316"/>
      <c r="T108" s="1175"/>
      <c r="U108" s="1161"/>
      <c r="V108" s="438"/>
      <c r="W108" s="438"/>
      <c r="X108" s="438"/>
      <c r="Y108" s="439"/>
      <c r="Z108" s="438"/>
      <c r="AA108" s="438"/>
      <c r="AB108" s="438"/>
      <c r="AC108" s="484"/>
      <c r="AD108" s="485"/>
      <c r="AE108" s="485"/>
      <c r="AF108" s="523"/>
      <c r="AG108" s="475"/>
      <c r="AH108" s="529"/>
      <c r="AI108" s="59"/>
      <c r="AJ108" s="422"/>
      <c r="AK108" s="52"/>
      <c r="AL108" s="52"/>
    </row>
    <row r="109" spans="1:123" s="53" customFormat="1" ht="42">
      <c r="A109" s="236" t="s">
        <v>2</v>
      </c>
      <c r="B109" s="196"/>
      <c r="C109" s="1183" t="s">
        <v>904</v>
      </c>
      <c r="D109" s="1185" t="s">
        <v>905</v>
      </c>
      <c r="E109" s="1049" t="s">
        <v>1216</v>
      </c>
      <c r="F109" s="1187"/>
      <c r="G109" s="372" t="s">
        <v>91</v>
      </c>
      <c r="H109" s="1189" t="s">
        <v>102</v>
      </c>
      <c r="I109" s="1191" t="s">
        <v>730</v>
      </c>
      <c r="J109" s="1408" t="s">
        <v>731</v>
      </c>
      <c r="K109" s="500" t="s">
        <v>906</v>
      </c>
      <c r="L109" s="420"/>
      <c r="M109" s="1172"/>
      <c r="N109" s="1173"/>
      <c r="O109" s="1173"/>
      <c r="P109" s="1173"/>
      <c r="Q109" s="1173"/>
      <c r="R109" s="1173"/>
      <c r="S109" s="1173"/>
      <c r="T109" s="1173"/>
      <c r="U109" s="1159" t="s">
        <v>11</v>
      </c>
      <c r="V109" s="615"/>
      <c r="W109" s="615"/>
      <c r="X109" s="615"/>
      <c r="Y109" s="424"/>
      <c r="Z109" s="615"/>
      <c r="AA109" s="615"/>
      <c r="AB109" s="615"/>
      <c r="AC109" s="479"/>
      <c r="AD109" s="480"/>
      <c r="AE109" s="480"/>
      <c r="AF109" s="521"/>
      <c r="AG109" s="56"/>
      <c r="AH109" s="1339"/>
      <c r="AI109" s="56"/>
      <c r="AJ109" s="191"/>
      <c r="AK109" s="52"/>
      <c r="AL109" s="52"/>
    </row>
    <row r="110" spans="1:123" s="53" customFormat="1" ht="42">
      <c r="A110" s="236"/>
      <c r="B110" s="196"/>
      <c r="C110" s="1184"/>
      <c r="D110" s="1186"/>
      <c r="E110" s="397"/>
      <c r="F110" s="1188"/>
      <c r="G110" s="386"/>
      <c r="H110" s="1190"/>
      <c r="I110" s="1192"/>
      <c r="J110" s="1409"/>
      <c r="K110" s="388" t="s">
        <v>907</v>
      </c>
      <c r="L110" s="377"/>
      <c r="M110" s="1175"/>
      <c r="N110" s="1176"/>
      <c r="O110" s="1176"/>
      <c r="P110" s="1176"/>
      <c r="Q110" s="1176"/>
      <c r="R110" s="1176"/>
      <c r="S110" s="1176"/>
      <c r="T110" s="1176"/>
      <c r="U110" s="1160"/>
      <c r="V110" s="619"/>
      <c r="W110" s="619"/>
      <c r="X110" s="619"/>
      <c r="Y110" s="587"/>
      <c r="Z110" s="619"/>
      <c r="AA110" s="619"/>
      <c r="AB110" s="619"/>
      <c r="AC110" s="481"/>
      <c r="AD110" s="482"/>
      <c r="AE110" s="482"/>
      <c r="AF110" s="522"/>
      <c r="AG110" s="59"/>
      <c r="AH110" s="1340"/>
      <c r="AI110" s="59"/>
      <c r="AJ110" s="213"/>
      <c r="AK110" s="52"/>
      <c r="AL110" s="52"/>
    </row>
    <row r="111" spans="1:123" s="53" customFormat="1" ht="42">
      <c r="A111" s="236"/>
      <c r="B111" s="196"/>
      <c r="C111" s="1184"/>
      <c r="D111" s="1186"/>
      <c r="E111" s="397"/>
      <c r="F111" s="1188"/>
      <c r="G111" s="386"/>
      <c r="H111" s="1190"/>
      <c r="I111" s="1192"/>
      <c r="J111" s="1409"/>
      <c r="K111" s="388" t="s">
        <v>908</v>
      </c>
      <c r="L111" s="377"/>
      <c r="M111" s="1175"/>
      <c r="N111" s="1176"/>
      <c r="O111" s="1176"/>
      <c r="P111" s="1176"/>
      <c r="Q111" s="1176"/>
      <c r="R111" s="1176"/>
      <c r="S111" s="1176"/>
      <c r="T111" s="1176"/>
      <c r="U111" s="1160"/>
      <c r="V111" s="619"/>
      <c r="W111" s="619"/>
      <c r="X111" s="619"/>
      <c r="Y111" s="587"/>
      <c r="Z111" s="619"/>
      <c r="AA111" s="619"/>
      <c r="AB111" s="619"/>
      <c r="AC111" s="481"/>
      <c r="AD111" s="482"/>
      <c r="AE111" s="482"/>
      <c r="AF111" s="522"/>
      <c r="AG111" s="59"/>
      <c r="AH111" s="1340"/>
      <c r="AI111" s="59"/>
      <c r="AJ111" s="213"/>
      <c r="AK111" s="52"/>
      <c r="AL111" s="52"/>
    </row>
    <row r="112" spans="1:123" s="53" customFormat="1" ht="42">
      <c r="A112" s="236"/>
      <c r="B112" s="196"/>
      <c r="C112" s="1184"/>
      <c r="D112" s="1186"/>
      <c r="E112" s="397"/>
      <c r="F112" s="1188"/>
      <c r="G112" s="386"/>
      <c r="H112" s="1190"/>
      <c r="I112" s="1192"/>
      <c r="J112" s="1409"/>
      <c r="K112" s="388" t="s">
        <v>909</v>
      </c>
      <c r="L112" s="377"/>
      <c r="M112" s="1175"/>
      <c r="N112" s="1176"/>
      <c r="O112" s="1176"/>
      <c r="P112" s="1176"/>
      <c r="Q112" s="1176"/>
      <c r="R112" s="1176"/>
      <c r="S112" s="1176"/>
      <c r="T112" s="1176"/>
      <c r="U112" s="1160"/>
      <c r="V112" s="619"/>
      <c r="W112" s="619"/>
      <c r="X112" s="619"/>
      <c r="Y112" s="587"/>
      <c r="Z112" s="619"/>
      <c r="AA112" s="619"/>
      <c r="AB112" s="619"/>
      <c r="AC112" s="481"/>
      <c r="AD112" s="482"/>
      <c r="AE112" s="482"/>
      <c r="AF112" s="522"/>
      <c r="AG112" s="59"/>
      <c r="AH112" s="1340"/>
      <c r="AI112" s="59"/>
      <c r="AJ112" s="213"/>
      <c r="AK112" s="52"/>
      <c r="AL112" s="52"/>
    </row>
    <row r="113" spans="1:123" s="53" customFormat="1" ht="56">
      <c r="A113" s="236"/>
      <c r="B113" s="196"/>
      <c r="C113" s="1184"/>
      <c r="D113" s="1186"/>
      <c r="E113" s="397"/>
      <c r="F113" s="1188"/>
      <c r="G113" s="386"/>
      <c r="H113" s="1190"/>
      <c r="I113" s="1192"/>
      <c r="J113" s="1409"/>
      <c r="K113" s="388" t="s">
        <v>910</v>
      </c>
      <c r="L113" s="377"/>
      <c r="M113" s="1175"/>
      <c r="N113" s="1176"/>
      <c r="O113" s="1176"/>
      <c r="P113" s="1176"/>
      <c r="Q113" s="1176"/>
      <c r="R113" s="1176"/>
      <c r="S113" s="1176"/>
      <c r="T113" s="1176"/>
      <c r="U113" s="1160"/>
      <c r="V113" s="619"/>
      <c r="W113" s="619"/>
      <c r="X113" s="619"/>
      <c r="Y113" s="587"/>
      <c r="Z113" s="619"/>
      <c r="AA113" s="619"/>
      <c r="AB113" s="619"/>
      <c r="AC113" s="481"/>
      <c r="AD113" s="482"/>
      <c r="AE113" s="482"/>
      <c r="AF113" s="522"/>
      <c r="AG113" s="59"/>
      <c r="AH113" s="1340"/>
      <c r="AI113" s="59"/>
      <c r="AJ113" s="213"/>
      <c r="AK113" s="52"/>
      <c r="AL113" s="52"/>
    </row>
    <row r="114" spans="1:123" s="53" customFormat="1" ht="42">
      <c r="A114" s="236"/>
      <c r="B114" s="196"/>
      <c r="C114" s="1184"/>
      <c r="D114" s="1186"/>
      <c r="E114" s="397"/>
      <c r="F114" s="1188"/>
      <c r="G114" s="386"/>
      <c r="H114" s="1190"/>
      <c r="I114" s="1192"/>
      <c r="J114" s="1409"/>
      <c r="K114" s="388" t="s">
        <v>887</v>
      </c>
      <c r="L114" s="377"/>
      <c r="M114" s="1175"/>
      <c r="N114" s="1176"/>
      <c r="O114" s="1176"/>
      <c r="P114" s="1176"/>
      <c r="Q114" s="1176"/>
      <c r="R114" s="1176"/>
      <c r="S114" s="1176"/>
      <c r="T114" s="1176"/>
      <c r="U114" s="1160"/>
      <c r="V114" s="619"/>
      <c r="W114" s="619"/>
      <c r="X114" s="619"/>
      <c r="Y114" s="587"/>
      <c r="Z114" s="619"/>
      <c r="AA114" s="619"/>
      <c r="AB114" s="619"/>
      <c r="AC114" s="481"/>
      <c r="AD114" s="482"/>
      <c r="AE114" s="482"/>
      <c r="AF114" s="522"/>
      <c r="AG114" s="59"/>
      <c r="AH114" s="1340"/>
      <c r="AI114" s="59"/>
      <c r="AJ114" s="213"/>
      <c r="AK114" s="52"/>
      <c r="AL114" s="52"/>
    </row>
    <row r="115" spans="1:123" s="53" customFormat="1" ht="42">
      <c r="A115" s="236"/>
      <c r="B115" s="196"/>
      <c r="C115" s="1184"/>
      <c r="D115" s="1186"/>
      <c r="E115" s="397"/>
      <c r="F115" s="1188"/>
      <c r="G115" s="386"/>
      <c r="H115" s="1190"/>
      <c r="I115" s="1192"/>
      <c r="J115" s="1409"/>
      <c r="K115" s="389" t="s">
        <v>911</v>
      </c>
      <c r="L115" s="377"/>
      <c r="M115" s="1175"/>
      <c r="N115" s="1176"/>
      <c r="O115" s="1176"/>
      <c r="P115" s="1176"/>
      <c r="Q115" s="1176"/>
      <c r="R115" s="1176"/>
      <c r="S115" s="1176"/>
      <c r="T115" s="1176"/>
      <c r="U115" s="1160"/>
      <c r="V115" s="619"/>
      <c r="W115" s="619"/>
      <c r="X115" s="619"/>
      <c r="Y115" s="587"/>
      <c r="Z115" s="619"/>
      <c r="AA115" s="619"/>
      <c r="AB115" s="619"/>
      <c r="AC115" s="481"/>
      <c r="AD115" s="482"/>
      <c r="AE115" s="482"/>
      <c r="AF115" s="522"/>
      <c r="AG115" s="59"/>
      <c r="AH115" s="1340"/>
      <c r="AI115" s="59"/>
      <c r="AJ115" s="213"/>
      <c r="AK115" s="52"/>
      <c r="AL115" s="52"/>
    </row>
    <row r="116" spans="1:123" s="53" customFormat="1" ht="56">
      <c r="A116" s="236"/>
      <c r="B116" s="196"/>
      <c r="C116" s="1184"/>
      <c r="D116" s="1186"/>
      <c r="E116" s="397"/>
      <c r="F116" s="1188"/>
      <c r="G116" s="386"/>
      <c r="H116" s="1190"/>
      <c r="I116" s="1192"/>
      <c r="J116" s="1409"/>
      <c r="K116" s="389" t="s">
        <v>912</v>
      </c>
      <c r="L116" s="377"/>
      <c r="M116" s="1175"/>
      <c r="N116" s="1176"/>
      <c r="O116" s="1176"/>
      <c r="P116" s="1176"/>
      <c r="Q116" s="1176"/>
      <c r="R116" s="1176"/>
      <c r="S116" s="1176"/>
      <c r="T116" s="1176"/>
      <c r="U116" s="1160"/>
      <c r="V116" s="619"/>
      <c r="W116" s="619"/>
      <c r="X116" s="619"/>
      <c r="Y116" s="587"/>
      <c r="Z116" s="619"/>
      <c r="AA116" s="619"/>
      <c r="AB116" s="619"/>
      <c r="AC116" s="481"/>
      <c r="AD116" s="482"/>
      <c r="AE116" s="482"/>
      <c r="AF116" s="522"/>
      <c r="AG116" s="59"/>
      <c r="AH116" s="1340"/>
      <c r="AI116" s="59"/>
      <c r="AJ116" s="213"/>
      <c r="AK116" s="52"/>
      <c r="AL116" s="52"/>
    </row>
    <row r="117" spans="1:123" s="53" customFormat="1" ht="18" thickBot="1">
      <c r="A117" s="236"/>
      <c r="B117" s="196"/>
      <c r="C117" s="1184"/>
      <c r="D117" s="1186"/>
      <c r="E117" s="397"/>
      <c r="F117" s="1188"/>
      <c r="G117" s="386"/>
      <c r="H117" s="1190"/>
      <c r="I117" s="1192"/>
      <c r="J117" s="1409"/>
      <c r="K117" s="389" t="s">
        <v>96</v>
      </c>
      <c r="L117" s="377"/>
      <c r="M117" s="1175"/>
      <c r="N117" s="1176"/>
      <c r="O117" s="1176"/>
      <c r="P117" s="1176"/>
      <c r="Q117" s="1176"/>
      <c r="R117" s="1176"/>
      <c r="S117" s="1176"/>
      <c r="T117" s="1176"/>
      <c r="U117" s="1160"/>
      <c r="V117" s="619"/>
      <c r="W117" s="619"/>
      <c r="X117" s="619"/>
      <c r="Y117" s="587"/>
      <c r="Z117" s="619"/>
      <c r="AA117" s="619"/>
      <c r="AB117" s="619"/>
      <c r="AC117" s="481"/>
      <c r="AD117" s="482"/>
      <c r="AE117" s="482"/>
      <c r="AF117" s="522"/>
      <c r="AG117" s="59"/>
      <c r="AH117" s="1340"/>
      <c r="AI117" s="59"/>
      <c r="AJ117" s="213"/>
      <c r="AK117" s="52"/>
      <c r="AL117" s="52"/>
    </row>
    <row r="118" spans="1:123" s="584" customFormat="1" ht="42" customHeight="1" thickBot="1">
      <c r="A118" s="578" t="s">
        <v>2</v>
      </c>
      <c r="B118" s="559"/>
      <c r="C118" s="649" t="s">
        <v>913</v>
      </c>
      <c r="D118" s="650" t="s">
        <v>914</v>
      </c>
      <c r="E118" s="1051" t="s">
        <v>1216</v>
      </c>
      <c r="F118" s="652"/>
      <c r="G118" s="464" t="s">
        <v>91</v>
      </c>
      <c r="H118" s="653" t="s">
        <v>102</v>
      </c>
      <c r="I118" s="654" t="s">
        <v>892</v>
      </c>
      <c r="J118" s="655" t="s">
        <v>695</v>
      </c>
      <c r="K118" s="656"/>
      <c r="L118" s="657"/>
      <c r="M118" s="1406"/>
      <c r="N118" s="1406"/>
      <c r="O118" s="1406"/>
      <c r="P118" s="1406"/>
      <c r="Q118" s="1406"/>
      <c r="R118" s="1406"/>
      <c r="S118" s="1406"/>
      <c r="T118" s="1407"/>
      <c r="U118" s="490" t="s">
        <v>11</v>
      </c>
      <c r="V118" s="658"/>
      <c r="W118" s="658"/>
      <c r="X118" s="658"/>
      <c r="Y118" s="658"/>
      <c r="Z118" s="658"/>
      <c r="AA118" s="658"/>
      <c r="AB118" s="658"/>
      <c r="AC118" s="659"/>
      <c r="AD118" s="660"/>
      <c r="AE118" s="660"/>
      <c r="AF118" s="1122"/>
      <c r="AG118" s="661"/>
      <c r="AH118" s="1123"/>
      <c r="AI118" s="662"/>
      <c r="AJ118" s="663"/>
      <c r="AK118" s="565"/>
      <c r="AL118" s="565"/>
      <c r="AM118" s="565"/>
      <c r="AN118" s="565"/>
      <c r="AO118" s="565"/>
      <c r="AP118" s="565"/>
      <c r="AQ118" s="565"/>
      <c r="AR118" s="565"/>
      <c r="AS118" s="565"/>
      <c r="AT118" s="565"/>
      <c r="AU118" s="565"/>
      <c r="AV118" s="565"/>
      <c r="AW118" s="565"/>
      <c r="AX118" s="565"/>
      <c r="AY118" s="565"/>
      <c r="AZ118" s="565"/>
      <c r="BA118" s="565"/>
      <c r="BB118" s="565"/>
      <c r="BC118" s="565"/>
      <c r="BD118" s="565"/>
      <c r="BE118" s="565"/>
      <c r="BF118" s="565"/>
      <c r="BG118" s="565"/>
      <c r="BH118" s="565"/>
      <c r="BI118" s="565"/>
      <c r="BJ118" s="565"/>
      <c r="BK118" s="565"/>
      <c r="BL118" s="565"/>
      <c r="BM118" s="565"/>
      <c r="BN118" s="565"/>
      <c r="BO118" s="565"/>
      <c r="BP118" s="565"/>
      <c r="BQ118" s="565"/>
      <c r="BR118" s="565"/>
      <c r="BS118" s="565"/>
      <c r="BT118" s="565"/>
      <c r="BU118" s="565"/>
      <c r="BV118" s="565"/>
      <c r="BW118" s="565"/>
      <c r="BX118" s="565"/>
      <c r="BY118" s="565"/>
      <c r="BZ118" s="565"/>
      <c r="CA118" s="565"/>
      <c r="CB118" s="565"/>
      <c r="CC118" s="565"/>
      <c r="CD118" s="565"/>
      <c r="CE118" s="565"/>
      <c r="CF118" s="565"/>
      <c r="CG118" s="565"/>
      <c r="CH118" s="565"/>
      <c r="CI118" s="565"/>
      <c r="CJ118" s="565"/>
      <c r="CK118" s="565"/>
      <c r="CL118" s="565"/>
      <c r="CM118" s="565"/>
      <c r="CN118" s="565"/>
      <c r="CO118" s="565"/>
      <c r="CP118" s="565"/>
      <c r="CQ118" s="565"/>
      <c r="CR118" s="565"/>
      <c r="CS118" s="565"/>
      <c r="CT118" s="565"/>
      <c r="CU118" s="565"/>
      <c r="CV118" s="565"/>
      <c r="CW118" s="565"/>
      <c r="CX118" s="565"/>
      <c r="CY118" s="565"/>
      <c r="CZ118" s="565"/>
      <c r="DA118" s="565"/>
      <c r="DB118" s="565"/>
      <c r="DC118" s="565"/>
      <c r="DD118" s="565"/>
      <c r="DE118" s="565"/>
      <c r="DF118" s="565"/>
      <c r="DG118" s="565"/>
      <c r="DH118" s="565"/>
      <c r="DI118" s="565"/>
      <c r="DJ118" s="565"/>
      <c r="DK118" s="565"/>
      <c r="DL118" s="565"/>
      <c r="DM118" s="565"/>
      <c r="DN118" s="565"/>
      <c r="DO118" s="565"/>
      <c r="DP118" s="565"/>
      <c r="DQ118" s="565"/>
      <c r="DR118" s="565"/>
      <c r="DS118" s="565"/>
    </row>
    <row r="119" spans="1:123" ht="36" customHeight="1" thickBot="1">
      <c r="B119" s="86"/>
      <c r="C119" s="89" t="s">
        <v>454</v>
      </c>
      <c r="D119" s="90"/>
      <c r="E119" s="91"/>
      <c r="F119" s="92"/>
      <c r="G119" s="93"/>
      <c r="H119" s="93"/>
      <c r="I119" s="94"/>
      <c r="J119" s="93"/>
      <c r="K119" s="94"/>
      <c r="L119" s="208"/>
      <c r="M119" s="208"/>
      <c r="N119" s="208"/>
      <c r="O119" s="208"/>
      <c r="P119" s="208"/>
      <c r="Q119" s="208"/>
      <c r="R119" s="208"/>
      <c r="S119" s="208"/>
      <c r="T119" s="208"/>
      <c r="U119" s="212"/>
      <c r="V119" s="208"/>
      <c r="W119" s="208"/>
      <c r="X119" s="208"/>
      <c r="Y119" s="208"/>
      <c r="Z119" s="208"/>
      <c r="AA119" s="208"/>
      <c r="AB119" s="208"/>
      <c r="AC119" s="208"/>
      <c r="AD119" s="208"/>
      <c r="AE119" s="208"/>
      <c r="AF119" s="209"/>
      <c r="AG119" s="208"/>
      <c r="AH119" s="212"/>
      <c r="AI119" s="208"/>
      <c r="AJ119" s="213"/>
      <c r="AK119" s="60"/>
      <c r="AL119" s="60"/>
    </row>
    <row r="120" spans="1:123" s="39" customFormat="1" ht="57" thickBot="1">
      <c r="A120" s="136"/>
      <c r="B120" s="87"/>
      <c r="C120" s="62"/>
      <c r="D120" s="63" t="s">
        <v>455</v>
      </c>
      <c r="E120" s="104"/>
      <c r="F120" s="103"/>
      <c r="G120" s="103"/>
      <c r="H120" s="103"/>
      <c r="I120" s="103" t="s">
        <v>462</v>
      </c>
      <c r="J120" s="360"/>
      <c r="K120" s="105"/>
      <c r="L120" s="1290" t="s">
        <v>461</v>
      </c>
      <c r="M120" s="1291"/>
      <c r="N120" s="1291"/>
      <c r="O120" s="1291"/>
      <c r="P120" s="1291"/>
      <c r="Q120" s="1291"/>
      <c r="R120" s="1291"/>
      <c r="S120" s="1291"/>
      <c r="T120" s="1292"/>
      <c r="U120" s="209"/>
      <c r="V120" s="210"/>
      <c r="W120" s="210"/>
      <c r="X120" s="210"/>
      <c r="Y120" s="210"/>
      <c r="Z120" s="210"/>
      <c r="AA120" s="210"/>
      <c r="AB120" s="210"/>
      <c r="AC120" s="210"/>
      <c r="AD120" s="210"/>
      <c r="AE120" s="210"/>
      <c r="AF120" s="209"/>
      <c r="AG120" s="210"/>
      <c r="AH120" s="209"/>
      <c r="AI120" s="210"/>
      <c r="AJ120" s="211"/>
      <c r="AK120" s="64"/>
      <c r="AL120" s="64"/>
    </row>
    <row r="121" spans="1:123" ht="37" customHeight="1" thickBot="1">
      <c r="B121" s="86"/>
      <c r="C121" s="89" t="s">
        <v>101</v>
      </c>
      <c r="D121" s="90"/>
      <c r="E121" s="91"/>
      <c r="F121" s="92"/>
      <c r="G121" s="93"/>
      <c r="H121" s="93"/>
      <c r="I121" s="94"/>
      <c r="J121" s="93"/>
      <c r="K121" s="94"/>
      <c r="L121" s="838"/>
      <c r="M121" s="839"/>
      <c r="N121" s="839"/>
      <c r="O121" s="839"/>
      <c r="P121" s="839"/>
      <c r="Q121" s="839"/>
      <c r="R121" s="839"/>
      <c r="S121" s="839"/>
      <c r="T121" s="839"/>
      <c r="U121" s="212"/>
      <c r="V121" s="208"/>
      <c r="W121" s="208"/>
      <c r="X121" s="208"/>
      <c r="Y121" s="208"/>
      <c r="Z121" s="208"/>
      <c r="AA121" s="208"/>
      <c r="AB121" s="208"/>
      <c r="AC121" s="208"/>
      <c r="AD121" s="208"/>
      <c r="AE121" s="208"/>
      <c r="AF121" s="209"/>
      <c r="AG121" s="208"/>
      <c r="AH121" s="212"/>
      <c r="AI121" s="208"/>
      <c r="AJ121" s="213"/>
      <c r="AK121" s="60"/>
      <c r="AL121" s="60"/>
    </row>
    <row r="122" spans="1:123" s="39" customFormat="1" ht="57" thickBot="1">
      <c r="A122" s="136"/>
      <c r="B122" s="88"/>
      <c r="C122" s="62"/>
      <c r="D122" s="63" t="s">
        <v>456</v>
      </c>
      <c r="E122" s="104"/>
      <c r="F122" s="103"/>
      <c r="G122" s="103"/>
      <c r="H122" s="103"/>
      <c r="I122" s="103" t="s">
        <v>463</v>
      </c>
      <c r="J122" s="360"/>
      <c r="K122" s="105"/>
      <c r="L122" s="1290" t="s">
        <v>460</v>
      </c>
      <c r="M122" s="1291"/>
      <c r="N122" s="1291"/>
      <c r="O122" s="1291"/>
      <c r="P122" s="1291"/>
      <c r="Q122" s="1291"/>
      <c r="R122" s="1291"/>
      <c r="S122" s="1291"/>
      <c r="T122" s="1292"/>
      <c r="U122" s="209"/>
      <c r="V122" s="210"/>
      <c r="W122" s="210"/>
      <c r="X122" s="210"/>
      <c r="Y122" s="210"/>
      <c r="Z122" s="210"/>
      <c r="AA122" s="210"/>
      <c r="AB122" s="210"/>
      <c r="AC122" s="210"/>
      <c r="AD122" s="210"/>
      <c r="AE122" s="210"/>
      <c r="AF122" s="209"/>
      <c r="AG122" s="210"/>
      <c r="AH122" s="209"/>
      <c r="AI122" s="210"/>
      <c r="AJ122" s="211"/>
      <c r="AK122" s="64"/>
      <c r="AL122" s="64"/>
    </row>
    <row r="123" spans="1:123" s="102" customFormat="1" ht="15" customHeight="1">
      <c r="A123" s="142"/>
      <c r="B123" s="85"/>
      <c r="C123" s="80"/>
      <c r="D123" s="81"/>
      <c r="E123" s="79"/>
      <c r="F123" s="79"/>
      <c r="G123" s="79"/>
      <c r="H123" s="79"/>
      <c r="I123" s="79"/>
      <c r="J123" s="361"/>
      <c r="K123" s="79"/>
      <c r="L123" s="214"/>
      <c r="M123" s="215"/>
      <c r="N123" s="216"/>
      <c r="O123" s="216"/>
      <c r="P123" s="214"/>
      <c r="Q123" s="217"/>
      <c r="R123" s="217"/>
      <c r="S123" s="217"/>
      <c r="T123" s="217"/>
      <c r="U123" s="218"/>
      <c r="V123" s="217"/>
      <c r="W123" s="217"/>
      <c r="X123" s="217"/>
      <c r="Y123" s="217"/>
      <c r="Z123" s="217"/>
      <c r="AA123" s="217"/>
      <c r="AB123" s="217"/>
      <c r="AC123" s="217"/>
      <c r="AD123" s="217"/>
      <c r="AE123" s="217"/>
      <c r="AF123" s="518"/>
      <c r="AG123" s="217"/>
      <c r="AH123" s="218"/>
      <c r="AI123" s="217"/>
      <c r="AJ123" s="219"/>
    </row>
    <row r="124" spans="1:123" s="102" customFormat="1" ht="13">
      <c r="A124" s="142"/>
      <c r="B124" s="85"/>
      <c r="C124" s="99"/>
      <c r="D124" s="100"/>
      <c r="E124" s="101"/>
      <c r="F124" s="101"/>
      <c r="G124" s="101"/>
      <c r="H124" s="101"/>
      <c r="I124" s="101"/>
      <c r="J124" s="362"/>
      <c r="K124" s="85"/>
      <c r="L124" s="214"/>
      <c r="M124" s="215"/>
      <c r="N124" s="216"/>
      <c r="O124" s="216"/>
      <c r="P124" s="214"/>
      <c r="Q124" s="217"/>
      <c r="R124" s="217"/>
      <c r="S124" s="217"/>
      <c r="T124" s="217"/>
      <c r="U124" s="218"/>
      <c r="V124" s="217"/>
      <c r="W124" s="217"/>
      <c r="X124" s="217"/>
      <c r="Y124" s="217"/>
      <c r="Z124" s="217"/>
      <c r="AA124" s="217"/>
      <c r="AB124" s="217"/>
      <c r="AC124" s="217"/>
      <c r="AD124" s="217"/>
      <c r="AE124" s="217"/>
      <c r="AF124" s="518"/>
      <c r="AG124" s="217"/>
      <c r="AH124" s="218"/>
      <c r="AI124" s="217"/>
      <c r="AJ124" s="219"/>
    </row>
    <row r="125" spans="1:123" s="102" customFormat="1" ht="13">
      <c r="A125" s="142"/>
      <c r="B125" s="82"/>
      <c r="C125" s="83"/>
      <c r="D125" s="84"/>
      <c r="E125" s="32"/>
      <c r="F125" s="32"/>
      <c r="G125" s="32"/>
      <c r="H125" s="32"/>
      <c r="I125" s="32"/>
      <c r="J125" s="363"/>
      <c r="K125" s="82"/>
      <c r="L125" s="214"/>
      <c r="M125" s="215"/>
      <c r="N125" s="216"/>
      <c r="O125" s="216"/>
      <c r="P125" s="214"/>
      <c r="Q125" s="217"/>
      <c r="R125" s="217"/>
      <c r="S125" s="217"/>
      <c r="T125" s="217"/>
      <c r="U125" s="218"/>
      <c r="V125" s="217"/>
      <c r="W125" s="217"/>
      <c r="X125" s="217"/>
      <c r="Y125" s="217"/>
      <c r="Z125" s="217"/>
      <c r="AA125" s="217"/>
      <c r="AB125" s="217"/>
      <c r="AC125" s="217"/>
      <c r="AD125" s="217"/>
      <c r="AE125" s="217"/>
      <c r="AF125" s="518"/>
      <c r="AG125" s="217"/>
      <c r="AH125" s="218"/>
      <c r="AI125" s="217"/>
      <c r="AJ125" s="219"/>
    </row>
    <row r="126" spans="1:123" s="53" customFormat="1">
      <c r="A126" s="236"/>
      <c r="B126" s="72" t="s">
        <v>457</v>
      </c>
      <c r="C126" s="30"/>
      <c r="D126" s="30"/>
      <c r="E126" s="65"/>
      <c r="F126" s="30"/>
      <c r="G126" s="30"/>
      <c r="H126" s="30"/>
      <c r="I126" s="30"/>
      <c r="J126" s="65"/>
      <c r="K126" s="30"/>
      <c r="L126" s="220"/>
      <c r="M126" s="220"/>
      <c r="N126" s="220"/>
      <c r="O126" s="220"/>
      <c r="P126" s="220"/>
      <c r="Q126" s="220"/>
      <c r="R126" s="220"/>
      <c r="S126" s="220"/>
      <c r="T126" s="220"/>
      <c r="U126" s="221"/>
      <c r="V126" s="220"/>
      <c r="W126" s="220"/>
      <c r="X126" s="220"/>
      <c r="Y126" s="220"/>
      <c r="Z126" s="220"/>
      <c r="AA126" s="220"/>
      <c r="AB126" s="220"/>
      <c r="AC126" s="220"/>
      <c r="AD126" s="220"/>
      <c r="AE126" s="220"/>
      <c r="AF126" s="519"/>
      <c r="AG126" s="220"/>
      <c r="AH126" s="221"/>
      <c r="AI126" s="220"/>
      <c r="AJ126" s="220"/>
      <c r="AK126" s="30"/>
      <c r="AL126" s="30"/>
    </row>
    <row r="127" spans="1:123" s="53" customFormat="1">
      <c r="A127" s="236"/>
      <c r="B127" s="30"/>
      <c r="C127" s="30"/>
      <c r="D127" s="30"/>
      <c r="E127" s="65"/>
      <c r="F127" s="30"/>
      <c r="G127" s="30"/>
      <c r="H127" s="30"/>
      <c r="I127" s="30"/>
      <c r="J127" s="65"/>
      <c r="K127" s="30"/>
      <c r="L127" s="220"/>
      <c r="M127" s="220"/>
      <c r="N127" s="220"/>
      <c r="O127" s="220"/>
      <c r="P127" s="220"/>
      <c r="Q127" s="220"/>
      <c r="R127" s="220"/>
      <c r="S127" s="220"/>
      <c r="T127" s="220"/>
      <c r="U127" s="221"/>
      <c r="V127" s="220"/>
      <c r="W127" s="220"/>
      <c r="X127" s="220"/>
      <c r="Y127" s="220"/>
      <c r="Z127" s="220"/>
      <c r="AA127" s="220"/>
      <c r="AB127" s="220"/>
      <c r="AC127" s="220"/>
      <c r="AD127" s="220"/>
      <c r="AE127" s="220"/>
      <c r="AF127" s="519"/>
      <c r="AG127" s="220"/>
      <c r="AH127" s="221"/>
      <c r="AI127" s="220"/>
      <c r="AJ127" s="220"/>
      <c r="AK127" s="30"/>
      <c r="AL127" s="30"/>
    </row>
    <row r="128" spans="1:123" s="53" customFormat="1">
      <c r="A128" s="236"/>
      <c r="B128" s="128" t="s">
        <v>467</v>
      </c>
      <c r="C128" s="31"/>
      <c r="D128" s="31"/>
      <c r="E128" s="134"/>
      <c r="F128" s="135"/>
      <c r="G128" s="135"/>
      <c r="H128" s="135"/>
      <c r="I128" s="135"/>
      <c r="J128" s="134"/>
      <c r="K128" s="135"/>
      <c r="L128" s="222"/>
      <c r="M128" s="222"/>
      <c r="N128" s="222"/>
      <c r="O128" s="222"/>
      <c r="P128" s="222"/>
      <c r="Q128" s="222"/>
      <c r="R128" s="222"/>
      <c r="S128" s="222"/>
      <c r="T128" s="222"/>
      <c r="U128" s="223"/>
      <c r="V128" s="222"/>
      <c r="W128" s="222"/>
      <c r="X128" s="222"/>
      <c r="Y128" s="222"/>
      <c r="Z128" s="222"/>
      <c r="AA128" s="222"/>
      <c r="AB128" s="222"/>
      <c r="AC128" s="222"/>
      <c r="AD128" s="222"/>
      <c r="AE128" s="222"/>
      <c r="AF128" s="520"/>
      <c r="AG128" s="222"/>
      <c r="AH128" s="223"/>
      <c r="AI128" s="222"/>
      <c r="AJ128" s="224"/>
      <c r="AK128" s="30"/>
      <c r="AL128" s="30"/>
    </row>
    <row r="129" spans="1:36">
      <c r="B129" s="129" t="s">
        <v>0</v>
      </c>
      <c r="C129" s="73" t="s">
        <v>20</v>
      </c>
      <c r="D129" s="74" t="s">
        <v>17</v>
      </c>
      <c r="E129" s="134"/>
      <c r="F129" s="135"/>
      <c r="G129" s="135"/>
      <c r="H129" s="135"/>
      <c r="I129" s="135"/>
      <c r="J129" s="134"/>
      <c r="K129" s="135"/>
      <c r="L129" s="222"/>
      <c r="M129" s="222"/>
      <c r="N129" s="222"/>
      <c r="O129" s="222"/>
      <c r="P129" s="222"/>
      <c r="Q129" s="222"/>
      <c r="R129" s="222"/>
      <c r="S129" s="222"/>
      <c r="T129" s="222"/>
      <c r="U129" s="223"/>
      <c r="V129" s="222"/>
      <c r="W129" s="222"/>
      <c r="X129" s="222"/>
      <c r="Y129" s="222"/>
      <c r="Z129" s="222"/>
      <c r="AA129" s="222"/>
      <c r="AB129" s="222"/>
      <c r="AC129" s="222"/>
      <c r="AD129" s="222"/>
      <c r="AE129" s="222"/>
      <c r="AF129" s="520"/>
      <c r="AG129" s="222"/>
      <c r="AH129" s="223"/>
      <c r="AI129" s="222"/>
      <c r="AJ129" s="224"/>
    </row>
    <row r="130" spans="1:36">
      <c r="B130" s="130" t="s">
        <v>18</v>
      </c>
      <c r="C130" s="75"/>
      <c r="D130" s="75"/>
      <c r="E130" s="134"/>
      <c r="F130" s="135"/>
      <c r="G130" s="135"/>
      <c r="H130" s="135"/>
      <c r="I130" s="135"/>
      <c r="J130" s="134"/>
      <c r="K130" s="135"/>
      <c r="L130" s="222"/>
      <c r="M130" s="222"/>
      <c r="N130" s="222"/>
      <c r="O130" s="222"/>
      <c r="P130" s="222"/>
      <c r="Q130" s="222"/>
      <c r="R130" s="222"/>
      <c r="S130" s="222"/>
      <c r="T130" s="222"/>
      <c r="U130" s="223"/>
      <c r="V130" s="222"/>
      <c r="W130" s="222"/>
      <c r="X130" s="222"/>
      <c r="Y130" s="222"/>
      <c r="Z130" s="222"/>
      <c r="AA130" s="222"/>
      <c r="AB130" s="222"/>
      <c r="AC130" s="222"/>
      <c r="AD130" s="222"/>
      <c r="AE130" s="222"/>
      <c r="AF130" s="520"/>
      <c r="AG130" s="222"/>
      <c r="AH130" s="223"/>
      <c r="AI130" s="222"/>
      <c r="AJ130" s="224"/>
    </row>
    <row r="131" spans="1:36">
      <c r="B131" s="131" t="s">
        <v>10</v>
      </c>
      <c r="C131" s="29">
        <f>COUNTIFS($U$6:$U$118,"Complete",$A$6:$A$118,"SI")</f>
        <v>0</v>
      </c>
      <c r="D131" s="76">
        <f>(100*(COUNTIFS($U$6:$U$118,"Complete",$A$6:$A$118,"SI")))/COUNTIF($A$6:$A$118,"SI")</f>
        <v>0</v>
      </c>
      <c r="E131" s="134"/>
      <c r="F131" s="135"/>
      <c r="G131" s="135"/>
      <c r="H131" s="135"/>
      <c r="I131" s="135"/>
      <c r="J131" s="134"/>
      <c r="K131" s="135"/>
      <c r="L131" s="222"/>
      <c r="M131" s="222"/>
      <c r="N131" s="222"/>
      <c r="O131" s="222"/>
      <c r="P131" s="222"/>
      <c r="Q131" s="222"/>
      <c r="R131" s="222"/>
      <c r="S131" s="222"/>
      <c r="T131" s="222"/>
      <c r="U131" s="223"/>
      <c r="V131" s="222"/>
      <c r="W131" s="222"/>
      <c r="X131" s="222"/>
      <c r="Y131" s="222"/>
      <c r="Z131" s="222"/>
      <c r="AA131" s="222"/>
      <c r="AB131" s="222"/>
      <c r="AC131" s="222"/>
      <c r="AD131" s="222"/>
      <c r="AE131" s="222"/>
      <c r="AF131" s="520"/>
      <c r="AG131" s="222"/>
      <c r="AH131" s="223"/>
      <c r="AI131" s="222"/>
      <c r="AJ131" s="224"/>
    </row>
    <row r="132" spans="1:36" s="30" customFormat="1" ht="16">
      <c r="A132" s="140"/>
      <c r="B132" s="131" t="s">
        <v>11</v>
      </c>
      <c r="C132" s="29">
        <f>COUNTIFS($U$6:$U$118,"Incomplete",$A$6:$A$118,"SI")</f>
        <v>24</v>
      </c>
      <c r="D132" s="76">
        <f>(100*(COUNTIFS($U$6:$U$118,"Incomplete",$A$6:$A$118,"SI")))/COUNTIF($A$6:$A$118,"SI")</f>
        <v>100</v>
      </c>
      <c r="E132" s="134"/>
      <c r="F132" s="135"/>
      <c r="G132" s="135"/>
      <c r="H132" s="135"/>
      <c r="I132" s="135"/>
      <c r="J132" s="134"/>
      <c r="K132" s="135"/>
      <c r="L132" s="222"/>
      <c r="M132" s="222"/>
      <c r="N132" s="222"/>
      <c r="O132" s="222"/>
      <c r="P132" s="222"/>
      <c r="Q132" s="222"/>
      <c r="R132" s="222"/>
      <c r="S132" s="222"/>
      <c r="T132" s="222"/>
      <c r="U132" s="223"/>
      <c r="V132" s="222"/>
      <c r="W132" s="222"/>
      <c r="X132" s="222"/>
      <c r="Y132" s="222"/>
      <c r="Z132" s="222"/>
      <c r="AA132" s="222"/>
      <c r="AB132" s="222"/>
      <c r="AC132" s="222"/>
      <c r="AD132" s="222"/>
      <c r="AE132" s="222"/>
      <c r="AF132" s="520"/>
      <c r="AG132" s="222"/>
      <c r="AH132" s="223"/>
      <c r="AI132" s="222"/>
      <c r="AJ132" s="224"/>
    </row>
    <row r="133" spans="1:36" s="30" customFormat="1" ht="16">
      <c r="A133" s="140"/>
      <c r="B133" s="131" t="s">
        <v>6</v>
      </c>
      <c r="C133" s="29">
        <f>COUNTIFS($U$6:$U$118,"Pending",$A$6:$A$118,"SI")</f>
        <v>0</v>
      </c>
      <c r="D133" s="76">
        <f>(100*(COUNTIFS($U$6:$U$118,"Pending",$A$6:$A$118,"SI")))/COUNTIF($A$6:$A$118,"SI")</f>
        <v>0</v>
      </c>
      <c r="E133" s="134"/>
      <c r="F133" s="135"/>
      <c r="G133" s="135"/>
      <c r="H133" s="135"/>
      <c r="I133" s="135"/>
      <c r="J133" s="134"/>
      <c r="K133" s="135"/>
      <c r="L133" s="222"/>
      <c r="M133" s="222"/>
      <c r="N133" s="222"/>
      <c r="O133" s="222"/>
      <c r="P133" s="222"/>
      <c r="Q133" s="222"/>
      <c r="R133" s="222"/>
      <c r="S133" s="222"/>
      <c r="T133" s="222"/>
      <c r="U133" s="223"/>
      <c r="V133" s="222"/>
      <c r="W133" s="222"/>
      <c r="X133" s="222"/>
      <c r="Y133" s="222"/>
      <c r="Z133" s="222"/>
      <c r="AA133" s="222"/>
      <c r="AB133" s="222"/>
      <c r="AC133" s="222"/>
      <c r="AD133" s="222"/>
      <c r="AE133" s="222"/>
      <c r="AF133" s="520"/>
      <c r="AG133" s="222"/>
      <c r="AH133" s="223"/>
      <c r="AI133" s="222"/>
      <c r="AJ133" s="224"/>
    </row>
    <row r="134" spans="1:36" s="30" customFormat="1" ht="16">
      <c r="A134" s="140"/>
      <c r="B134" s="131" t="s">
        <v>12</v>
      </c>
      <c r="C134" s="29">
        <f>COUNTIFS($U$6:$U$118,"Not available",$A$6:$A$118,"SI")</f>
        <v>0</v>
      </c>
      <c r="D134" s="76">
        <f>(100*(COUNTIFS($U$6:$U$118,"Not available",$A$6:$A$118,"SI")))/COUNTIF($A$6:$A$118,"SI")</f>
        <v>0</v>
      </c>
      <c r="E134" s="134"/>
      <c r="F134" s="135"/>
      <c r="G134" s="135"/>
      <c r="H134" s="135"/>
      <c r="I134" s="135"/>
      <c r="J134" s="134"/>
      <c r="K134" s="135"/>
      <c r="L134" s="222"/>
      <c r="M134" s="222"/>
      <c r="N134" s="222"/>
      <c r="O134" s="222"/>
      <c r="P134" s="222"/>
      <c r="Q134" s="222"/>
      <c r="R134" s="222"/>
      <c r="S134" s="222"/>
      <c r="T134" s="222"/>
      <c r="U134" s="223"/>
      <c r="V134" s="222"/>
      <c r="W134" s="222"/>
      <c r="X134" s="222"/>
      <c r="Y134" s="222"/>
      <c r="Z134" s="222"/>
      <c r="AA134" s="222"/>
      <c r="AB134" s="222"/>
      <c r="AC134" s="222"/>
      <c r="AD134" s="222"/>
      <c r="AE134" s="222"/>
      <c r="AF134" s="520"/>
      <c r="AG134" s="222"/>
      <c r="AH134" s="223"/>
      <c r="AI134" s="222"/>
      <c r="AJ134" s="224"/>
    </row>
    <row r="135" spans="1:36" s="30" customFormat="1" ht="16">
      <c r="A135" s="140"/>
      <c r="B135" s="131" t="s">
        <v>5</v>
      </c>
      <c r="C135" s="29">
        <f>COUNTIFS($U$6:$U$118,"Not applicable",$A$6:$A$118,"SI")</f>
        <v>0</v>
      </c>
      <c r="D135" s="76">
        <f>(100*(COUNTIFS($U$6:$U$118,"Not applicable",$A$6:$A$118,"SI")))/COUNTIF($A$6:$A$118,"SI")</f>
        <v>0</v>
      </c>
      <c r="E135" s="134"/>
      <c r="F135" s="135"/>
      <c r="G135" s="135"/>
      <c r="H135" s="135"/>
      <c r="I135" s="135"/>
      <c r="J135" s="134"/>
      <c r="K135" s="135"/>
      <c r="L135" s="222"/>
      <c r="M135" s="222"/>
      <c r="N135" s="222"/>
      <c r="O135" s="222"/>
      <c r="P135" s="222"/>
      <c r="Q135" s="222"/>
      <c r="R135" s="222"/>
      <c r="S135" s="222"/>
      <c r="T135" s="222"/>
      <c r="U135" s="223"/>
      <c r="V135" s="222"/>
      <c r="W135" s="222"/>
      <c r="X135" s="222"/>
      <c r="Y135" s="222"/>
      <c r="Z135" s="222"/>
      <c r="AA135" s="222"/>
      <c r="AB135" s="222"/>
      <c r="AC135" s="222"/>
      <c r="AD135" s="222"/>
      <c r="AE135" s="222"/>
      <c r="AF135" s="520"/>
      <c r="AG135" s="222"/>
      <c r="AH135" s="223"/>
      <c r="AI135" s="222"/>
      <c r="AJ135" s="224"/>
    </row>
    <row r="136" spans="1:36" s="30" customFormat="1" ht="16">
      <c r="A136" s="140"/>
      <c r="B136" s="131" t="s">
        <v>7</v>
      </c>
      <c r="C136" s="29">
        <f>COUNTIFS($U$6:$U$118,"Alternative",$A$6:$A$118,"SI")</f>
        <v>0</v>
      </c>
      <c r="D136" s="76">
        <f>(100*(COUNTIFS($U$6:$U$118,"Alternative",$A$6:$A$118,"SI")))/COUNTIF($A$6:$A$118,"SI")</f>
        <v>0</v>
      </c>
      <c r="E136" s="134"/>
      <c r="F136" s="135"/>
      <c r="G136" s="135"/>
      <c r="H136" s="135"/>
      <c r="I136" s="135"/>
      <c r="J136" s="134"/>
      <c r="K136" s="135"/>
      <c r="L136" s="222"/>
      <c r="M136" s="222"/>
      <c r="N136" s="222"/>
      <c r="O136" s="222"/>
      <c r="P136" s="222"/>
      <c r="Q136" s="222"/>
      <c r="R136" s="222"/>
      <c r="S136" s="222"/>
      <c r="T136" s="222"/>
      <c r="U136" s="223"/>
      <c r="V136" s="222"/>
      <c r="W136" s="222"/>
      <c r="X136" s="222"/>
      <c r="Y136" s="222"/>
      <c r="Z136" s="222"/>
      <c r="AA136" s="222"/>
      <c r="AB136" s="222"/>
      <c r="AC136" s="222"/>
      <c r="AD136" s="222"/>
      <c r="AE136" s="222"/>
      <c r="AF136" s="520"/>
      <c r="AG136" s="222"/>
      <c r="AH136" s="223"/>
      <c r="AI136" s="222"/>
      <c r="AJ136" s="224"/>
    </row>
    <row r="137" spans="1:36" s="30" customFormat="1" ht="16">
      <c r="A137" s="140"/>
      <c r="B137" s="130" t="s">
        <v>19</v>
      </c>
      <c r="C137" s="75"/>
      <c r="D137" s="75"/>
      <c r="E137" s="134"/>
      <c r="F137" s="135"/>
      <c r="G137" s="135"/>
      <c r="H137" s="135"/>
      <c r="I137" s="135"/>
      <c r="J137" s="134"/>
      <c r="K137" s="135"/>
      <c r="L137" s="222"/>
      <c r="M137" s="222"/>
      <c r="N137" s="222"/>
      <c r="O137" s="222"/>
      <c r="P137" s="222"/>
      <c r="Q137" s="222"/>
      <c r="R137" s="222"/>
      <c r="S137" s="222"/>
      <c r="T137" s="222"/>
      <c r="U137" s="223"/>
      <c r="V137" s="222"/>
      <c r="W137" s="222"/>
      <c r="X137" s="222"/>
      <c r="Y137" s="222"/>
      <c r="Z137" s="222"/>
      <c r="AA137" s="222"/>
      <c r="AB137" s="222"/>
      <c r="AC137" s="222"/>
      <c r="AD137" s="222"/>
      <c r="AE137" s="222"/>
      <c r="AF137" s="520"/>
      <c r="AG137" s="222"/>
      <c r="AH137" s="223"/>
      <c r="AI137" s="222"/>
      <c r="AJ137" s="224"/>
    </row>
    <row r="138" spans="1:36" s="30" customFormat="1" ht="16">
      <c r="A138" s="140"/>
      <c r="B138" s="131" t="s">
        <v>10</v>
      </c>
      <c r="C138" s="29">
        <f>COUNTIFS($U$6:$U$118,"Complete",$A$6:$A$118,"RQ")</f>
        <v>0</v>
      </c>
      <c r="D138" s="76">
        <f>(100*(COUNTIFS($U$6:$U$118,"Complete",$A$6:$A$118,"RQ")))/COUNTIF($A$6:$A$118,"RQ")</f>
        <v>0</v>
      </c>
      <c r="E138" s="134"/>
      <c r="F138" s="135"/>
      <c r="G138" s="135"/>
      <c r="H138" s="135"/>
      <c r="I138" s="135"/>
      <c r="J138" s="134"/>
      <c r="K138" s="135"/>
      <c r="L138" s="222"/>
      <c r="M138" s="222"/>
      <c r="N138" s="222"/>
      <c r="O138" s="222"/>
      <c r="P138" s="222"/>
      <c r="Q138" s="222"/>
      <c r="R138" s="222"/>
      <c r="S138" s="222"/>
      <c r="T138" s="222"/>
      <c r="U138" s="223"/>
      <c r="V138" s="222"/>
      <c r="W138" s="222"/>
      <c r="X138" s="222"/>
      <c r="Y138" s="222"/>
      <c r="Z138" s="222"/>
      <c r="AA138" s="222"/>
      <c r="AB138" s="222"/>
      <c r="AC138" s="222"/>
      <c r="AD138" s="222"/>
      <c r="AE138" s="222"/>
      <c r="AF138" s="520"/>
      <c r="AG138" s="222"/>
      <c r="AH138" s="223"/>
      <c r="AI138" s="222"/>
      <c r="AJ138" s="224"/>
    </row>
    <row r="139" spans="1:36" s="30" customFormat="1" ht="16">
      <c r="A139" s="140"/>
      <c r="B139" s="131" t="s">
        <v>11</v>
      </c>
      <c r="C139" s="29">
        <f>COUNTIFS($U$5:$U$118,"Incomplete",$A$5:$A$118,"RQ")</f>
        <v>6</v>
      </c>
      <c r="D139" s="76">
        <f>(100*(COUNTIFS($U$6:$U$118,"Incomplete",$A$6:$A$118,"RQ")))/COUNTIF($A$6:$A$118,"RQ")</f>
        <v>100</v>
      </c>
      <c r="E139" s="134"/>
      <c r="F139" s="135"/>
      <c r="G139" s="135"/>
      <c r="H139" s="135"/>
      <c r="I139" s="135"/>
      <c r="J139" s="134"/>
      <c r="K139" s="135"/>
      <c r="L139" s="222"/>
      <c r="M139" s="222"/>
      <c r="N139" s="222"/>
      <c r="O139" s="222"/>
      <c r="P139" s="222"/>
      <c r="Q139" s="222"/>
      <c r="R139" s="222"/>
      <c r="S139" s="222"/>
      <c r="T139" s="222"/>
      <c r="U139" s="223"/>
      <c r="V139" s="222"/>
      <c r="W139" s="222"/>
      <c r="X139" s="222"/>
      <c r="Y139" s="222"/>
      <c r="Z139" s="222"/>
      <c r="AA139" s="222"/>
      <c r="AB139" s="222"/>
      <c r="AC139" s="222"/>
      <c r="AD139" s="222"/>
      <c r="AE139" s="222"/>
      <c r="AF139" s="520"/>
      <c r="AG139" s="222"/>
      <c r="AH139" s="223"/>
      <c r="AI139" s="222"/>
      <c r="AJ139" s="224"/>
    </row>
    <row r="140" spans="1:36" s="30" customFormat="1" ht="16">
      <c r="A140" s="140"/>
      <c r="B140" s="131" t="s">
        <v>6</v>
      </c>
      <c r="C140" s="29">
        <f>COUNTIFS($U$5:$U$118,"Pending",$A$5:$A$118,"RQ")</f>
        <v>0</v>
      </c>
      <c r="D140" s="76">
        <f>(100*(COUNTIFS($U$6:$U$118,"Pending",$A$6:$A$118,"RQ")))/COUNTIF($A$6:$A$118,"RQ")</f>
        <v>0</v>
      </c>
      <c r="E140" s="134"/>
      <c r="F140" s="135"/>
      <c r="G140" s="135"/>
      <c r="H140" s="135"/>
      <c r="I140" s="135"/>
      <c r="J140" s="134"/>
      <c r="K140" s="135"/>
      <c r="L140" s="222"/>
      <c r="M140" s="222"/>
      <c r="N140" s="222"/>
      <c r="O140" s="222"/>
      <c r="P140" s="222"/>
      <c r="Q140" s="222"/>
      <c r="R140" s="222"/>
      <c r="S140" s="222"/>
      <c r="T140" s="222"/>
      <c r="U140" s="223"/>
      <c r="V140" s="222"/>
      <c r="W140" s="222"/>
      <c r="X140" s="222"/>
      <c r="Y140" s="222"/>
      <c r="Z140" s="222"/>
      <c r="AA140" s="222"/>
      <c r="AB140" s="222"/>
      <c r="AC140" s="222"/>
      <c r="AD140" s="222"/>
      <c r="AE140" s="222"/>
      <c r="AF140" s="520"/>
      <c r="AG140" s="222"/>
      <c r="AH140" s="223"/>
      <c r="AI140" s="222"/>
      <c r="AJ140" s="224"/>
    </row>
    <row r="141" spans="1:36" s="30" customFormat="1" ht="16">
      <c r="A141" s="140"/>
      <c r="B141" s="131" t="s">
        <v>12</v>
      </c>
      <c r="C141" s="29">
        <f>COUNTIFS($U$6:$U$118,"Not available",$A$6:$A$118,"RQ")</f>
        <v>0</v>
      </c>
      <c r="D141" s="76">
        <f>(100*(COUNTIFS($U$6:$U$118,"Not available",$A$6:$A$118,"RQ")))/COUNTIF($A$6:$A$118,"RQ")</f>
        <v>0</v>
      </c>
      <c r="E141" s="134"/>
      <c r="F141" s="135"/>
      <c r="G141" s="135"/>
      <c r="H141" s="135"/>
      <c r="I141" s="135"/>
      <c r="J141" s="134"/>
      <c r="K141" s="135"/>
      <c r="L141" s="222"/>
      <c r="M141" s="222"/>
      <c r="N141" s="222"/>
      <c r="O141" s="222"/>
      <c r="P141" s="222"/>
      <c r="Q141" s="222"/>
      <c r="R141" s="222"/>
      <c r="S141" s="222"/>
      <c r="T141" s="222"/>
      <c r="U141" s="223"/>
      <c r="V141" s="222"/>
      <c r="W141" s="222"/>
      <c r="X141" s="222"/>
      <c r="Y141" s="222"/>
      <c r="Z141" s="222"/>
      <c r="AA141" s="222"/>
      <c r="AB141" s="222"/>
      <c r="AC141" s="222"/>
      <c r="AD141" s="222"/>
      <c r="AE141" s="222"/>
      <c r="AF141" s="520"/>
      <c r="AG141" s="222"/>
      <c r="AH141" s="223"/>
      <c r="AI141" s="222"/>
      <c r="AJ141" s="224"/>
    </row>
    <row r="142" spans="1:36" s="30" customFormat="1" ht="16">
      <c r="A142" s="140"/>
      <c r="B142" s="131" t="s">
        <v>5</v>
      </c>
      <c r="C142" s="29">
        <f>COUNTIFS($D$6:$D$118,"Not applicable",$A$6:$A$118,"RQ")</f>
        <v>0</v>
      </c>
      <c r="D142" s="76">
        <f>(100*(COUNTIFS($U$6:$U$118,"Not applicable",$A$6:$A$118,"RQ")))/COUNTIF($A$6:$A$118,"RQ")</f>
        <v>0</v>
      </c>
      <c r="E142" s="134"/>
      <c r="F142" s="135"/>
      <c r="G142" s="135"/>
      <c r="H142" s="135"/>
      <c r="I142" s="135"/>
      <c r="J142" s="134"/>
      <c r="K142" s="135"/>
      <c r="L142" s="222"/>
      <c r="M142" s="222"/>
      <c r="N142" s="222"/>
      <c r="O142" s="222"/>
      <c r="P142" s="222"/>
      <c r="Q142" s="222"/>
      <c r="R142" s="222"/>
      <c r="S142" s="222"/>
      <c r="T142" s="222"/>
      <c r="U142" s="223"/>
      <c r="V142" s="222"/>
      <c r="W142" s="222"/>
      <c r="X142" s="222"/>
      <c r="Y142" s="222"/>
      <c r="Z142" s="222"/>
      <c r="AA142" s="222"/>
      <c r="AB142" s="222"/>
      <c r="AC142" s="222"/>
      <c r="AD142" s="222"/>
      <c r="AE142" s="222"/>
      <c r="AF142" s="520"/>
      <c r="AG142" s="222"/>
      <c r="AH142" s="223"/>
      <c r="AI142" s="222"/>
      <c r="AJ142" s="224"/>
    </row>
    <row r="143" spans="1:36" s="30" customFormat="1" ht="16">
      <c r="A143" s="140"/>
      <c r="B143" s="131" t="s">
        <v>7</v>
      </c>
      <c r="C143" s="29">
        <f>COUNTIFS($U$6:$U$118,"Alternative",$A$6:$A$118,"RQ")</f>
        <v>0</v>
      </c>
      <c r="D143" s="76">
        <f>(100*(COUNTIFS($U$6:$U$118,"Alternative",$A$6:$A$118,"RQ")))/COUNTIF($A$6:$A$118,"RQ")</f>
        <v>0</v>
      </c>
      <c r="E143" s="134"/>
      <c r="F143" s="135"/>
      <c r="G143" s="135"/>
      <c r="H143" s="135"/>
      <c r="I143" s="135"/>
      <c r="J143" s="134"/>
      <c r="K143" s="135"/>
      <c r="L143" s="222"/>
      <c r="M143" s="222"/>
      <c r="N143" s="222"/>
      <c r="O143" s="222"/>
      <c r="P143" s="222"/>
      <c r="Q143" s="222"/>
      <c r="R143" s="222"/>
      <c r="S143" s="222"/>
      <c r="T143" s="222"/>
      <c r="U143" s="223"/>
      <c r="V143" s="222"/>
      <c r="W143" s="222"/>
      <c r="X143" s="222"/>
      <c r="Y143" s="222"/>
      <c r="Z143" s="222"/>
      <c r="AA143" s="222"/>
      <c r="AB143" s="222"/>
      <c r="AC143" s="222"/>
      <c r="AD143" s="222"/>
      <c r="AE143" s="222"/>
      <c r="AF143" s="520"/>
      <c r="AG143" s="222"/>
      <c r="AH143" s="223"/>
      <c r="AI143" s="222"/>
      <c r="AJ143" s="224"/>
    </row>
    <row r="144" spans="1:36" s="30" customFormat="1" ht="16">
      <c r="A144" s="140"/>
      <c r="B144" s="130" t="s">
        <v>22</v>
      </c>
      <c r="C144" s="75"/>
      <c r="D144" s="75"/>
      <c r="E144" s="134"/>
      <c r="F144" s="135"/>
      <c r="G144" s="135"/>
      <c r="H144" s="135"/>
      <c r="I144" s="135"/>
      <c r="J144" s="134"/>
      <c r="K144" s="135"/>
      <c r="L144" s="222"/>
      <c r="M144" s="222"/>
      <c r="N144" s="222"/>
      <c r="O144" s="222"/>
      <c r="P144" s="222"/>
      <c r="Q144" s="222"/>
      <c r="R144" s="222"/>
      <c r="S144" s="222"/>
      <c r="T144" s="222"/>
      <c r="U144" s="223"/>
      <c r="V144" s="222"/>
      <c r="W144" s="222"/>
      <c r="X144" s="222"/>
      <c r="Y144" s="222"/>
      <c r="Z144" s="222"/>
      <c r="AA144" s="222"/>
      <c r="AB144" s="222"/>
      <c r="AC144" s="222"/>
      <c r="AD144" s="222"/>
      <c r="AE144" s="222"/>
      <c r="AF144" s="520"/>
      <c r="AG144" s="222"/>
      <c r="AH144" s="223"/>
      <c r="AI144" s="222"/>
      <c r="AJ144" s="224"/>
    </row>
    <row r="145" spans="1:36" s="30" customFormat="1" ht="16">
      <c r="A145" s="140"/>
      <c r="B145" s="131" t="s">
        <v>10</v>
      </c>
      <c r="C145" s="29">
        <f>COUNTIF($U$6:$U$118,"Complete")</f>
        <v>0</v>
      </c>
      <c r="D145" s="76">
        <f t="shared" ref="D145:D150" si="0">(C145/(COUNTIF($A$6:$A$118,"SI")+COUNTIFS($A$6:$A$118,"RQ"))*100)</f>
        <v>0</v>
      </c>
      <c r="E145" s="134"/>
      <c r="F145" s="135"/>
      <c r="G145" s="135"/>
      <c r="H145" s="135"/>
      <c r="I145" s="135"/>
      <c r="J145" s="134"/>
      <c r="K145" s="135"/>
      <c r="L145" s="222"/>
      <c r="M145" s="222"/>
      <c r="N145" s="222"/>
      <c r="O145" s="222"/>
      <c r="P145" s="222"/>
      <c r="Q145" s="222"/>
      <c r="R145" s="222"/>
      <c r="S145" s="222"/>
      <c r="T145" s="222"/>
      <c r="U145" s="223"/>
      <c r="V145" s="222"/>
      <c r="W145" s="222"/>
      <c r="X145" s="222"/>
      <c r="Y145" s="222"/>
      <c r="Z145" s="222"/>
      <c r="AA145" s="222"/>
      <c r="AB145" s="222"/>
      <c r="AC145" s="222"/>
      <c r="AD145" s="222"/>
      <c r="AE145" s="222"/>
      <c r="AF145" s="520"/>
      <c r="AG145" s="222"/>
      <c r="AH145" s="223"/>
      <c r="AI145" s="222"/>
      <c r="AJ145" s="224"/>
    </row>
    <row r="146" spans="1:36" s="30" customFormat="1" ht="16">
      <c r="A146" s="140"/>
      <c r="B146" s="131" t="s">
        <v>11</v>
      </c>
      <c r="C146" s="29">
        <f>COUNTIF($U$6:$U$118,"Incomplete")</f>
        <v>30</v>
      </c>
      <c r="D146" s="76">
        <f t="shared" si="0"/>
        <v>100</v>
      </c>
      <c r="E146" s="134"/>
      <c r="F146" s="135"/>
      <c r="G146" s="135"/>
      <c r="H146" s="135"/>
      <c r="I146" s="135"/>
      <c r="J146" s="134"/>
      <c r="K146" s="135"/>
      <c r="L146" s="222"/>
      <c r="M146" s="222"/>
      <c r="N146" s="222"/>
      <c r="O146" s="222"/>
      <c r="P146" s="222"/>
      <c r="Q146" s="222"/>
      <c r="R146" s="222"/>
      <c r="S146" s="222"/>
      <c r="T146" s="222"/>
      <c r="U146" s="223"/>
      <c r="V146" s="222"/>
      <c r="W146" s="222"/>
      <c r="X146" s="222"/>
      <c r="Y146" s="222"/>
      <c r="Z146" s="222"/>
      <c r="AA146" s="222"/>
      <c r="AB146" s="222"/>
      <c r="AC146" s="222"/>
      <c r="AD146" s="222"/>
      <c r="AE146" s="222"/>
      <c r="AF146" s="520"/>
      <c r="AG146" s="222"/>
      <c r="AH146" s="223"/>
      <c r="AI146" s="222"/>
      <c r="AJ146" s="224"/>
    </row>
    <row r="147" spans="1:36" s="30" customFormat="1" ht="16">
      <c r="A147" s="140"/>
      <c r="B147" s="131" t="s">
        <v>6</v>
      </c>
      <c r="C147" s="29">
        <f>COUNTIF($D$6:$D$118,"Pending")</f>
        <v>0</v>
      </c>
      <c r="D147" s="76">
        <f t="shared" si="0"/>
        <v>0</v>
      </c>
      <c r="E147" s="134"/>
      <c r="F147" s="135"/>
      <c r="G147" s="135"/>
      <c r="H147" s="135"/>
      <c r="I147" s="135"/>
      <c r="J147" s="134"/>
      <c r="K147" s="135"/>
      <c r="L147" s="222"/>
      <c r="M147" s="222"/>
      <c r="N147" s="222"/>
      <c r="O147" s="222"/>
      <c r="P147" s="222"/>
      <c r="Q147" s="222"/>
      <c r="R147" s="222"/>
      <c r="S147" s="222"/>
      <c r="T147" s="222"/>
      <c r="U147" s="223"/>
      <c r="V147" s="222"/>
      <c r="W147" s="222"/>
      <c r="X147" s="222"/>
      <c r="Y147" s="222"/>
      <c r="Z147" s="222"/>
      <c r="AA147" s="222"/>
      <c r="AB147" s="222"/>
      <c r="AC147" s="222"/>
      <c r="AD147" s="222"/>
      <c r="AE147" s="222"/>
      <c r="AF147" s="520"/>
      <c r="AG147" s="222"/>
      <c r="AH147" s="223"/>
      <c r="AI147" s="222"/>
      <c r="AJ147" s="224"/>
    </row>
    <row r="148" spans="1:36" s="30" customFormat="1" ht="16">
      <c r="A148" s="140"/>
      <c r="B148" s="131" t="s">
        <v>12</v>
      </c>
      <c r="C148" s="29">
        <f>COUNTIF($U$6:$U$118,"Not available")</f>
        <v>0</v>
      </c>
      <c r="D148" s="76">
        <f t="shared" si="0"/>
        <v>0</v>
      </c>
      <c r="E148" s="134"/>
      <c r="F148" s="135"/>
      <c r="G148" s="135"/>
      <c r="H148" s="135"/>
      <c r="I148" s="135"/>
      <c r="J148" s="134"/>
      <c r="K148" s="135"/>
      <c r="L148" s="222"/>
      <c r="M148" s="222"/>
      <c r="N148" s="222"/>
      <c r="O148" s="222"/>
      <c r="P148" s="222"/>
      <c r="Q148" s="222"/>
      <c r="R148" s="222"/>
      <c r="S148" s="222"/>
      <c r="T148" s="222"/>
      <c r="U148" s="223"/>
      <c r="V148" s="222"/>
      <c r="W148" s="222"/>
      <c r="X148" s="222"/>
      <c r="Y148" s="222"/>
      <c r="Z148" s="222"/>
      <c r="AA148" s="222"/>
      <c r="AB148" s="222"/>
      <c r="AC148" s="222"/>
      <c r="AD148" s="222"/>
      <c r="AE148" s="222"/>
      <c r="AF148" s="520"/>
      <c r="AG148" s="222"/>
      <c r="AH148" s="223"/>
      <c r="AI148" s="222"/>
      <c r="AJ148" s="224"/>
    </row>
    <row r="149" spans="1:36" s="30" customFormat="1" ht="16">
      <c r="A149" s="140"/>
      <c r="B149" s="131" t="s">
        <v>5</v>
      </c>
      <c r="C149" s="29">
        <f>COUNTIF($D$6:$D$118,"Not applicable")</f>
        <v>0</v>
      </c>
      <c r="D149" s="76">
        <f t="shared" si="0"/>
        <v>0</v>
      </c>
      <c r="E149" s="134"/>
      <c r="F149" s="135"/>
      <c r="G149" s="135"/>
      <c r="H149" s="135"/>
      <c r="I149" s="135"/>
      <c r="J149" s="134"/>
      <c r="K149" s="135"/>
      <c r="L149" s="222"/>
      <c r="M149" s="222"/>
      <c r="N149" s="222"/>
      <c r="O149" s="222"/>
      <c r="P149" s="222"/>
      <c r="Q149" s="222"/>
      <c r="R149" s="222"/>
      <c r="S149" s="222"/>
      <c r="T149" s="222"/>
      <c r="U149" s="223"/>
      <c r="V149" s="222"/>
      <c r="W149" s="222"/>
      <c r="X149" s="222"/>
      <c r="Y149" s="222"/>
      <c r="Z149" s="222"/>
      <c r="AA149" s="222"/>
      <c r="AB149" s="222"/>
      <c r="AC149" s="222"/>
      <c r="AD149" s="222"/>
      <c r="AE149" s="222"/>
      <c r="AF149" s="520"/>
      <c r="AG149" s="222"/>
      <c r="AH149" s="223"/>
      <c r="AI149" s="222"/>
      <c r="AJ149" s="224"/>
    </row>
    <row r="150" spans="1:36" s="30" customFormat="1" ht="16">
      <c r="A150" s="140"/>
      <c r="B150" s="131" t="s">
        <v>7</v>
      </c>
      <c r="C150" s="29">
        <f>COUNTIF($U$6:$U$118,"Alternative")</f>
        <v>0</v>
      </c>
      <c r="D150" s="76">
        <f t="shared" si="0"/>
        <v>0</v>
      </c>
      <c r="E150" s="134"/>
      <c r="F150" s="135"/>
      <c r="G150" s="135"/>
      <c r="H150" s="135"/>
      <c r="I150" s="135"/>
      <c r="J150" s="134"/>
      <c r="K150" s="135"/>
      <c r="L150" s="222"/>
      <c r="M150" s="222"/>
      <c r="N150" s="222"/>
      <c r="O150" s="222"/>
      <c r="P150" s="222"/>
      <c r="Q150" s="222"/>
      <c r="R150" s="222"/>
      <c r="S150" s="222"/>
      <c r="T150" s="222"/>
      <c r="U150" s="223"/>
      <c r="V150" s="222"/>
      <c r="W150" s="222"/>
      <c r="X150" s="222"/>
      <c r="Y150" s="222"/>
      <c r="Z150" s="222"/>
      <c r="AA150" s="222"/>
      <c r="AB150" s="222"/>
      <c r="AC150" s="222"/>
      <c r="AD150" s="222"/>
      <c r="AE150" s="222"/>
      <c r="AF150" s="520"/>
      <c r="AG150" s="222"/>
      <c r="AH150" s="223"/>
      <c r="AI150" s="222"/>
      <c r="AJ150" s="224"/>
    </row>
    <row r="151" spans="1:36" s="30" customFormat="1" ht="16">
      <c r="A151" s="140"/>
      <c r="B151" s="132"/>
      <c r="C151" s="108"/>
      <c r="D151" s="108"/>
      <c r="E151" s="134"/>
      <c r="F151" s="135"/>
      <c r="G151" s="135"/>
      <c r="H151" s="135"/>
      <c r="I151" s="135"/>
      <c r="J151" s="134"/>
      <c r="K151" s="135"/>
      <c r="L151" s="222"/>
      <c r="M151" s="222"/>
      <c r="N151" s="222"/>
      <c r="O151" s="222"/>
      <c r="P151" s="222"/>
      <c r="Q151" s="222"/>
      <c r="R151" s="222"/>
      <c r="S151" s="222"/>
      <c r="T151" s="222"/>
      <c r="U151" s="223"/>
      <c r="V151" s="222"/>
      <c r="W151" s="222"/>
      <c r="X151" s="222"/>
      <c r="Y151" s="222"/>
      <c r="Z151" s="222"/>
      <c r="AA151" s="222"/>
      <c r="AB151" s="222"/>
      <c r="AC151" s="222"/>
      <c r="AD151" s="222"/>
      <c r="AE151" s="222"/>
      <c r="AF151" s="520"/>
      <c r="AG151" s="222"/>
      <c r="AH151" s="223"/>
      <c r="AI151" s="222"/>
      <c r="AJ151" s="224"/>
    </row>
    <row r="153" spans="1:36" s="30" customFormat="1" ht="16">
      <c r="A153" s="140"/>
      <c r="B153" s="128" t="s">
        <v>40</v>
      </c>
      <c r="C153" s="31"/>
      <c r="D153" s="31"/>
      <c r="E153" s="134"/>
      <c r="F153" s="135"/>
      <c r="G153" s="135"/>
      <c r="H153" s="135"/>
      <c r="I153" s="135"/>
      <c r="J153" s="134"/>
      <c r="K153" s="135"/>
      <c r="L153" s="222"/>
      <c r="M153" s="222"/>
      <c r="N153" s="222"/>
      <c r="O153" s="222"/>
      <c r="P153" s="222"/>
      <c r="Q153" s="222"/>
      <c r="R153" s="222"/>
      <c r="S153" s="222"/>
      <c r="T153" s="222"/>
      <c r="U153" s="223"/>
      <c r="V153" s="222"/>
      <c r="W153" s="222"/>
      <c r="X153" s="222"/>
      <c r="Y153" s="222"/>
      <c r="Z153" s="222"/>
      <c r="AA153" s="222"/>
      <c r="AB153" s="222"/>
      <c r="AC153" s="222"/>
      <c r="AD153" s="222"/>
      <c r="AE153" s="222"/>
      <c r="AF153" s="520"/>
      <c r="AG153" s="222"/>
      <c r="AH153" s="223"/>
      <c r="AI153" s="222"/>
      <c r="AJ153" s="224"/>
    </row>
    <row r="154" spans="1:36" s="30" customFormat="1" ht="16">
      <c r="A154" s="140"/>
      <c r="B154" s="129" t="s">
        <v>0</v>
      </c>
      <c r="C154" s="73" t="s">
        <v>20</v>
      </c>
      <c r="D154" s="74" t="s">
        <v>17</v>
      </c>
      <c r="E154" s="134"/>
      <c r="F154" s="135"/>
      <c r="G154" s="135"/>
      <c r="H154" s="135"/>
      <c r="I154" s="135"/>
      <c r="J154" s="134"/>
      <c r="K154" s="135"/>
      <c r="L154" s="222"/>
      <c r="M154" s="222"/>
      <c r="N154" s="222"/>
      <c r="O154" s="222"/>
      <c r="P154" s="222"/>
      <c r="Q154" s="222"/>
      <c r="R154" s="222"/>
      <c r="S154" s="222"/>
      <c r="T154" s="222"/>
      <c r="U154" s="223"/>
      <c r="V154" s="222"/>
      <c r="W154" s="222"/>
      <c r="X154" s="222"/>
      <c r="Y154" s="222"/>
      <c r="Z154" s="222"/>
      <c r="AA154" s="222"/>
      <c r="AB154" s="222"/>
      <c r="AC154" s="222"/>
      <c r="AD154" s="222"/>
      <c r="AE154" s="222"/>
      <c r="AF154" s="520"/>
      <c r="AG154" s="222"/>
      <c r="AH154" s="223"/>
      <c r="AI154" s="222"/>
      <c r="AJ154" s="224"/>
    </row>
    <row r="155" spans="1:36" s="30" customFormat="1" ht="16">
      <c r="A155" s="140"/>
      <c r="B155" s="130" t="s">
        <v>18</v>
      </c>
      <c r="C155" s="75"/>
      <c r="D155" s="77"/>
      <c r="E155" s="134"/>
      <c r="F155" s="135"/>
      <c r="G155" s="135"/>
      <c r="H155" s="135"/>
      <c r="I155" s="135"/>
      <c r="J155" s="134"/>
      <c r="K155" s="135"/>
      <c r="L155" s="222"/>
      <c r="M155" s="222"/>
      <c r="N155" s="222"/>
      <c r="O155" s="222"/>
      <c r="P155" s="222"/>
      <c r="Q155" s="222"/>
      <c r="R155" s="222"/>
      <c r="S155" s="222"/>
      <c r="T155" s="222"/>
      <c r="U155" s="223"/>
      <c r="V155" s="222"/>
      <c r="W155" s="222"/>
      <c r="X155" s="222"/>
      <c r="Y155" s="222"/>
      <c r="Z155" s="222"/>
      <c r="AA155" s="222"/>
      <c r="AB155" s="222"/>
      <c r="AC155" s="222"/>
      <c r="AD155" s="222"/>
      <c r="AE155" s="222"/>
      <c r="AF155" s="520"/>
      <c r="AG155" s="222"/>
      <c r="AH155" s="223"/>
      <c r="AI155" s="222"/>
      <c r="AJ155" s="224"/>
    </row>
    <row r="156" spans="1:36" s="30" customFormat="1" ht="16">
      <c r="A156" s="140"/>
      <c r="B156" s="133" t="s">
        <v>41</v>
      </c>
      <c r="C156" s="29">
        <f>COUNTIFS($AH$5:$AH$118,"Green",$A$5:$A$118,"SI")</f>
        <v>0</v>
      </c>
      <c r="D156" s="78">
        <f>(100*(COUNTIFS($AH$6:$AH$118,"Green",$A$6:$A$118,"SI")))/COUNTIF($A$6:$A$118,"SI")</f>
        <v>0</v>
      </c>
      <c r="E156" s="134"/>
      <c r="F156" s="135"/>
      <c r="G156" s="135"/>
      <c r="H156" s="135"/>
      <c r="I156" s="135"/>
      <c r="J156" s="134"/>
      <c r="K156" s="135"/>
      <c r="L156" s="222"/>
      <c r="M156" s="222"/>
      <c r="N156" s="222"/>
      <c r="O156" s="222"/>
      <c r="P156" s="222"/>
      <c r="Q156" s="222"/>
      <c r="R156" s="222"/>
      <c r="S156" s="222"/>
      <c r="T156" s="222"/>
      <c r="U156" s="223"/>
      <c r="V156" s="222"/>
      <c r="W156" s="222"/>
      <c r="X156" s="222"/>
      <c r="Y156" s="222"/>
      <c r="Z156" s="222"/>
      <c r="AA156" s="222"/>
      <c r="AB156" s="222"/>
      <c r="AC156" s="222"/>
      <c r="AD156" s="222"/>
      <c r="AE156" s="222"/>
      <c r="AF156" s="520"/>
      <c r="AG156" s="222"/>
      <c r="AH156" s="223"/>
      <c r="AI156" s="222"/>
      <c r="AJ156" s="224"/>
    </row>
    <row r="157" spans="1:36" s="30" customFormat="1" ht="16">
      <c r="A157" s="140"/>
      <c r="B157" s="133" t="s">
        <v>42</v>
      </c>
      <c r="C157" s="29">
        <f>COUNTIFS($AH$5:$AH$118,"Yellow",$A$5:$A$118,"SI")</f>
        <v>0</v>
      </c>
      <c r="D157" s="78">
        <f>(100*(COUNTIFS($AH$6:$AH$118,"Yellow",$A$6:$A$118,"SI")))/COUNTIF($A$6:$A$118,"SI")</f>
        <v>0</v>
      </c>
      <c r="E157" s="134"/>
      <c r="F157" s="135"/>
      <c r="G157" s="135"/>
      <c r="H157" s="135"/>
      <c r="I157" s="135"/>
      <c r="J157" s="134"/>
      <c r="K157" s="135"/>
      <c r="L157" s="222"/>
      <c r="M157" s="222"/>
      <c r="N157" s="222"/>
      <c r="O157" s="222"/>
      <c r="P157" s="222"/>
      <c r="Q157" s="222"/>
      <c r="R157" s="222"/>
      <c r="S157" s="222"/>
      <c r="T157" s="222"/>
      <c r="U157" s="223"/>
      <c r="V157" s="222"/>
      <c r="W157" s="222"/>
      <c r="X157" s="222"/>
      <c r="Y157" s="222"/>
      <c r="Z157" s="222"/>
      <c r="AA157" s="222"/>
      <c r="AB157" s="222"/>
      <c r="AC157" s="222"/>
      <c r="AD157" s="222"/>
      <c r="AE157" s="222"/>
      <c r="AF157" s="520"/>
      <c r="AG157" s="222"/>
      <c r="AH157" s="223"/>
      <c r="AI157" s="222"/>
      <c r="AJ157" s="224"/>
    </row>
    <row r="158" spans="1:36" s="30" customFormat="1" ht="16">
      <c r="A158" s="140"/>
      <c r="B158" s="133" t="s">
        <v>43</v>
      </c>
      <c r="C158" s="29">
        <f>COUNTIFS($AH$5:$AH$118,"Orange",$A$5:$A$118,"SI")</f>
        <v>0</v>
      </c>
      <c r="D158" s="78">
        <f>(100*(COUNTIFS($AH$6:$AH$118,"Orange",$A$6:$A$118,"SI")))/COUNTIF($A$6:$A$118,"SI")</f>
        <v>0</v>
      </c>
      <c r="E158" s="134"/>
      <c r="F158" s="135"/>
      <c r="G158" s="135"/>
      <c r="H158" s="135"/>
      <c r="I158" s="135"/>
      <c r="J158" s="134"/>
      <c r="K158" s="135"/>
      <c r="L158" s="222"/>
      <c r="M158" s="222"/>
      <c r="N158" s="222"/>
      <c r="O158" s="222"/>
      <c r="P158" s="222"/>
      <c r="Q158" s="222"/>
      <c r="R158" s="222"/>
      <c r="S158" s="222"/>
      <c r="T158" s="222"/>
      <c r="U158" s="223"/>
      <c r="V158" s="222"/>
      <c r="W158" s="222"/>
      <c r="X158" s="222"/>
      <c r="Y158" s="222"/>
      <c r="Z158" s="222"/>
      <c r="AA158" s="222"/>
      <c r="AB158" s="222"/>
      <c r="AC158" s="222"/>
      <c r="AD158" s="222"/>
      <c r="AE158" s="222"/>
      <c r="AF158" s="520"/>
      <c r="AG158" s="222"/>
      <c r="AH158" s="223"/>
      <c r="AI158" s="222"/>
      <c r="AJ158" s="224"/>
    </row>
    <row r="159" spans="1:36" s="30" customFormat="1" ht="16">
      <c r="A159" s="140"/>
      <c r="B159" s="133" t="s">
        <v>44</v>
      </c>
      <c r="C159" s="29">
        <f>COUNTIFS($AH$5:$AH$118,"Red",$A$5:$A$118,"SI")</f>
        <v>1</v>
      </c>
      <c r="D159" s="78">
        <f>(100*(COUNTIFS($AH$6:$AH$118,"Red",$A$6:$A$118,"SI")))/COUNTIF($A$6:$A$118,"SI")</f>
        <v>4.166666666666667</v>
      </c>
      <c r="E159" s="134"/>
      <c r="F159" s="135"/>
      <c r="G159" s="135"/>
      <c r="H159" s="135"/>
      <c r="I159" s="135"/>
      <c r="J159" s="134"/>
      <c r="K159" s="135"/>
      <c r="L159" s="222"/>
      <c r="M159" s="222"/>
      <c r="N159" s="222"/>
      <c r="O159" s="222"/>
      <c r="P159" s="222"/>
      <c r="Q159" s="222"/>
      <c r="R159" s="222"/>
      <c r="S159" s="222"/>
      <c r="T159" s="222"/>
      <c r="U159" s="223"/>
      <c r="V159" s="222"/>
      <c r="W159" s="222"/>
      <c r="X159" s="222"/>
      <c r="Y159" s="222"/>
      <c r="Z159" s="222"/>
      <c r="AA159" s="222"/>
      <c r="AB159" s="222"/>
      <c r="AC159" s="222"/>
      <c r="AD159" s="222"/>
      <c r="AE159" s="222"/>
      <c r="AF159" s="520"/>
      <c r="AG159" s="222"/>
      <c r="AH159" s="223"/>
      <c r="AI159" s="222"/>
      <c r="AJ159" s="224"/>
    </row>
    <row r="160" spans="1:36" s="30" customFormat="1" ht="16">
      <c r="A160" s="140"/>
      <c r="B160" s="133" t="s">
        <v>65</v>
      </c>
      <c r="C160" s="29">
        <f>COUNTIFS($AH$5:$AH$118,"Qualitative",$A$5:$A$118,"SI")</f>
        <v>0</v>
      </c>
      <c r="D160" s="78">
        <f>(100*(COUNTIFS($AH$6:$AH$118,"Qualitative",$A$6:$A$118,"SI")))/COUNTIF($A$6:$A$118,"SI")</f>
        <v>0</v>
      </c>
      <c r="E160" s="134"/>
      <c r="F160" s="135"/>
      <c r="G160" s="135"/>
      <c r="H160" s="135"/>
      <c r="I160" s="135"/>
      <c r="J160" s="134"/>
      <c r="K160" s="135"/>
      <c r="L160" s="222"/>
      <c r="M160" s="222"/>
      <c r="N160" s="222"/>
      <c r="O160" s="222"/>
      <c r="P160" s="222"/>
      <c r="Q160" s="222"/>
      <c r="R160" s="222"/>
      <c r="S160" s="222"/>
      <c r="T160" s="222"/>
      <c r="U160" s="223"/>
      <c r="V160" s="222"/>
      <c r="W160" s="222"/>
      <c r="X160" s="222"/>
      <c r="Y160" s="222"/>
      <c r="Z160" s="222"/>
      <c r="AA160" s="222"/>
      <c r="AB160" s="222"/>
      <c r="AC160" s="222"/>
      <c r="AD160" s="222"/>
      <c r="AE160" s="222"/>
      <c r="AF160" s="520"/>
      <c r="AG160" s="222"/>
      <c r="AH160" s="223"/>
      <c r="AI160" s="222"/>
      <c r="AJ160" s="224"/>
    </row>
    <row r="161" spans="1:38" s="30" customFormat="1" ht="16">
      <c r="A161" s="140"/>
      <c r="B161" s="133" t="s">
        <v>45</v>
      </c>
      <c r="C161" s="29">
        <f>COUNTIFS($AH$5:$AH$118,"Not Available",$A$5:$A$118,"SI")</f>
        <v>0</v>
      </c>
      <c r="D161" s="78">
        <f>(100*(COUNTIFS($AH$6:$AH$118,"Not Available",$A$6:$A$118,"SI")))/COUNTIF($A$6:$A$118,"SI")</f>
        <v>0</v>
      </c>
      <c r="E161" s="134"/>
      <c r="F161" s="135"/>
      <c r="G161" s="135"/>
      <c r="H161" s="135"/>
      <c r="I161" s="135"/>
      <c r="J161" s="134"/>
      <c r="K161" s="135"/>
      <c r="L161" s="222"/>
      <c r="M161" s="222"/>
      <c r="N161" s="222"/>
      <c r="O161" s="222"/>
      <c r="P161" s="222"/>
      <c r="Q161" s="222"/>
      <c r="R161" s="222"/>
      <c r="S161" s="222"/>
      <c r="T161" s="222"/>
      <c r="U161" s="223"/>
      <c r="V161" s="222"/>
      <c r="W161" s="222"/>
      <c r="X161" s="222"/>
      <c r="Y161" s="222"/>
      <c r="Z161" s="222"/>
      <c r="AA161" s="222"/>
      <c r="AB161" s="222"/>
      <c r="AC161" s="222"/>
      <c r="AD161" s="222"/>
      <c r="AE161" s="222"/>
      <c r="AF161" s="520"/>
      <c r="AG161" s="222"/>
      <c r="AH161" s="223"/>
      <c r="AI161" s="222"/>
      <c r="AJ161" s="224"/>
    </row>
    <row r="162" spans="1:38" s="30" customFormat="1" ht="16">
      <c r="A162" s="140"/>
      <c r="B162" s="133" t="s">
        <v>46</v>
      </c>
      <c r="C162" s="29">
        <f>COUNTIFS($AH$5:$AH$118,"Not Applicable",$A$5:$A$118,"SI")</f>
        <v>0</v>
      </c>
      <c r="D162" s="78">
        <f>(100*(COUNTIFS($AH$6:$AH$118,"Not Applicable",$A$6:$A$118,"SI")))/COUNTIF($A$6:$A$118,"SI")</f>
        <v>0</v>
      </c>
      <c r="E162" s="134"/>
      <c r="F162" s="135"/>
      <c r="G162" s="135"/>
      <c r="H162" s="135"/>
      <c r="I162" s="135"/>
      <c r="J162" s="134"/>
      <c r="K162" s="135"/>
      <c r="L162" s="222"/>
      <c r="M162" s="222"/>
      <c r="N162" s="222"/>
      <c r="O162" s="222"/>
      <c r="P162" s="222"/>
      <c r="Q162" s="222"/>
      <c r="R162" s="222"/>
      <c r="S162" s="222"/>
      <c r="T162" s="222"/>
      <c r="U162" s="223"/>
      <c r="V162" s="222"/>
      <c r="W162" s="222"/>
      <c r="X162" s="222"/>
      <c r="Y162" s="222"/>
      <c r="Z162" s="222"/>
      <c r="AA162" s="222"/>
      <c r="AB162" s="222"/>
      <c r="AC162" s="222"/>
      <c r="AD162" s="222"/>
      <c r="AE162" s="222"/>
      <c r="AF162" s="520"/>
      <c r="AG162" s="222"/>
      <c r="AH162" s="223"/>
      <c r="AI162" s="222"/>
      <c r="AJ162" s="224"/>
    </row>
    <row r="163" spans="1:38" s="30" customFormat="1" ht="16">
      <c r="A163" s="140"/>
      <c r="B163" s="132"/>
      <c r="C163" s="31"/>
      <c r="D163" s="31"/>
      <c r="E163" s="134"/>
      <c r="F163" s="135"/>
      <c r="G163" s="135"/>
      <c r="H163" s="135"/>
      <c r="I163" s="135"/>
      <c r="J163" s="134"/>
      <c r="K163" s="135"/>
      <c r="L163" s="222"/>
      <c r="M163" s="222"/>
      <c r="N163" s="222"/>
      <c r="O163" s="222"/>
      <c r="P163" s="222"/>
      <c r="Q163" s="222"/>
      <c r="R163" s="222"/>
      <c r="S163" s="222"/>
      <c r="T163" s="222"/>
      <c r="U163" s="223"/>
      <c r="V163" s="222"/>
      <c r="W163" s="222"/>
      <c r="X163" s="222"/>
      <c r="Y163" s="222"/>
      <c r="Z163" s="222"/>
      <c r="AA163" s="222"/>
      <c r="AB163" s="222"/>
      <c r="AC163" s="222"/>
      <c r="AD163" s="222"/>
      <c r="AE163" s="222"/>
      <c r="AF163" s="520"/>
      <c r="AG163" s="222"/>
      <c r="AH163" s="223"/>
      <c r="AI163" s="222"/>
      <c r="AJ163" s="224"/>
    </row>
    <row r="165" spans="1:38" ht="15" customHeight="1">
      <c r="B165" s="85"/>
      <c r="C165" s="80"/>
      <c r="D165" s="81"/>
      <c r="E165" s="79"/>
      <c r="F165" s="79"/>
      <c r="G165" s="79"/>
      <c r="H165" s="79"/>
      <c r="I165" s="79"/>
      <c r="J165" s="361"/>
      <c r="K165" s="79"/>
      <c r="L165" s="214"/>
      <c r="M165" s="215"/>
      <c r="N165" s="216"/>
      <c r="O165" s="216"/>
      <c r="P165" s="214"/>
      <c r="Q165" s="217"/>
      <c r="R165" s="217"/>
      <c r="S165" s="217"/>
      <c r="T165" s="217"/>
      <c r="U165" s="218"/>
      <c r="V165" s="217"/>
      <c r="W165" s="217"/>
      <c r="X165" s="217"/>
      <c r="Y165" s="217"/>
      <c r="Z165" s="217"/>
      <c r="AA165" s="217"/>
      <c r="AB165" s="217"/>
      <c r="AC165" s="217"/>
      <c r="AD165" s="217"/>
      <c r="AE165" s="217"/>
      <c r="AF165" s="518"/>
      <c r="AG165" s="217"/>
      <c r="AH165" s="218"/>
      <c r="AI165" s="217"/>
      <c r="AJ165" s="217"/>
    </row>
    <row r="166" spans="1:38" ht="15" customHeight="1">
      <c r="B166" s="85"/>
      <c r="C166" s="99"/>
      <c r="D166" s="100"/>
      <c r="E166" s="101"/>
      <c r="F166" s="101"/>
      <c r="G166" s="101"/>
      <c r="H166" s="101"/>
      <c r="I166" s="101"/>
      <c r="J166" s="362"/>
      <c r="K166" s="85"/>
      <c r="L166" s="214"/>
      <c r="M166" s="215"/>
      <c r="N166" s="216"/>
      <c r="O166" s="216"/>
      <c r="P166" s="214"/>
      <c r="Q166" s="217"/>
      <c r="R166" s="217"/>
      <c r="S166" s="217"/>
      <c r="T166" s="217"/>
      <c r="U166" s="218"/>
      <c r="V166" s="217"/>
      <c r="W166" s="217"/>
      <c r="X166" s="217"/>
      <c r="Y166" s="217"/>
      <c r="Z166" s="217"/>
      <c r="AA166" s="217"/>
      <c r="AB166" s="217"/>
      <c r="AC166" s="217"/>
      <c r="AD166" s="217"/>
      <c r="AE166" s="217"/>
      <c r="AF166" s="518"/>
      <c r="AG166" s="217"/>
      <c r="AH166" s="218"/>
      <c r="AI166" s="217"/>
      <c r="AJ166" s="217"/>
    </row>
    <row r="167" spans="1:38" ht="15" customHeight="1">
      <c r="B167" s="82"/>
      <c r="C167" s="83"/>
      <c r="D167" s="84"/>
      <c r="E167" s="32"/>
      <c r="F167" s="32"/>
      <c r="G167" s="32"/>
      <c r="H167" s="32"/>
      <c r="I167" s="32"/>
      <c r="J167" s="363"/>
      <c r="K167" s="82"/>
      <c r="L167" s="214"/>
      <c r="M167" s="215"/>
      <c r="N167" s="216"/>
      <c r="O167" s="216"/>
      <c r="P167" s="214"/>
      <c r="Q167" s="217"/>
      <c r="R167" s="217"/>
      <c r="S167" s="217"/>
      <c r="T167" s="217"/>
      <c r="U167" s="218"/>
      <c r="V167" s="217"/>
      <c r="W167" s="217"/>
      <c r="X167" s="217"/>
      <c r="Y167" s="217"/>
      <c r="Z167" s="217"/>
      <c r="AA167" s="217"/>
      <c r="AB167" s="217"/>
      <c r="AC167" s="217"/>
      <c r="AD167" s="217"/>
      <c r="AE167" s="217"/>
      <c r="AF167" s="518"/>
      <c r="AG167" s="217"/>
      <c r="AH167" s="218"/>
      <c r="AI167" s="217"/>
      <c r="AJ167" s="217"/>
    </row>
    <row r="168" spans="1:38" s="53" customFormat="1">
      <c r="A168" s="236"/>
      <c r="B168" s="30"/>
      <c r="C168" s="30"/>
      <c r="D168" s="30"/>
      <c r="E168" s="65"/>
      <c r="F168" s="30"/>
      <c r="G168" s="30"/>
      <c r="H168" s="30"/>
      <c r="I168" s="30"/>
      <c r="J168" s="65"/>
      <c r="K168" s="30"/>
      <c r="L168" s="220"/>
      <c r="M168" s="220"/>
      <c r="N168" s="220"/>
      <c r="O168" s="220"/>
      <c r="P168" s="220"/>
      <c r="Q168" s="220"/>
      <c r="R168" s="220"/>
      <c r="S168" s="220"/>
      <c r="T168" s="220"/>
      <c r="U168" s="221"/>
      <c r="V168" s="220"/>
      <c r="W168" s="220"/>
      <c r="X168" s="220"/>
      <c r="Y168" s="220"/>
      <c r="Z168" s="220"/>
      <c r="AA168" s="220"/>
      <c r="AB168" s="220"/>
      <c r="AC168" s="220"/>
      <c r="AD168" s="220"/>
      <c r="AE168" s="220"/>
      <c r="AF168" s="519"/>
      <c r="AG168" s="220"/>
      <c r="AH168" s="221"/>
      <c r="AI168" s="220"/>
      <c r="AJ168" s="220"/>
      <c r="AK168" s="30"/>
      <c r="AL168" s="30"/>
    </row>
    <row r="1048278" spans="1:38" s="66" customFormat="1" ht="17" customHeight="1">
      <c r="A1048278" s="141"/>
      <c r="B1048278" s="30"/>
      <c r="C1048278" s="30"/>
      <c r="D1048278" s="30"/>
      <c r="E1048278" s="65"/>
      <c r="F1048278" s="30"/>
      <c r="G1048278" s="30"/>
      <c r="H1048278" s="30"/>
      <c r="I1048278" s="30"/>
      <c r="J1048278" s="65"/>
      <c r="K1048278" s="30"/>
      <c r="L1048278" s="220"/>
      <c r="M1048278" s="220"/>
      <c r="N1048278" s="220"/>
      <c r="O1048278" s="220"/>
      <c r="P1048278" s="220"/>
      <c r="Q1048278" s="220"/>
      <c r="R1048278" s="220"/>
      <c r="S1048278" s="220"/>
      <c r="T1048278" s="220"/>
      <c r="U1048278" s="221"/>
      <c r="V1048278" s="220"/>
      <c r="W1048278" s="220"/>
      <c r="X1048278" s="220"/>
      <c r="Y1048278" s="220"/>
      <c r="Z1048278" s="220"/>
      <c r="AA1048278" s="220"/>
      <c r="AB1048278" s="220"/>
      <c r="AC1048278" s="220"/>
      <c r="AD1048278" s="220"/>
      <c r="AE1048278" s="220"/>
      <c r="AF1048278" s="519"/>
      <c r="AG1048278" s="220"/>
      <c r="AH1048278" s="221"/>
      <c r="AI1048278" s="220"/>
      <c r="AJ1048278" s="220"/>
      <c r="AK1048278" s="30"/>
      <c r="AL1048278" s="30"/>
    </row>
  </sheetData>
  <autoFilter ref="A1:AJ122" xr:uid="{00000000-0009-0000-0000-000001000000}"/>
  <mergeCells count="246">
    <mergeCell ref="AH19:AH20"/>
    <mergeCell ref="F60:F61"/>
    <mergeCell ref="C81:C86"/>
    <mergeCell ref="D81:D86"/>
    <mergeCell ref="F81:F86"/>
    <mergeCell ref="H81:H86"/>
    <mergeCell ref="I81:I86"/>
    <mergeCell ref="J81:J86"/>
    <mergeCell ref="C35:C38"/>
    <mergeCell ref="D35:D38"/>
    <mergeCell ref="G35:G38"/>
    <mergeCell ref="F56:F58"/>
    <mergeCell ref="D27:D28"/>
    <mergeCell ref="F27:F28"/>
    <mergeCell ref="E27:E28"/>
    <mergeCell ref="I27:I28"/>
    <mergeCell ref="D21:D23"/>
    <mergeCell ref="C21:C23"/>
    <mergeCell ref="E21:E23"/>
    <mergeCell ref="F21:F23"/>
    <mergeCell ref="I21:I23"/>
    <mergeCell ref="H21:H23"/>
    <mergeCell ref="G21:G23"/>
    <mergeCell ref="M22:T22"/>
    <mergeCell ref="M88:T88"/>
    <mergeCell ref="M104:T104"/>
    <mergeCell ref="M81:T81"/>
    <mergeCell ref="M6:T6"/>
    <mergeCell ref="M33:N33"/>
    <mergeCell ref="M53:T53"/>
    <mergeCell ref="M54:T54"/>
    <mergeCell ref="M56:N56"/>
    <mergeCell ref="M57:N57"/>
    <mergeCell ref="M28:T28"/>
    <mergeCell ref="M35:T35"/>
    <mergeCell ref="O29:T33"/>
    <mergeCell ref="M76:T76"/>
    <mergeCell ref="M58:T58"/>
    <mergeCell ref="M89:N89"/>
    <mergeCell ref="O89:T93"/>
    <mergeCell ref="M90:N90"/>
    <mergeCell ref="M91:N91"/>
    <mergeCell ref="M92:N92"/>
    <mergeCell ref="M93:N93"/>
    <mergeCell ref="M16:T16"/>
    <mergeCell ref="M20:T20"/>
    <mergeCell ref="M27:T27"/>
    <mergeCell ref="M21:T21"/>
    <mergeCell ref="C109:C117"/>
    <mergeCell ref="D109:D117"/>
    <mergeCell ref="F109:F117"/>
    <mergeCell ref="H109:H117"/>
    <mergeCell ref="I109:I117"/>
    <mergeCell ref="J109:J117"/>
    <mergeCell ref="M105:T105"/>
    <mergeCell ref="U81:U86"/>
    <mergeCell ref="AH81:AH86"/>
    <mergeCell ref="M82:T82"/>
    <mergeCell ref="M83:T83"/>
    <mergeCell ref="M84:T84"/>
    <mergeCell ref="M85:T85"/>
    <mergeCell ref="M86:T86"/>
    <mergeCell ref="M109:T109"/>
    <mergeCell ref="U109:U117"/>
    <mergeCell ref="AH109:AH117"/>
    <mergeCell ref="M110:T110"/>
    <mergeCell ref="M111:T111"/>
    <mergeCell ref="M112:T112"/>
    <mergeCell ref="M113:T113"/>
    <mergeCell ref="M114:T114"/>
    <mergeCell ref="M115:T115"/>
    <mergeCell ref="M116:T116"/>
    <mergeCell ref="AH99:AH102"/>
    <mergeCell ref="M100:T100"/>
    <mergeCell ref="M101:T101"/>
    <mergeCell ref="M102:T102"/>
    <mergeCell ref="D99:D103"/>
    <mergeCell ref="U99:U103"/>
    <mergeCell ref="M118:T118"/>
    <mergeCell ref="U105:U108"/>
    <mergeCell ref="M106:T106"/>
    <mergeCell ref="M107:T107"/>
    <mergeCell ref="M108:T108"/>
    <mergeCell ref="M117:T117"/>
    <mergeCell ref="M103:T103"/>
    <mergeCell ref="AF95:AF98"/>
    <mergeCell ref="M96:T96"/>
    <mergeCell ref="M97:T97"/>
    <mergeCell ref="M98:T98"/>
    <mergeCell ref="F95:F98"/>
    <mergeCell ref="C99:C102"/>
    <mergeCell ref="H99:H102"/>
    <mergeCell ref="I99:I102"/>
    <mergeCell ref="M99:T99"/>
    <mergeCell ref="U89:U94"/>
    <mergeCell ref="C95:C98"/>
    <mergeCell ref="D95:D98"/>
    <mergeCell ref="G95:G98"/>
    <mergeCell ref="I95:I98"/>
    <mergeCell ref="J95:J98"/>
    <mergeCell ref="M95:T95"/>
    <mergeCell ref="U95:U98"/>
    <mergeCell ref="AJ2:AJ3"/>
    <mergeCell ref="M3:T3"/>
    <mergeCell ref="AD2:AD3"/>
    <mergeCell ref="AE2:AE3"/>
    <mergeCell ref="AF2:AF3"/>
    <mergeCell ref="AG2:AG3"/>
    <mergeCell ref="AH2:AH3"/>
    <mergeCell ref="AI2:AI3"/>
    <mergeCell ref="M18:T18"/>
    <mergeCell ref="M13:T13"/>
    <mergeCell ref="M94:N94"/>
    <mergeCell ref="F89:F93"/>
    <mergeCell ref="I89:I93"/>
    <mergeCell ref="AF13:AF16"/>
    <mergeCell ref="M14:T14"/>
    <mergeCell ref="M15:T15"/>
    <mergeCell ref="B2:B3"/>
    <mergeCell ref="C2:D3"/>
    <mergeCell ref="E2:K2"/>
    <mergeCell ref="L2:T2"/>
    <mergeCell ref="U2:U3"/>
    <mergeCell ref="V2:AC2"/>
    <mergeCell ref="C27:C28"/>
    <mergeCell ref="L120:T120"/>
    <mergeCell ref="L122:T122"/>
    <mergeCell ref="I7:I11"/>
    <mergeCell ref="M7:N7"/>
    <mergeCell ref="O7:T11"/>
    <mergeCell ref="M11:N11"/>
    <mergeCell ref="M68:T68"/>
    <mergeCell ref="M69:T69"/>
    <mergeCell ref="M70:T70"/>
    <mergeCell ref="M67:N67"/>
    <mergeCell ref="M60:T60"/>
    <mergeCell ref="M61:T61"/>
    <mergeCell ref="M52:T52"/>
    <mergeCell ref="M55:T55"/>
    <mergeCell ref="M47:P47"/>
    <mergeCell ref="M23:T23"/>
    <mergeCell ref="M17:T17"/>
    <mergeCell ref="C13:C16"/>
    <mergeCell ref="D13:D16"/>
    <mergeCell ref="F13:F16"/>
    <mergeCell ref="G13:G16"/>
    <mergeCell ref="I13:I16"/>
    <mergeCell ref="U7:U11"/>
    <mergeCell ref="M8:N8"/>
    <mergeCell ref="M9:N9"/>
    <mergeCell ref="M10:N10"/>
    <mergeCell ref="F7:F11"/>
    <mergeCell ref="J17:J18"/>
    <mergeCell ref="U17:U18"/>
    <mergeCell ref="F19:F20"/>
    <mergeCell ref="I19:I20"/>
    <mergeCell ref="J19:J20"/>
    <mergeCell ref="M19:T19"/>
    <mergeCell ref="U19:U20"/>
    <mergeCell ref="J13:J16"/>
    <mergeCell ref="U13:U16"/>
    <mergeCell ref="I17:I18"/>
    <mergeCell ref="F17:F18"/>
    <mergeCell ref="D19:D20"/>
    <mergeCell ref="AF35:AF38"/>
    <mergeCell ref="M36:T36"/>
    <mergeCell ref="M37:T37"/>
    <mergeCell ref="M38:T38"/>
    <mergeCell ref="M30:N30"/>
    <mergeCell ref="M32:N32"/>
    <mergeCell ref="M31:N31"/>
    <mergeCell ref="M29:N29"/>
    <mergeCell ref="U21:U23"/>
    <mergeCell ref="M24:T24"/>
    <mergeCell ref="M25:T25"/>
    <mergeCell ref="U24:U25"/>
    <mergeCell ref="U27:U28"/>
    <mergeCell ref="U29:U33"/>
    <mergeCell ref="E29:E33"/>
    <mergeCell ref="U42:U47"/>
    <mergeCell ref="I29:I33"/>
    <mergeCell ref="I35:I38"/>
    <mergeCell ref="F29:F33"/>
    <mergeCell ref="M39:T39"/>
    <mergeCell ref="M40:T40"/>
    <mergeCell ref="M41:T41"/>
    <mergeCell ref="J35:J38"/>
    <mergeCell ref="U35:U38"/>
    <mergeCell ref="C48:C55"/>
    <mergeCell ref="D48:D55"/>
    <mergeCell ref="F48:F55"/>
    <mergeCell ref="H48:H55"/>
    <mergeCell ref="I48:I55"/>
    <mergeCell ref="M48:T48"/>
    <mergeCell ref="F42:F46"/>
    <mergeCell ref="I42:I46"/>
    <mergeCell ref="M42:P42"/>
    <mergeCell ref="M43:P43"/>
    <mergeCell ref="M44:P44"/>
    <mergeCell ref="M45:P45"/>
    <mergeCell ref="M46:P46"/>
    <mergeCell ref="O56:P56"/>
    <mergeCell ref="R56:S56"/>
    <mergeCell ref="O57:P57"/>
    <mergeCell ref="R57:S57"/>
    <mergeCell ref="U48:U55"/>
    <mergeCell ref="AH48:AH55"/>
    <mergeCell ref="M49:T49"/>
    <mergeCell ref="M50:T50"/>
    <mergeCell ref="M51:T51"/>
    <mergeCell ref="U56:U58"/>
    <mergeCell ref="D60:D61"/>
    <mergeCell ref="F62:F66"/>
    <mergeCell ref="I62:I66"/>
    <mergeCell ref="M62:N62"/>
    <mergeCell ref="M63:N63"/>
    <mergeCell ref="M64:N64"/>
    <mergeCell ref="M65:N65"/>
    <mergeCell ref="M66:N66"/>
    <mergeCell ref="U60:U61"/>
    <mergeCell ref="U62:U67"/>
    <mergeCell ref="O62:T67"/>
    <mergeCell ref="AF68:AF71"/>
    <mergeCell ref="M71:T71"/>
    <mergeCell ref="C72:C75"/>
    <mergeCell ref="H72:H75"/>
    <mergeCell ref="I72:I75"/>
    <mergeCell ref="M72:T72"/>
    <mergeCell ref="C68:C71"/>
    <mergeCell ref="D68:D71"/>
    <mergeCell ref="G68:G71"/>
    <mergeCell ref="I68:I71"/>
    <mergeCell ref="J68:J71"/>
    <mergeCell ref="U68:U71"/>
    <mergeCell ref="U72:U76"/>
    <mergeCell ref="F72:F76"/>
    <mergeCell ref="D72:D76"/>
    <mergeCell ref="M77:T77"/>
    <mergeCell ref="M78:T78"/>
    <mergeCell ref="M79:T79"/>
    <mergeCell ref="AH72:AH75"/>
    <mergeCell ref="M73:T73"/>
    <mergeCell ref="M74:T74"/>
    <mergeCell ref="M75:T75"/>
    <mergeCell ref="M80:T80"/>
    <mergeCell ref="U77:U80"/>
  </mergeCells>
  <conditionalFormatting sqref="U6 U17 U21">
    <cfRule type="containsText" dxfId="1599" priority="458" operator="containsText" text="Complete">
      <formula>NOT(ISERROR(SEARCH("Complete",U6)))</formula>
    </cfRule>
  </conditionalFormatting>
  <conditionalFormatting sqref="U6 U17 U21">
    <cfRule type="containsText" dxfId="1598" priority="453" operator="containsText" text="Not applicable">
      <formula>NOT(ISERROR(SEARCH("Not applicable",U6)))</formula>
    </cfRule>
    <cfRule type="containsText" dxfId="1597" priority="454" operator="containsText" text="Pending">
      <formula>NOT(ISERROR(SEARCH("Pending",U6)))</formula>
    </cfRule>
    <cfRule type="containsText" dxfId="1596" priority="455" operator="containsText" text="Alternative">
      <formula>NOT(ISERROR(SEARCH("Alternative",U6)))</formula>
    </cfRule>
    <cfRule type="containsText" dxfId="1595" priority="456" operator="containsText" text="Not Available">
      <formula>NOT(ISERROR(SEARCH("Not Available",U6)))</formula>
    </cfRule>
    <cfRule type="containsText" dxfId="1594" priority="457" operator="containsText" text="Incomplete">
      <formula>NOT(ISERROR(SEARCH("Incomplete",U6)))</formula>
    </cfRule>
  </conditionalFormatting>
  <conditionalFormatting sqref="C129">
    <cfRule type="containsText" dxfId="1593" priority="443" operator="containsText" text="Alternative">
      <formula>NOT(ISERROR(SEARCH("Alternative",C129)))</formula>
    </cfRule>
    <cfRule type="containsText" dxfId="1592" priority="445" operator="containsText" text="Not available">
      <formula>NOT(ISERROR(SEARCH("Not available",C129)))</formula>
    </cfRule>
    <cfRule type="containsText" dxfId="1591" priority="446" operator="containsText" text="Incomplete">
      <formula>NOT(ISERROR(SEARCH("Incomplete",C129)))</formula>
    </cfRule>
    <cfRule type="containsText" dxfId="1590" priority="447" operator="containsText" text="Complete">
      <formula>NOT(ISERROR(SEARCH("Complete",C129)))</formula>
    </cfRule>
  </conditionalFormatting>
  <conditionalFormatting sqref="B129:C129 B130">
    <cfRule type="containsText" dxfId="1589" priority="444" operator="containsText" text="Pending">
      <formula>NOT(ISERROR(SEARCH("Pending",B129)))</formula>
    </cfRule>
  </conditionalFormatting>
  <conditionalFormatting sqref="C128">
    <cfRule type="containsText" dxfId="1588" priority="438" operator="containsText" text="Alternative">
      <formula>NOT(ISERROR(SEARCH("Alternative",C128)))</formula>
    </cfRule>
    <cfRule type="containsText" dxfId="1587" priority="440" operator="containsText" text="Not available">
      <formula>NOT(ISERROR(SEARCH("Not available",C128)))</formula>
    </cfRule>
    <cfRule type="containsText" dxfId="1586" priority="441" operator="containsText" text="Incomplete">
      <formula>NOT(ISERROR(SEARCH("Incomplete",C128)))</formula>
    </cfRule>
    <cfRule type="containsText" dxfId="1585" priority="442" operator="containsText" text="Complete">
      <formula>NOT(ISERROR(SEARCH("Complete",C128)))</formula>
    </cfRule>
  </conditionalFormatting>
  <conditionalFormatting sqref="C128">
    <cfRule type="containsText" dxfId="1584" priority="439" operator="containsText" text="Pending">
      <formula>NOT(ISERROR(SEARCH("Pending",C128)))</formula>
    </cfRule>
  </conditionalFormatting>
  <conditionalFormatting sqref="B151">
    <cfRule type="containsText" dxfId="1583" priority="434" operator="containsText" text="Pending">
      <formula>NOT(ISERROR(SEARCH("Pending",B151)))</formula>
    </cfRule>
  </conditionalFormatting>
  <conditionalFormatting sqref="B137">
    <cfRule type="containsText" dxfId="1582" priority="432" operator="containsText" text="Pending">
      <formula>NOT(ISERROR(SEARCH("Pending",B137)))</formula>
    </cfRule>
  </conditionalFormatting>
  <conditionalFormatting sqref="B144">
    <cfRule type="containsText" dxfId="1581" priority="431" operator="containsText" text="Pending">
      <formula>NOT(ISERROR(SEARCH("Pending",B144)))</formula>
    </cfRule>
  </conditionalFormatting>
  <conditionalFormatting sqref="B131:B136">
    <cfRule type="containsText" dxfId="1580" priority="430" operator="containsText" text="Complete">
      <formula>NOT(ISERROR(SEARCH("Complete",B131)))</formula>
    </cfRule>
  </conditionalFormatting>
  <conditionalFormatting sqref="B131:B136">
    <cfRule type="containsText" dxfId="1579" priority="425" operator="containsText" text="Not applicable">
      <formula>NOT(ISERROR(SEARCH("Not applicable",B131)))</formula>
    </cfRule>
    <cfRule type="containsText" dxfId="1578" priority="426" operator="containsText" text="Pending">
      <formula>NOT(ISERROR(SEARCH("Pending",B131)))</formula>
    </cfRule>
    <cfRule type="containsText" dxfId="1577" priority="427" operator="containsText" text="Alternative">
      <formula>NOT(ISERROR(SEARCH("Alternative",B131)))</formula>
    </cfRule>
    <cfRule type="containsText" dxfId="1576" priority="428" operator="containsText" text="Not Available">
      <formula>NOT(ISERROR(SEARCH("Not Available",B131)))</formula>
    </cfRule>
    <cfRule type="containsText" dxfId="1575" priority="429" operator="containsText" text="Incomplete">
      <formula>NOT(ISERROR(SEARCH("Incomplete",B131)))</formula>
    </cfRule>
  </conditionalFormatting>
  <conditionalFormatting sqref="B138:B143">
    <cfRule type="containsText" dxfId="1574" priority="424" operator="containsText" text="Complete">
      <formula>NOT(ISERROR(SEARCH("Complete",B138)))</formula>
    </cfRule>
  </conditionalFormatting>
  <conditionalFormatting sqref="B138:B143">
    <cfRule type="containsText" dxfId="1573" priority="419" operator="containsText" text="Not applicable">
      <formula>NOT(ISERROR(SEARCH("Not applicable",B138)))</formula>
    </cfRule>
    <cfRule type="containsText" dxfId="1572" priority="420" operator="containsText" text="Pending">
      <formula>NOT(ISERROR(SEARCH("Pending",B138)))</formula>
    </cfRule>
    <cfRule type="containsText" dxfId="1571" priority="421" operator="containsText" text="Alternative">
      <formula>NOT(ISERROR(SEARCH("Alternative",B138)))</formula>
    </cfRule>
    <cfRule type="containsText" dxfId="1570" priority="422" operator="containsText" text="Not Available">
      <formula>NOT(ISERROR(SEARCH("Not Available",B138)))</formula>
    </cfRule>
    <cfRule type="containsText" dxfId="1569" priority="423" operator="containsText" text="Incomplete">
      <formula>NOT(ISERROR(SEARCH("Incomplete",B138)))</formula>
    </cfRule>
  </conditionalFormatting>
  <conditionalFormatting sqref="B145:B150">
    <cfRule type="containsText" dxfId="1568" priority="418" operator="containsText" text="Complete">
      <formula>NOT(ISERROR(SEARCH("Complete",B145)))</formula>
    </cfRule>
  </conditionalFormatting>
  <conditionalFormatting sqref="B145:B150">
    <cfRule type="containsText" dxfId="1567" priority="413" operator="containsText" text="Not applicable">
      <formula>NOT(ISERROR(SEARCH("Not applicable",B145)))</formula>
    </cfRule>
    <cfRule type="containsText" dxfId="1566" priority="414" operator="containsText" text="Pending">
      <formula>NOT(ISERROR(SEARCH("Pending",B145)))</formula>
    </cfRule>
    <cfRule type="containsText" dxfId="1565" priority="415" operator="containsText" text="Alternative">
      <formula>NOT(ISERROR(SEARCH("Alternative",B145)))</formula>
    </cfRule>
    <cfRule type="containsText" dxfId="1564" priority="416" operator="containsText" text="Not Available">
      <formula>NOT(ISERROR(SEARCH("Not Available",B145)))</formula>
    </cfRule>
    <cfRule type="containsText" dxfId="1563" priority="417" operator="containsText" text="Incomplete">
      <formula>NOT(ISERROR(SEARCH("Incomplete",B145)))</formula>
    </cfRule>
  </conditionalFormatting>
  <conditionalFormatting sqref="D129">
    <cfRule type="containsText" dxfId="1562" priority="408" operator="containsText" text="Alternative">
      <formula>NOT(ISERROR(SEARCH("Alternative",D129)))</formula>
    </cfRule>
    <cfRule type="containsText" dxfId="1561" priority="410" operator="containsText" text="Not available">
      <formula>NOT(ISERROR(SEARCH("Not available",D129)))</formula>
    </cfRule>
    <cfRule type="containsText" dxfId="1560" priority="411" operator="containsText" text="Incomplete">
      <formula>NOT(ISERROR(SEARCH("Incomplete",D129)))</formula>
    </cfRule>
    <cfRule type="containsText" dxfId="1559" priority="412" operator="containsText" text="Complete">
      <formula>NOT(ISERROR(SEARCH("Complete",D129)))</formula>
    </cfRule>
  </conditionalFormatting>
  <conditionalFormatting sqref="D129">
    <cfRule type="containsText" dxfId="1558" priority="409" operator="containsText" text="Pending">
      <formula>NOT(ISERROR(SEARCH("Pending",D129)))</formula>
    </cfRule>
  </conditionalFormatting>
  <conditionalFormatting sqref="B154">
    <cfRule type="containsText" dxfId="1557" priority="407" operator="containsText" text="Pending">
      <formula>NOT(ISERROR(SEARCH("Pending",B154)))</formula>
    </cfRule>
  </conditionalFormatting>
  <conditionalFormatting sqref="B155">
    <cfRule type="containsText" dxfId="1556" priority="406" operator="containsText" text="Pending">
      <formula>NOT(ISERROR(SEARCH("Pending",B155)))</formula>
    </cfRule>
  </conditionalFormatting>
  <conditionalFormatting sqref="C163">
    <cfRule type="containsText" dxfId="1555" priority="396" operator="containsText" text="Alternative">
      <formula>NOT(ISERROR(SEARCH("Alternative",C163)))</formula>
    </cfRule>
    <cfRule type="containsText" dxfId="1554" priority="398" operator="containsText" text="Not available">
      <formula>NOT(ISERROR(SEARCH("Not available",C163)))</formula>
    </cfRule>
    <cfRule type="containsText" dxfId="1553" priority="399" operator="containsText" text="Incomplete">
      <formula>NOT(ISERROR(SEARCH("Incomplete",C163)))</formula>
    </cfRule>
    <cfRule type="containsText" dxfId="1552" priority="400" operator="containsText" text="Complete">
      <formula>NOT(ISERROR(SEARCH("Complete",C163)))</formula>
    </cfRule>
  </conditionalFormatting>
  <conditionalFormatting sqref="B163:C163">
    <cfRule type="containsText" dxfId="1551" priority="397" operator="containsText" text="Pending">
      <formula>NOT(ISERROR(SEARCH("Pending",B163)))</formula>
    </cfRule>
  </conditionalFormatting>
  <conditionalFormatting sqref="B156">
    <cfRule type="containsText" dxfId="1550" priority="391" operator="containsText" text="No Benchmark">
      <formula>NOT(ISERROR(SEARCH("No Benchmark",B156)))</formula>
    </cfRule>
    <cfRule type="containsText" dxfId="1549" priority="392" operator="containsText" text="Red">
      <formula>NOT(ISERROR(SEARCH("Red",B156)))</formula>
    </cfRule>
    <cfRule type="containsText" dxfId="1548" priority="393" operator="containsText" text="Orange">
      <formula>NOT(ISERROR(SEARCH("Orange",B156)))</formula>
    </cfRule>
    <cfRule type="containsText" dxfId="1547" priority="394" operator="containsText" text="Yellow">
      <formula>NOT(ISERROR(SEARCH("Yellow",B156)))</formula>
    </cfRule>
    <cfRule type="containsText" dxfId="1546" priority="395" operator="containsText" text="Green">
      <formula>NOT(ISERROR(SEARCH("Green",B156)))</formula>
    </cfRule>
  </conditionalFormatting>
  <conditionalFormatting sqref="B157">
    <cfRule type="containsText" dxfId="1545" priority="386" operator="containsText" text="No Benchmark">
      <formula>NOT(ISERROR(SEARCH("No Benchmark",B157)))</formula>
    </cfRule>
    <cfRule type="containsText" dxfId="1544" priority="387" operator="containsText" text="Red">
      <formula>NOT(ISERROR(SEARCH("Red",B157)))</formula>
    </cfRule>
    <cfRule type="containsText" dxfId="1543" priority="388" operator="containsText" text="Orange">
      <formula>NOT(ISERROR(SEARCH("Orange",B157)))</formula>
    </cfRule>
    <cfRule type="containsText" dxfId="1542" priority="389" operator="containsText" text="Yellow">
      <formula>NOT(ISERROR(SEARCH("Yellow",B157)))</formula>
    </cfRule>
    <cfRule type="containsText" dxfId="1541" priority="390" operator="containsText" text="Green">
      <formula>NOT(ISERROR(SEARCH("Green",B157)))</formula>
    </cfRule>
  </conditionalFormatting>
  <conditionalFormatting sqref="B158">
    <cfRule type="containsText" dxfId="1540" priority="381" operator="containsText" text="No Benchmark">
      <formula>NOT(ISERROR(SEARCH("No Benchmark",B158)))</formula>
    </cfRule>
    <cfRule type="containsText" dxfId="1539" priority="382" operator="containsText" text="Red">
      <formula>NOT(ISERROR(SEARCH("Red",B158)))</formula>
    </cfRule>
    <cfRule type="containsText" dxfId="1538" priority="383" operator="containsText" text="Orange">
      <formula>NOT(ISERROR(SEARCH("Orange",B158)))</formula>
    </cfRule>
    <cfRule type="containsText" dxfId="1537" priority="384" operator="containsText" text="Yellow">
      <formula>NOT(ISERROR(SEARCH("Yellow",B158)))</formula>
    </cfRule>
    <cfRule type="containsText" dxfId="1536" priority="385" operator="containsText" text="Green">
      <formula>NOT(ISERROR(SEARCH("Green",B158)))</formula>
    </cfRule>
  </conditionalFormatting>
  <conditionalFormatting sqref="B159">
    <cfRule type="containsText" dxfId="1535" priority="376" operator="containsText" text="No Benchmark">
      <formula>NOT(ISERROR(SEARCH("No Benchmark",B159)))</formula>
    </cfRule>
    <cfRule type="containsText" dxfId="1534" priority="377" operator="containsText" text="Red">
      <formula>NOT(ISERROR(SEARCH("Red",B159)))</formula>
    </cfRule>
    <cfRule type="containsText" dxfId="1533" priority="378" operator="containsText" text="Orange">
      <formula>NOT(ISERROR(SEARCH("Orange",B159)))</formula>
    </cfRule>
    <cfRule type="containsText" dxfId="1532" priority="379" operator="containsText" text="Yellow">
      <formula>NOT(ISERROR(SEARCH("Yellow",B159)))</formula>
    </cfRule>
    <cfRule type="containsText" dxfId="1531" priority="380" operator="containsText" text="Green">
      <formula>NOT(ISERROR(SEARCH("Green",B159)))</formula>
    </cfRule>
  </conditionalFormatting>
  <conditionalFormatting sqref="B160">
    <cfRule type="containsText" dxfId="1530" priority="371" operator="containsText" text="Qualitative">
      <formula>NOT(ISERROR(SEARCH("Qualitative",B160)))</formula>
    </cfRule>
    <cfRule type="containsText" dxfId="1529" priority="372" operator="containsText" text="Red">
      <formula>NOT(ISERROR(SEARCH("Red",B160)))</formula>
    </cfRule>
    <cfRule type="containsText" dxfId="1528" priority="373" operator="containsText" text="Orange">
      <formula>NOT(ISERROR(SEARCH("Orange",B160)))</formula>
    </cfRule>
    <cfRule type="containsText" dxfId="1527" priority="374" operator="containsText" text="Yellow">
      <formula>NOT(ISERROR(SEARCH("Yellow",B160)))</formula>
    </cfRule>
    <cfRule type="containsText" dxfId="1526" priority="375" operator="containsText" text="Green">
      <formula>NOT(ISERROR(SEARCH("Green",B160)))</formula>
    </cfRule>
  </conditionalFormatting>
  <conditionalFormatting sqref="B161">
    <cfRule type="containsText" dxfId="1525" priority="366" operator="containsText" text="No Benchmark">
      <formula>NOT(ISERROR(SEARCH("No Benchmark",B161)))</formula>
    </cfRule>
    <cfRule type="containsText" dxfId="1524" priority="367" operator="containsText" text="Red">
      <formula>NOT(ISERROR(SEARCH("Red",B161)))</formula>
    </cfRule>
    <cfRule type="containsText" dxfId="1523" priority="368" operator="containsText" text="Orange">
      <formula>NOT(ISERROR(SEARCH("Orange",B161)))</formula>
    </cfRule>
    <cfRule type="containsText" dxfId="1522" priority="369" operator="containsText" text="Yellow">
      <formula>NOT(ISERROR(SEARCH("Yellow",B161)))</formula>
    </cfRule>
    <cfRule type="containsText" dxfId="1521" priority="370" operator="containsText" text="Green">
      <formula>NOT(ISERROR(SEARCH("Green",B161)))</formula>
    </cfRule>
  </conditionalFormatting>
  <conditionalFormatting sqref="B162">
    <cfRule type="containsText" dxfId="1520" priority="361" operator="containsText" text="No Benchmark">
      <formula>NOT(ISERROR(SEARCH("No Benchmark",B162)))</formula>
    </cfRule>
    <cfRule type="containsText" dxfId="1519" priority="362" operator="containsText" text="Red">
      <formula>NOT(ISERROR(SEARCH("Red",B162)))</formula>
    </cfRule>
    <cfRule type="containsText" dxfId="1518" priority="363" operator="containsText" text="Orange">
      <formula>NOT(ISERROR(SEARCH("Orange",B162)))</formula>
    </cfRule>
    <cfRule type="containsText" dxfId="1517" priority="364" operator="containsText" text="Yellow">
      <formula>NOT(ISERROR(SEARCH("Yellow",B162)))</formula>
    </cfRule>
    <cfRule type="containsText" dxfId="1516" priority="365" operator="containsText" text="Green">
      <formula>NOT(ISERROR(SEARCH("Green",B162)))</formula>
    </cfRule>
  </conditionalFormatting>
  <conditionalFormatting sqref="AF6 AF17:AF18 AF21:AF25 AF27:AF28">
    <cfRule type="containsText" dxfId="1515" priority="343" operator="containsText" text="0">
      <formula>NOT(ISERROR(SEARCH("0",AF6)))</formula>
    </cfRule>
  </conditionalFormatting>
  <conditionalFormatting sqref="U24">
    <cfRule type="containsText" dxfId="1514" priority="202" operator="containsText" text="Complete">
      <formula>NOT(ISERROR(SEARCH("Complete",U24)))</formula>
    </cfRule>
  </conditionalFormatting>
  <conditionalFormatting sqref="U24">
    <cfRule type="containsText" dxfId="1513" priority="197" operator="containsText" text="Not applicable">
      <formula>NOT(ISERROR(SEARCH("Not applicable",U24)))</formula>
    </cfRule>
    <cfRule type="containsText" dxfId="1512" priority="198" operator="containsText" text="Pending">
      <formula>NOT(ISERROR(SEARCH("Pending",U24)))</formula>
    </cfRule>
    <cfRule type="containsText" dxfId="1511" priority="199" operator="containsText" text="Alternative">
      <formula>NOT(ISERROR(SEARCH("Alternative",U24)))</formula>
    </cfRule>
    <cfRule type="containsText" dxfId="1510" priority="200" operator="containsText" text="Not Available">
      <formula>NOT(ISERROR(SEARCH("Not Available",U24)))</formula>
    </cfRule>
    <cfRule type="containsText" dxfId="1509" priority="201" operator="containsText" text="Incomplete">
      <formula>NOT(ISERROR(SEARCH("Incomplete",U24)))</formula>
    </cfRule>
  </conditionalFormatting>
  <conditionalFormatting sqref="U7">
    <cfRule type="containsText" dxfId="1508" priority="221" operator="containsText" text="Complete">
      <formula>NOT(ISERROR(SEARCH("Complete",U7)))</formula>
    </cfRule>
  </conditionalFormatting>
  <conditionalFormatting sqref="U7">
    <cfRule type="containsText" dxfId="1507" priority="216" operator="containsText" text="Not applicable">
      <formula>NOT(ISERROR(SEARCH("Not applicable",U7)))</formula>
    </cfRule>
    <cfRule type="containsText" dxfId="1506" priority="217" operator="containsText" text="Pending">
      <formula>NOT(ISERROR(SEARCH("Pending",U7)))</formula>
    </cfRule>
    <cfRule type="containsText" dxfId="1505" priority="218" operator="containsText" text="Alternative">
      <formula>NOT(ISERROR(SEARCH("Alternative",U7)))</formula>
    </cfRule>
    <cfRule type="containsText" dxfId="1504" priority="219" operator="containsText" text="Not Available">
      <formula>NOT(ISERROR(SEARCH("Not Available",U7)))</formula>
    </cfRule>
    <cfRule type="containsText" dxfId="1503" priority="220" operator="containsText" text="Incomplete">
      <formula>NOT(ISERROR(SEARCH("Incomplete",U7)))</formula>
    </cfRule>
  </conditionalFormatting>
  <conditionalFormatting sqref="U13">
    <cfRule type="containsText" dxfId="1502" priority="215" operator="containsText" text="Complete">
      <formula>NOT(ISERROR(SEARCH("Complete",U13)))</formula>
    </cfRule>
  </conditionalFormatting>
  <conditionalFormatting sqref="U13">
    <cfRule type="containsText" dxfId="1501" priority="210" operator="containsText" text="Not applicable">
      <formula>NOT(ISERROR(SEARCH("Not applicable",U13)))</formula>
    </cfRule>
    <cfRule type="containsText" dxfId="1500" priority="211" operator="containsText" text="Pending">
      <formula>NOT(ISERROR(SEARCH("Pending",U13)))</formula>
    </cfRule>
    <cfRule type="containsText" dxfId="1499" priority="212" operator="containsText" text="Alternative">
      <formula>NOT(ISERROR(SEARCH("Alternative",U13)))</formula>
    </cfRule>
    <cfRule type="containsText" dxfId="1498" priority="213" operator="containsText" text="Not Available">
      <formula>NOT(ISERROR(SEARCH("Not Available",U13)))</formula>
    </cfRule>
    <cfRule type="containsText" dxfId="1497" priority="214" operator="containsText" text="Incomplete">
      <formula>NOT(ISERROR(SEARCH("Incomplete",U13)))</formula>
    </cfRule>
  </conditionalFormatting>
  <conditionalFormatting sqref="U27">
    <cfRule type="containsText" dxfId="1496" priority="196" operator="containsText" text="Complete">
      <formula>NOT(ISERROR(SEARCH("Complete",U27)))</formula>
    </cfRule>
  </conditionalFormatting>
  <conditionalFormatting sqref="U27">
    <cfRule type="containsText" dxfId="1495" priority="191" operator="containsText" text="Not applicable">
      <formula>NOT(ISERROR(SEARCH("Not applicable",U27)))</formula>
    </cfRule>
    <cfRule type="containsText" dxfId="1494" priority="192" operator="containsText" text="Pending">
      <formula>NOT(ISERROR(SEARCH("Pending",U27)))</formula>
    </cfRule>
    <cfRule type="containsText" dxfId="1493" priority="193" operator="containsText" text="Alternative">
      <formula>NOT(ISERROR(SEARCH("Alternative",U27)))</formula>
    </cfRule>
    <cfRule type="containsText" dxfId="1492" priority="194" operator="containsText" text="Not Available">
      <formula>NOT(ISERROR(SEARCH("Not Available",U27)))</formula>
    </cfRule>
    <cfRule type="containsText" dxfId="1491" priority="195" operator="containsText" text="Incomplete">
      <formula>NOT(ISERROR(SEARCH("Incomplete",U27)))</formula>
    </cfRule>
  </conditionalFormatting>
  <conditionalFormatting sqref="U19">
    <cfRule type="containsText" dxfId="1490" priority="209" operator="containsText" text="Complete">
      <formula>NOT(ISERROR(SEARCH("Complete",U19)))</formula>
    </cfRule>
  </conditionalFormatting>
  <conditionalFormatting sqref="U19">
    <cfRule type="containsText" dxfId="1489" priority="204" operator="containsText" text="Not applicable">
      <formula>NOT(ISERROR(SEARCH("Not applicable",U19)))</formula>
    </cfRule>
    <cfRule type="containsText" dxfId="1488" priority="205" operator="containsText" text="Pending">
      <formula>NOT(ISERROR(SEARCH("Pending",U19)))</formula>
    </cfRule>
    <cfRule type="containsText" dxfId="1487" priority="206" operator="containsText" text="Alternative">
      <formula>NOT(ISERROR(SEARCH("Alternative",U19)))</formula>
    </cfRule>
    <cfRule type="containsText" dxfId="1486" priority="207" operator="containsText" text="Not Available">
      <formula>NOT(ISERROR(SEARCH("Not Available",U19)))</formula>
    </cfRule>
    <cfRule type="containsText" dxfId="1485" priority="208" operator="containsText" text="Incomplete">
      <formula>NOT(ISERROR(SEARCH("Incomplete",U19)))</formula>
    </cfRule>
  </conditionalFormatting>
  <conditionalFormatting sqref="AF19:AF20">
    <cfRule type="containsText" dxfId="1484" priority="203" operator="containsText" text="0">
      <formula>NOT(ISERROR(SEARCH("0",AF19)))</formula>
    </cfRule>
  </conditionalFormatting>
  <conditionalFormatting sqref="U29">
    <cfRule type="containsText" dxfId="1483" priority="190" operator="containsText" text="Complete">
      <formula>NOT(ISERROR(SEARCH("Complete",U29)))</formula>
    </cfRule>
  </conditionalFormatting>
  <conditionalFormatting sqref="U29">
    <cfRule type="containsText" dxfId="1482" priority="185" operator="containsText" text="Not applicable">
      <formula>NOT(ISERROR(SEARCH("Not applicable",U29)))</formula>
    </cfRule>
    <cfRule type="containsText" dxfId="1481" priority="186" operator="containsText" text="Pending">
      <formula>NOT(ISERROR(SEARCH("Pending",U29)))</formula>
    </cfRule>
    <cfRule type="containsText" dxfId="1480" priority="187" operator="containsText" text="Alternative">
      <formula>NOT(ISERROR(SEARCH("Alternative",U29)))</formula>
    </cfRule>
    <cfRule type="containsText" dxfId="1479" priority="188" operator="containsText" text="Not Available">
      <formula>NOT(ISERROR(SEARCH("Not Available",U29)))</formula>
    </cfRule>
    <cfRule type="containsText" dxfId="1478" priority="189" operator="containsText" text="Incomplete">
      <formula>NOT(ISERROR(SEARCH("Incomplete",U29)))</formula>
    </cfRule>
  </conditionalFormatting>
  <conditionalFormatting sqref="U35">
    <cfRule type="containsText" dxfId="1477" priority="184" operator="containsText" text="Complete">
      <formula>NOT(ISERROR(SEARCH("Complete",U35)))</formula>
    </cfRule>
  </conditionalFormatting>
  <conditionalFormatting sqref="U35">
    <cfRule type="containsText" dxfId="1476" priority="179" operator="containsText" text="Not applicable">
      <formula>NOT(ISERROR(SEARCH("Not applicable",U35)))</formula>
    </cfRule>
    <cfRule type="containsText" dxfId="1475" priority="180" operator="containsText" text="Pending">
      <formula>NOT(ISERROR(SEARCH("Pending",U35)))</formula>
    </cfRule>
    <cfRule type="containsText" dxfId="1474" priority="181" operator="containsText" text="Alternative">
      <formula>NOT(ISERROR(SEARCH("Alternative",U35)))</formula>
    </cfRule>
    <cfRule type="containsText" dxfId="1473" priority="182" operator="containsText" text="Not Available">
      <formula>NOT(ISERROR(SEARCH("Not Available",U35)))</formula>
    </cfRule>
    <cfRule type="containsText" dxfId="1472" priority="183" operator="containsText" text="Incomplete">
      <formula>NOT(ISERROR(SEARCH("Incomplete",U35)))</formula>
    </cfRule>
  </conditionalFormatting>
  <conditionalFormatting sqref="AF39">
    <cfRule type="containsText" dxfId="1471" priority="172" operator="containsText" text="0">
      <formula>NOT(ISERROR(SEARCH("0",AF39)))</formula>
    </cfRule>
  </conditionalFormatting>
  <conditionalFormatting sqref="U39">
    <cfRule type="containsText" dxfId="1470" priority="171" operator="containsText" text="Complete">
      <formula>NOT(ISERROR(SEARCH("Complete",U39)))</formula>
    </cfRule>
  </conditionalFormatting>
  <conditionalFormatting sqref="U39">
    <cfRule type="containsText" dxfId="1469" priority="166" operator="containsText" text="Not applicable">
      <formula>NOT(ISERROR(SEARCH("Not applicable",U39)))</formula>
    </cfRule>
    <cfRule type="containsText" dxfId="1468" priority="167" operator="containsText" text="Pending">
      <formula>NOT(ISERROR(SEARCH("Pending",U39)))</formula>
    </cfRule>
    <cfRule type="containsText" dxfId="1467" priority="168" operator="containsText" text="Alternative">
      <formula>NOT(ISERROR(SEARCH("Alternative",U39)))</formula>
    </cfRule>
    <cfRule type="containsText" dxfId="1466" priority="169" operator="containsText" text="Not Available">
      <formula>NOT(ISERROR(SEARCH("Not Available",U39)))</formula>
    </cfRule>
    <cfRule type="containsText" dxfId="1465" priority="170" operator="containsText" text="Incomplete">
      <formula>NOT(ISERROR(SEARCH("Incomplete",U39)))</formula>
    </cfRule>
  </conditionalFormatting>
  <conditionalFormatting sqref="U41">
    <cfRule type="containsText" dxfId="1464" priority="158" operator="containsText" text="Complete">
      <formula>NOT(ISERROR(SEARCH("Complete",U41)))</formula>
    </cfRule>
  </conditionalFormatting>
  <conditionalFormatting sqref="U41">
    <cfRule type="containsText" dxfId="1463" priority="153" operator="containsText" text="Not applicable">
      <formula>NOT(ISERROR(SEARCH("Not applicable",U41)))</formula>
    </cfRule>
    <cfRule type="containsText" dxfId="1462" priority="154" operator="containsText" text="Pending">
      <formula>NOT(ISERROR(SEARCH("Pending",U41)))</formula>
    </cfRule>
    <cfRule type="containsText" dxfId="1461" priority="155" operator="containsText" text="Alternative">
      <formula>NOT(ISERROR(SEARCH("Alternative",U41)))</formula>
    </cfRule>
    <cfRule type="containsText" dxfId="1460" priority="156" operator="containsText" text="Not Available">
      <formula>NOT(ISERROR(SEARCH("Not Available",U41)))</formula>
    </cfRule>
    <cfRule type="containsText" dxfId="1459" priority="157" operator="containsText" text="Incomplete">
      <formula>NOT(ISERROR(SEARCH("Incomplete",U41)))</formula>
    </cfRule>
  </conditionalFormatting>
  <conditionalFormatting sqref="AF40">
    <cfRule type="containsText" dxfId="1458" priority="159" operator="containsText" text="0">
      <formula>NOT(ISERROR(SEARCH("0",AF40)))</formula>
    </cfRule>
  </conditionalFormatting>
  <conditionalFormatting sqref="AF41">
    <cfRule type="containsText" dxfId="1457" priority="152" operator="containsText" text="0">
      <formula>NOT(ISERROR(SEARCH("0",AF41)))</formula>
    </cfRule>
  </conditionalFormatting>
  <conditionalFormatting sqref="U42">
    <cfRule type="containsText" dxfId="1456" priority="151" operator="containsText" text="Complete">
      <formula>NOT(ISERROR(SEARCH("Complete",U42)))</formula>
    </cfRule>
  </conditionalFormatting>
  <conditionalFormatting sqref="U42">
    <cfRule type="containsText" dxfId="1455" priority="146" operator="containsText" text="Not applicable">
      <formula>NOT(ISERROR(SEARCH("Not applicable",U42)))</formula>
    </cfRule>
    <cfRule type="containsText" dxfId="1454" priority="147" operator="containsText" text="Pending">
      <formula>NOT(ISERROR(SEARCH("Pending",U42)))</formula>
    </cfRule>
    <cfRule type="containsText" dxfId="1453" priority="148" operator="containsText" text="Alternative">
      <formula>NOT(ISERROR(SEARCH("Alternative",U42)))</formula>
    </cfRule>
    <cfRule type="containsText" dxfId="1452" priority="149" operator="containsText" text="Not Available">
      <formula>NOT(ISERROR(SEARCH("Not Available",U42)))</formula>
    </cfRule>
    <cfRule type="containsText" dxfId="1451" priority="150" operator="containsText" text="Incomplete">
      <formula>NOT(ISERROR(SEARCH("Incomplete",U42)))</formula>
    </cfRule>
  </conditionalFormatting>
  <conditionalFormatting sqref="U48">
    <cfRule type="containsText" dxfId="1450" priority="145" operator="containsText" text="Complete">
      <formula>NOT(ISERROR(SEARCH("Complete",U48)))</formula>
    </cfRule>
  </conditionalFormatting>
  <conditionalFormatting sqref="U48">
    <cfRule type="containsText" dxfId="1449" priority="140" operator="containsText" text="Not applicable">
      <formula>NOT(ISERROR(SEARCH("Not applicable",U48)))</formula>
    </cfRule>
    <cfRule type="containsText" dxfId="1448" priority="141" operator="containsText" text="Pending">
      <formula>NOT(ISERROR(SEARCH("Pending",U48)))</formula>
    </cfRule>
    <cfRule type="containsText" dxfId="1447" priority="142" operator="containsText" text="Alternative">
      <formula>NOT(ISERROR(SEARCH("Alternative",U48)))</formula>
    </cfRule>
    <cfRule type="containsText" dxfId="1446" priority="143" operator="containsText" text="Not Available">
      <formula>NOT(ISERROR(SEARCH("Not Available",U48)))</formula>
    </cfRule>
    <cfRule type="containsText" dxfId="1445" priority="144" operator="containsText" text="Incomplete">
      <formula>NOT(ISERROR(SEARCH("Incomplete",U48)))</formula>
    </cfRule>
  </conditionalFormatting>
  <conditionalFormatting sqref="U56">
    <cfRule type="containsText" dxfId="1444" priority="139" operator="containsText" text="Complete">
      <formula>NOT(ISERROR(SEARCH("Complete",U56)))</formula>
    </cfRule>
  </conditionalFormatting>
  <conditionalFormatting sqref="U56">
    <cfRule type="containsText" dxfId="1443" priority="134" operator="containsText" text="Not applicable">
      <formula>NOT(ISERROR(SEARCH("Not applicable",U56)))</formula>
    </cfRule>
    <cfRule type="containsText" dxfId="1442" priority="135" operator="containsText" text="Pending">
      <formula>NOT(ISERROR(SEARCH("Pending",U56)))</formula>
    </cfRule>
    <cfRule type="containsText" dxfId="1441" priority="136" operator="containsText" text="Alternative">
      <formula>NOT(ISERROR(SEARCH("Alternative",U56)))</formula>
    </cfRule>
    <cfRule type="containsText" dxfId="1440" priority="137" operator="containsText" text="Not Available">
      <formula>NOT(ISERROR(SEARCH("Not Available",U56)))</formula>
    </cfRule>
    <cfRule type="containsText" dxfId="1439" priority="138" operator="containsText" text="Incomplete">
      <formula>NOT(ISERROR(SEARCH("Incomplete",U56)))</formula>
    </cfRule>
  </conditionalFormatting>
  <conditionalFormatting sqref="U60">
    <cfRule type="containsText" dxfId="1438" priority="127" operator="containsText" text="Complete">
      <formula>NOT(ISERROR(SEARCH("Complete",U60)))</formula>
    </cfRule>
  </conditionalFormatting>
  <conditionalFormatting sqref="U60">
    <cfRule type="containsText" dxfId="1437" priority="122" operator="containsText" text="Not applicable">
      <formula>NOT(ISERROR(SEARCH("Not applicable",U60)))</formula>
    </cfRule>
    <cfRule type="containsText" dxfId="1436" priority="123" operator="containsText" text="Pending">
      <formula>NOT(ISERROR(SEARCH("Pending",U60)))</formula>
    </cfRule>
    <cfRule type="containsText" dxfId="1435" priority="124" operator="containsText" text="Alternative">
      <formula>NOT(ISERROR(SEARCH("Alternative",U60)))</formula>
    </cfRule>
    <cfRule type="containsText" dxfId="1434" priority="125" operator="containsText" text="Not Available">
      <formula>NOT(ISERROR(SEARCH("Not Available",U60)))</formula>
    </cfRule>
    <cfRule type="containsText" dxfId="1433" priority="126" operator="containsText" text="Incomplete">
      <formula>NOT(ISERROR(SEARCH("Incomplete",U60)))</formula>
    </cfRule>
  </conditionalFormatting>
  <conditionalFormatting sqref="U62">
    <cfRule type="containsText" dxfId="1432" priority="121" operator="containsText" text="Complete">
      <formula>NOT(ISERROR(SEARCH("Complete",U62)))</formula>
    </cfRule>
  </conditionalFormatting>
  <conditionalFormatting sqref="U62">
    <cfRule type="containsText" dxfId="1431" priority="116" operator="containsText" text="Not applicable">
      <formula>NOT(ISERROR(SEARCH("Not applicable",U62)))</formula>
    </cfRule>
    <cfRule type="containsText" dxfId="1430" priority="117" operator="containsText" text="Pending">
      <formula>NOT(ISERROR(SEARCH("Pending",U62)))</formula>
    </cfRule>
    <cfRule type="containsText" dxfId="1429" priority="118" operator="containsText" text="Alternative">
      <formula>NOT(ISERROR(SEARCH("Alternative",U62)))</formula>
    </cfRule>
    <cfRule type="containsText" dxfId="1428" priority="119" operator="containsText" text="Not Available">
      <formula>NOT(ISERROR(SEARCH("Not Available",U62)))</formula>
    </cfRule>
    <cfRule type="containsText" dxfId="1427" priority="120" operator="containsText" text="Incomplete">
      <formula>NOT(ISERROR(SEARCH("Incomplete",U62)))</formula>
    </cfRule>
  </conditionalFormatting>
  <conditionalFormatting sqref="U68">
    <cfRule type="containsText" dxfId="1426" priority="115" operator="containsText" text="Complete">
      <formula>NOT(ISERROR(SEARCH("Complete",U68)))</formula>
    </cfRule>
  </conditionalFormatting>
  <conditionalFormatting sqref="U68">
    <cfRule type="containsText" dxfId="1425" priority="110" operator="containsText" text="Not applicable">
      <formula>NOT(ISERROR(SEARCH("Not applicable",U68)))</formula>
    </cfRule>
    <cfRule type="containsText" dxfId="1424" priority="111" operator="containsText" text="Pending">
      <formula>NOT(ISERROR(SEARCH("Pending",U68)))</formula>
    </cfRule>
    <cfRule type="containsText" dxfId="1423" priority="112" operator="containsText" text="Alternative">
      <formula>NOT(ISERROR(SEARCH("Alternative",U68)))</formula>
    </cfRule>
    <cfRule type="containsText" dxfId="1422" priority="113" operator="containsText" text="Not Available">
      <formula>NOT(ISERROR(SEARCH("Not Available",U68)))</formula>
    </cfRule>
    <cfRule type="containsText" dxfId="1421" priority="114" operator="containsText" text="Incomplete">
      <formula>NOT(ISERROR(SEARCH("Incomplete",U68)))</formula>
    </cfRule>
  </conditionalFormatting>
  <conditionalFormatting sqref="U72">
    <cfRule type="containsText" dxfId="1420" priority="109" operator="containsText" text="Complete">
      <formula>NOT(ISERROR(SEARCH("Complete",U72)))</formula>
    </cfRule>
  </conditionalFormatting>
  <conditionalFormatting sqref="U72">
    <cfRule type="containsText" dxfId="1419" priority="104" operator="containsText" text="Not applicable">
      <formula>NOT(ISERROR(SEARCH("Not applicable",U72)))</formula>
    </cfRule>
    <cfRule type="containsText" dxfId="1418" priority="105" operator="containsText" text="Pending">
      <formula>NOT(ISERROR(SEARCH("Pending",U72)))</formula>
    </cfRule>
    <cfRule type="containsText" dxfId="1417" priority="106" operator="containsText" text="Alternative">
      <formula>NOT(ISERROR(SEARCH("Alternative",U72)))</formula>
    </cfRule>
    <cfRule type="containsText" dxfId="1416" priority="107" operator="containsText" text="Not Available">
      <formula>NOT(ISERROR(SEARCH("Not Available",U72)))</formula>
    </cfRule>
    <cfRule type="containsText" dxfId="1415" priority="108" operator="containsText" text="Incomplete">
      <formula>NOT(ISERROR(SEARCH("Incomplete",U72)))</formula>
    </cfRule>
  </conditionalFormatting>
  <conditionalFormatting sqref="U77">
    <cfRule type="containsText" dxfId="1414" priority="103" operator="containsText" text="Complete">
      <formula>NOT(ISERROR(SEARCH("Complete",U77)))</formula>
    </cfRule>
  </conditionalFormatting>
  <conditionalFormatting sqref="U77">
    <cfRule type="containsText" dxfId="1413" priority="98" operator="containsText" text="Not applicable">
      <formula>NOT(ISERROR(SEARCH("Not applicable",U77)))</formula>
    </cfRule>
    <cfRule type="containsText" dxfId="1412" priority="99" operator="containsText" text="Pending">
      <formula>NOT(ISERROR(SEARCH("Pending",U77)))</formula>
    </cfRule>
    <cfRule type="containsText" dxfId="1411" priority="100" operator="containsText" text="Alternative">
      <formula>NOT(ISERROR(SEARCH("Alternative",U77)))</formula>
    </cfRule>
    <cfRule type="containsText" dxfId="1410" priority="101" operator="containsText" text="Not Available">
      <formula>NOT(ISERROR(SEARCH("Not Available",U77)))</formula>
    </cfRule>
    <cfRule type="containsText" dxfId="1409" priority="102" operator="containsText" text="Incomplete">
      <formula>NOT(ISERROR(SEARCH("Incomplete",U77)))</formula>
    </cfRule>
  </conditionalFormatting>
  <conditionalFormatting sqref="U88">
    <cfRule type="containsText" dxfId="1408" priority="91" operator="containsText" text="Complete">
      <formula>NOT(ISERROR(SEARCH("Complete",U88)))</formula>
    </cfRule>
  </conditionalFormatting>
  <conditionalFormatting sqref="U88">
    <cfRule type="containsText" dxfId="1407" priority="86" operator="containsText" text="Not applicable">
      <formula>NOT(ISERROR(SEARCH("Not applicable",U88)))</formula>
    </cfRule>
    <cfRule type="containsText" dxfId="1406" priority="87" operator="containsText" text="Pending">
      <formula>NOT(ISERROR(SEARCH("Pending",U88)))</formula>
    </cfRule>
    <cfRule type="containsText" dxfId="1405" priority="88" operator="containsText" text="Alternative">
      <formula>NOT(ISERROR(SEARCH("Alternative",U88)))</formula>
    </cfRule>
    <cfRule type="containsText" dxfId="1404" priority="89" operator="containsText" text="Not Available">
      <formula>NOT(ISERROR(SEARCH("Not Available",U88)))</formula>
    </cfRule>
    <cfRule type="containsText" dxfId="1403" priority="90" operator="containsText" text="Incomplete">
      <formula>NOT(ISERROR(SEARCH("Incomplete",U88)))</formula>
    </cfRule>
  </conditionalFormatting>
  <conditionalFormatting sqref="U89">
    <cfRule type="containsText" dxfId="1402" priority="85" operator="containsText" text="Complete">
      <formula>NOT(ISERROR(SEARCH("Complete",U89)))</formula>
    </cfRule>
  </conditionalFormatting>
  <conditionalFormatting sqref="U89">
    <cfRule type="containsText" dxfId="1401" priority="80" operator="containsText" text="Not applicable">
      <formula>NOT(ISERROR(SEARCH("Not applicable",U89)))</formula>
    </cfRule>
    <cfRule type="containsText" dxfId="1400" priority="81" operator="containsText" text="Pending">
      <formula>NOT(ISERROR(SEARCH("Pending",U89)))</formula>
    </cfRule>
    <cfRule type="containsText" dxfId="1399" priority="82" operator="containsText" text="Alternative">
      <formula>NOT(ISERROR(SEARCH("Alternative",U89)))</formula>
    </cfRule>
    <cfRule type="containsText" dxfId="1398" priority="83" operator="containsText" text="Not Available">
      <formula>NOT(ISERROR(SEARCH("Not Available",U89)))</formula>
    </cfRule>
    <cfRule type="containsText" dxfId="1397" priority="84" operator="containsText" text="Incomplete">
      <formula>NOT(ISERROR(SEARCH("Incomplete",U89)))</formula>
    </cfRule>
  </conditionalFormatting>
  <conditionalFormatting sqref="U95">
    <cfRule type="containsText" dxfId="1396" priority="79" operator="containsText" text="Complete">
      <formula>NOT(ISERROR(SEARCH("Complete",U95)))</formula>
    </cfRule>
  </conditionalFormatting>
  <conditionalFormatting sqref="U95">
    <cfRule type="containsText" dxfId="1395" priority="74" operator="containsText" text="Not applicable">
      <formula>NOT(ISERROR(SEARCH("Not applicable",U95)))</formula>
    </cfRule>
    <cfRule type="containsText" dxfId="1394" priority="75" operator="containsText" text="Pending">
      <formula>NOT(ISERROR(SEARCH("Pending",U95)))</formula>
    </cfRule>
    <cfRule type="containsText" dxfId="1393" priority="76" operator="containsText" text="Alternative">
      <formula>NOT(ISERROR(SEARCH("Alternative",U95)))</formula>
    </cfRule>
    <cfRule type="containsText" dxfId="1392" priority="77" operator="containsText" text="Not Available">
      <formula>NOT(ISERROR(SEARCH("Not Available",U95)))</formula>
    </cfRule>
    <cfRule type="containsText" dxfId="1391" priority="78" operator="containsText" text="Incomplete">
      <formula>NOT(ISERROR(SEARCH("Incomplete",U95)))</formula>
    </cfRule>
  </conditionalFormatting>
  <conditionalFormatting sqref="U99">
    <cfRule type="containsText" dxfId="1390" priority="73" operator="containsText" text="Complete">
      <formula>NOT(ISERROR(SEARCH("Complete",U99)))</formula>
    </cfRule>
  </conditionalFormatting>
  <conditionalFormatting sqref="U99">
    <cfRule type="containsText" dxfId="1389" priority="68" operator="containsText" text="Not applicable">
      <formula>NOT(ISERROR(SEARCH("Not applicable",U99)))</formula>
    </cfRule>
    <cfRule type="containsText" dxfId="1388" priority="69" operator="containsText" text="Pending">
      <formula>NOT(ISERROR(SEARCH("Pending",U99)))</formula>
    </cfRule>
    <cfRule type="containsText" dxfId="1387" priority="70" operator="containsText" text="Alternative">
      <formula>NOT(ISERROR(SEARCH("Alternative",U99)))</formula>
    </cfRule>
    <cfRule type="containsText" dxfId="1386" priority="71" operator="containsText" text="Not Available">
      <formula>NOT(ISERROR(SEARCH("Not Available",U99)))</formula>
    </cfRule>
    <cfRule type="containsText" dxfId="1385" priority="72" operator="containsText" text="Incomplete">
      <formula>NOT(ISERROR(SEARCH("Incomplete",U99)))</formula>
    </cfRule>
  </conditionalFormatting>
  <conditionalFormatting sqref="U104">
    <cfRule type="containsText" dxfId="1384" priority="67" operator="containsText" text="Complete">
      <formula>NOT(ISERROR(SEARCH("Complete",U104)))</formula>
    </cfRule>
  </conditionalFormatting>
  <conditionalFormatting sqref="U104">
    <cfRule type="containsText" dxfId="1383" priority="62" operator="containsText" text="Not applicable">
      <formula>NOT(ISERROR(SEARCH("Not applicable",U104)))</formula>
    </cfRule>
    <cfRule type="containsText" dxfId="1382" priority="63" operator="containsText" text="Pending">
      <formula>NOT(ISERROR(SEARCH("Pending",U104)))</formula>
    </cfRule>
    <cfRule type="containsText" dxfId="1381" priority="64" operator="containsText" text="Alternative">
      <formula>NOT(ISERROR(SEARCH("Alternative",U104)))</formula>
    </cfRule>
    <cfRule type="containsText" dxfId="1380" priority="65" operator="containsText" text="Not Available">
      <formula>NOT(ISERROR(SEARCH("Not Available",U104)))</formula>
    </cfRule>
    <cfRule type="containsText" dxfId="1379" priority="66" operator="containsText" text="Incomplete">
      <formula>NOT(ISERROR(SEARCH("Incomplete",U104)))</formula>
    </cfRule>
  </conditionalFormatting>
  <conditionalFormatting sqref="U105">
    <cfRule type="containsText" dxfId="1378" priority="61" operator="containsText" text="Complete">
      <formula>NOT(ISERROR(SEARCH("Complete",U105)))</formula>
    </cfRule>
  </conditionalFormatting>
  <conditionalFormatting sqref="U105">
    <cfRule type="containsText" dxfId="1377" priority="56" operator="containsText" text="Not applicable">
      <formula>NOT(ISERROR(SEARCH("Not applicable",U105)))</formula>
    </cfRule>
    <cfRule type="containsText" dxfId="1376" priority="57" operator="containsText" text="Pending">
      <formula>NOT(ISERROR(SEARCH("Pending",U105)))</formula>
    </cfRule>
    <cfRule type="containsText" dxfId="1375" priority="58" operator="containsText" text="Alternative">
      <formula>NOT(ISERROR(SEARCH("Alternative",U105)))</formula>
    </cfRule>
    <cfRule type="containsText" dxfId="1374" priority="59" operator="containsText" text="Not Available">
      <formula>NOT(ISERROR(SEARCH("Not Available",U105)))</formula>
    </cfRule>
    <cfRule type="containsText" dxfId="1373" priority="60" operator="containsText" text="Incomplete">
      <formula>NOT(ISERROR(SEARCH("Incomplete",U105)))</formula>
    </cfRule>
  </conditionalFormatting>
  <conditionalFormatting sqref="U81">
    <cfRule type="containsText" dxfId="1372" priority="43" operator="containsText" text="Complete">
      <formula>NOT(ISERROR(SEARCH("Complete",U81)))</formula>
    </cfRule>
  </conditionalFormatting>
  <conditionalFormatting sqref="U81">
    <cfRule type="containsText" dxfId="1371" priority="38" operator="containsText" text="Not applicable">
      <formula>NOT(ISERROR(SEARCH("Not applicable",U81)))</formula>
    </cfRule>
    <cfRule type="containsText" dxfId="1370" priority="39" operator="containsText" text="Pending">
      <formula>NOT(ISERROR(SEARCH("Pending",U81)))</formula>
    </cfRule>
    <cfRule type="containsText" dxfId="1369" priority="40" operator="containsText" text="Alternative">
      <formula>NOT(ISERROR(SEARCH("Alternative",U81)))</formula>
    </cfRule>
    <cfRule type="containsText" dxfId="1368" priority="41" operator="containsText" text="Not Available">
      <formula>NOT(ISERROR(SEARCH("Not Available",U81)))</formula>
    </cfRule>
    <cfRule type="containsText" dxfId="1367" priority="42" operator="containsText" text="Incomplete">
      <formula>NOT(ISERROR(SEARCH("Incomplete",U81)))</formula>
    </cfRule>
  </conditionalFormatting>
  <conditionalFormatting sqref="U109">
    <cfRule type="containsText" dxfId="1366" priority="49" operator="containsText" text="Complete">
      <formula>NOT(ISERROR(SEARCH("Complete",U109)))</formula>
    </cfRule>
  </conditionalFormatting>
  <conditionalFormatting sqref="U109">
    <cfRule type="containsText" dxfId="1365" priority="44" operator="containsText" text="Not applicable">
      <formula>NOT(ISERROR(SEARCH("Not applicable",U109)))</formula>
    </cfRule>
    <cfRule type="containsText" dxfId="1364" priority="45" operator="containsText" text="Pending">
      <formula>NOT(ISERROR(SEARCH("Pending",U109)))</formula>
    </cfRule>
    <cfRule type="containsText" dxfId="1363" priority="46" operator="containsText" text="Alternative">
      <formula>NOT(ISERROR(SEARCH("Alternative",U109)))</formula>
    </cfRule>
    <cfRule type="containsText" dxfId="1362" priority="47" operator="containsText" text="Not Available">
      <formula>NOT(ISERROR(SEARCH("Not Available",U109)))</formula>
    </cfRule>
    <cfRule type="containsText" dxfId="1361" priority="48" operator="containsText" text="Incomplete">
      <formula>NOT(ISERROR(SEARCH("Incomplete",U109)))</formula>
    </cfRule>
  </conditionalFormatting>
  <conditionalFormatting sqref="U118">
    <cfRule type="containsText" dxfId="1360" priority="37" operator="containsText" text="Complete">
      <formula>NOT(ISERROR(SEARCH("Complete",U118)))</formula>
    </cfRule>
  </conditionalFormatting>
  <conditionalFormatting sqref="U118">
    <cfRule type="containsText" dxfId="1359" priority="32" operator="containsText" text="Not applicable">
      <formula>NOT(ISERROR(SEARCH("Not applicable",U118)))</formula>
    </cfRule>
    <cfRule type="containsText" dxfId="1358" priority="33" operator="containsText" text="Pending">
      <formula>NOT(ISERROR(SEARCH("Pending",U118)))</formula>
    </cfRule>
    <cfRule type="containsText" dxfId="1357" priority="34" operator="containsText" text="Alternative">
      <formula>NOT(ISERROR(SEARCH("Alternative",U118)))</formula>
    </cfRule>
    <cfRule type="containsText" dxfId="1356" priority="35" operator="containsText" text="Not Available">
      <formula>NOT(ISERROR(SEARCH("Not Available",U118)))</formula>
    </cfRule>
    <cfRule type="containsText" dxfId="1355" priority="36" operator="containsText" text="Incomplete">
      <formula>NOT(ISERROR(SEARCH("Incomplete",U118)))</formula>
    </cfRule>
  </conditionalFormatting>
  <conditionalFormatting sqref="U40">
    <cfRule type="containsText" dxfId="1354" priority="31" operator="containsText" text="Complete">
      <formula>NOT(ISERROR(SEARCH("Complete",U40)))</formula>
    </cfRule>
  </conditionalFormatting>
  <conditionalFormatting sqref="U40">
    <cfRule type="containsText" dxfId="1353" priority="26" operator="containsText" text="Not applicable">
      <formula>NOT(ISERROR(SEARCH("Not applicable",U40)))</formula>
    </cfRule>
    <cfRule type="containsText" dxfId="1352" priority="27" operator="containsText" text="Pending">
      <formula>NOT(ISERROR(SEARCH("Pending",U40)))</formula>
    </cfRule>
    <cfRule type="containsText" dxfId="1351" priority="28" operator="containsText" text="Alternative">
      <formula>NOT(ISERROR(SEARCH("Alternative",U40)))</formula>
    </cfRule>
    <cfRule type="containsText" dxfId="1350" priority="29" operator="containsText" text="Not Available">
      <formula>NOT(ISERROR(SEARCH("Not Available",U40)))</formula>
    </cfRule>
    <cfRule type="containsText" dxfId="1349" priority="30" operator="containsText" text="Incomplete">
      <formula>NOT(ISERROR(SEARCH("Incomplete",U40)))</formula>
    </cfRule>
  </conditionalFormatting>
  <conditionalFormatting sqref="C151">
    <cfRule type="containsText" dxfId="1348" priority="21" operator="containsText" text="Alternative">
      <formula>NOT(ISERROR(SEARCH("Alternative",C151)))</formula>
    </cfRule>
    <cfRule type="containsText" dxfId="1347" priority="23" operator="containsText" text="Not available">
      <formula>NOT(ISERROR(SEARCH("Not available",C151)))</formula>
    </cfRule>
    <cfRule type="containsText" dxfId="1346" priority="24" operator="containsText" text="Incomplete">
      <formula>NOT(ISERROR(SEARCH("Incomplete",C151)))</formula>
    </cfRule>
    <cfRule type="containsText" dxfId="1345" priority="25" operator="containsText" text="Complete">
      <formula>NOT(ISERROR(SEARCH("Complete",C151)))</formula>
    </cfRule>
  </conditionalFormatting>
  <conditionalFormatting sqref="C151">
    <cfRule type="containsText" dxfId="1344" priority="22" operator="containsText" text="Pending">
      <formula>NOT(ISERROR(SEARCH("Pending",C151)))</formula>
    </cfRule>
  </conditionalFormatting>
  <conditionalFormatting sqref="C153">
    <cfRule type="containsText" dxfId="1343" priority="16" operator="containsText" text="Alternative">
      <formula>NOT(ISERROR(SEARCH("Alternative",C153)))</formula>
    </cfRule>
    <cfRule type="containsText" dxfId="1342" priority="18" operator="containsText" text="Not available">
      <formula>NOT(ISERROR(SEARCH("Not available",C153)))</formula>
    </cfRule>
    <cfRule type="containsText" dxfId="1341" priority="19" operator="containsText" text="Incomplete">
      <formula>NOT(ISERROR(SEARCH("Incomplete",C153)))</formula>
    </cfRule>
    <cfRule type="containsText" dxfId="1340" priority="20" operator="containsText" text="Complete">
      <formula>NOT(ISERROR(SEARCH("Complete",C153)))</formula>
    </cfRule>
  </conditionalFormatting>
  <conditionalFormatting sqref="C153">
    <cfRule type="containsText" dxfId="1339" priority="17" operator="containsText" text="Pending">
      <formula>NOT(ISERROR(SEARCH("Pending",C153)))</formula>
    </cfRule>
  </conditionalFormatting>
  <conditionalFormatting sqref="C154">
    <cfRule type="containsText" dxfId="1338" priority="15" operator="containsText" text="Pending">
      <formula>NOT(ISERROR(SEARCH("Pending",C154)))</formula>
    </cfRule>
  </conditionalFormatting>
  <conditionalFormatting sqref="C154">
    <cfRule type="containsText" dxfId="1337" priority="11" operator="containsText" text="Alternative">
      <formula>NOT(ISERROR(SEARCH("Alternative",C154)))</formula>
    </cfRule>
    <cfRule type="containsText" dxfId="1336" priority="12" operator="containsText" text="Not available">
      <formula>NOT(ISERROR(SEARCH("Not available",C154)))</formula>
    </cfRule>
    <cfRule type="containsText" dxfId="1335" priority="13" operator="containsText" text="Incomplete">
      <formula>NOT(ISERROR(SEARCH("Incomplete",C154)))</formula>
    </cfRule>
    <cfRule type="containsText" dxfId="1334" priority="14" operator="containsText" text="Complete">
      <formula>NOT(ISERROR(SEARCH("Complete",C154)))</formula>
    </cfRule>
  </conditionalFormatting>
  <conditionalFormatting sqref="D154">
    <cfRule type="containsText" dxfId="1333" priority="6" operator="containsText" text="Alternative">
      <formula>NOT(ISERROR(SEARCH("Alternative",D154)))</formula>
    </cfRule>
    <cfRule type="containsText" dxfId="1332" priority="8" operator="containsText" text="Not available">
      <formula>NOT(ISERROR(SEARCH("Not available",D154)))</formula>
    </cfRule>
    <cfRule type="containsText" dxfId="1331" priority="9" operator="containsText" text="Incomplete">
      <formula>NOT(ISERROR(SEARCH("Incomplete",D154)))</formula>
    </cfRule>
    <cfRule type="containsText" dxfId="1330" priority="10" operator="containsText" text="Complete">
      <formula>NOT(ISERROR(SEARCH("Complete",D154)))</formula>
    </cfRule>
  </conditionalFormatting>
  <conditionalFormatting sqref="D154">
    <cfRule type="containsText" dxfId="1329" priority="7" operator="containsText" text="Pending">
      <formula>NOT(ISERROR(SEARCH("Pending",D154)))</formula>
    </cfRule>
  </conditionalFormatting>
  <conditionalFormatting sqref="AH19">
    <cfRule type="containsText" dxfId="1328" priority="1" operator="containsText" text="Qualitative">
      <formula>NOT(ISERROR(SEARCH("Qualitative",AH19)))</formula>
    </cfRule>
    <cfRule type="containsText" dxfId="1327" priority="2" operator="containsText" text="Red">
      <formula>NOT(ISERROR(SEARCH("Red",AH19)))</formula>
    </cfRule>
    <cfRule type="containsText" dxfId="1326" priority="3" operator="containsText" text="Orange">
      <formula>NOT(ISERROR(SEARCH("Orange",AH19)))</formula>
    </cfRule>
    <cfRule type="containsText" dxfId="1325" priority="4" operator="containsText" text="Yellow">
      <formula>NOT(ISERROR(SEARCH("Yellow",AH19)))</formula>
    </cfRule>
    <cfRule type="containsText" dxfId="1324" priority="5" operator="containsText" text="Green">
      <formula>NOT(ISERROR(SEARCH("Green",AH19)))</formula>
    </cfRule>
  </conditionalFormatting>
  <conditionalFormatting sqref="H123">
    <cfRule type="containsText" dxfId="1323" priority="459" operator="containsText" text="Not available">
      <formula>NOT(ISERROR(SEARCH("Not available",#REF!)))</formula>
    </cfRule>
    <cfRule type="containsText" dxfId="1322" priority="460" operator="containsText" text="Not applicable">
      <formula>NOT(ISERROR(SEARCH("Not applicable",#REF!)))</formula>
    </cfRule>
    <cfRule type="containsText" dxfId="1321" priority="461" operator="containsText" text="alternative">
      <formula>NOT(ISERROR(SEARCH("alternative",#REF!)))</formula>
    </cfRule>
    <cfRule type="containsText" dxfId="1320" priority="462" operator="containsText" text="pending">
      <formula>NOT(ISERROR(SEARCH("pending",#REF!)))</formula>
    </cfRule>
    <cfRule type="containsText" dxfId="1319" priority="463" operator="containsText" text="Not available">
      <formula>NOT(ISERROR(SEARCH("Not available",#REF!)))</formula>
    </cfRule>
    <cfRule type="containsText" dxfId="1318" priority="464" operator="containsText" text="incomplete">
      <formula>NOT(ISERROR(SEARCH("incomplete",#REF!)))</formula>
    </cfRule>
    <cfRule type="containsText" dxfId="1317" priority="465" operator="containsText" text="Complete">
      <formula>NOT(ISERROR(SEARCH("Complete",#REF!)))</formula>
    </cfRule>
  </conditionalFormatting>
  <conditionalFormatting sqref="H165">
    <cfRule type="containsText" dxfId="1316" priority="344" operator="containsText" text="Not available">
      <formula>NOT(ISERROR(SEARCH("Not available",#REF!)))</formula>
    </cfRule>
    <cfRule type="containsText" dxfId="1315" priority="345" operator="containsText" text="Not applicable">
      <formula>NOT(ISERROR(SEARCH("Not applicable",#REF!)))</formula>
    </cfRule>
    <cfRule type="containsText" dxfId="1314" priority="346" operator="containsText" text="alternative">
      <formula>NOT(ISERROR(SEARCH("alternative",#REF!)))</formula>
    </cfRule>
    <cfRule type="containsText" dxfId="1313" priority="347" operator="containsText" text="pending">
      <formula>NOT(ISERROR(SEARCH("pending",#REF!)))</formula>
    </cfRule>
    <cfRule type="containsText" dxfId="1312" priority="348" operator="containsText" text="Not available">
      <formula>NOT(ISERROR(SEARCH("Not available",#REF!)))</formula>
    </cfRule>
    <cfRule type="containsText" dxfId="1311" priority="349" operator="containsText" text="incomplete">
      <formula>NOT(ISERROR(SEARCH("incomplete",#REF!)))</formula>
    </cfRule>
    <cfRule type="containsText" dxfId="1310" priority="350" operator="containsText" text="Complete">
      <formula>NOT(ISERROR(SEARCH("Complete",#REF!)))</formula>
    </cfRule>
  </conditionalFormatting>
  <dataValidations disablePrompts="1" count="5">
    <dataValidation type="list" allowBlank="1" showInputMessage="1" showErrorMessage="1" sqref="W6 AD6:AE6 Y6 AD27:AE28 Y27:Y28 AD17:AE25 W17:W25 Y17:Y25 W27:W28 AD39:AE41 W39:W41 Y39:Y41" xr:uid="{4CE3D38C-6B4E-40F9-A845-7B383FC47A4C}">
      <formula1>#REF!</formula1>
    </dataValidation>
    <dataValidation type="list" allowBlank="1" showInputMessage="1" showErrorMessage="1" sqref="AC6 AC17:AC25 AC27:AC28 AC39:AC41" xr:uid="{C2B1D567-C325-4E66-956F-AC69E8C93FDE}">
      <formula1>#REF!</formula1>
    </dataValidation>
    <dataValidation allowBlank="1" showInputMessage="1" showErrorMessage="1" prompt="(if applicable) data from which the answer was derived" sqref="V3" xr:uid="{09523891-E629-4A09-A6E3-C7E7DB32DD98}"/>
    <dataValidation allowBlank="1" showInputMessage="1" showErrorMessage="1" prompt="[bas] - Basic_x000a_[int] - Intermediate_x000a_[adv] - Advance" sqref="G121 G17:G21 G3:G11 G24:G33 G72:G94 G62:G67 G99:G119 G39:G60" xr:uid="{F639B9A9-AAD9-455A-8BA1-130B7E518A16}"/>
    <dataValidation allowBlank="1" showInputMessage="1" showErrorMessage="1" prompt="[FF] - Form Fill_x000a_[SC] - Single Choice_x000a_[MC] - Mutliple Choice_x000a_[PT] - Predetermined Table_x000a_[TT] - Time Table" sqref="H3" xr:uid="{4053BBE1-2BCF-4535-A7E8-8A0246E2E3A4}"/>
  </dataValidations>
  <hyperlinks>
    <hyperlink ref="L120:T120" r:id="rId1" display="Stakeholders Database" xr:uid="{70D37514-1504-43E0-B81D-0FEEEF7DDDFC}"/>
    <hyperlink ref="L122:T122" r:id="rId2" display="Policies, Plans and Initiatives Database" xr:uid="{E80C4FCC-88D6-4B1E-83A6-08770ABC64CE}"/>
  </hyperlinks>
  <pageMargins left="0.25" right="0.25" top="0.75" bottom="0.75" header="0.3" footer="0.3"/>
  <pageSetup scale="22" fitToHeight="3" orientation="landscape" horizontalDpi="4294967292" verticalDpi="4294967292" r:id="rId3"/>
  <drawing r:id="rId4"/>
  <extLst>
    <ext xmlns:x14="http://schemas.microsoft.com/office/spreadsheetml/2009/9/main" uri="{CCE6A557-97BC-4b89-ADB6-D9C93CAAB3DF}">
      <x14:dataValidations xmlns:xm="http://schemas.microsoft.com/office/excel/2006/main" disablePrompts="1" count="12">
        <x14:dataValidation type="list" allowBlank="1" showInputMessage="1" showErrorMessage="1" xr:uid="{617199A0-7698-46D0-A07A-8B481F3BA79D}">
          <x14:formula1>
            <xm:f>'Drop lists '!$C$2:$C$5</xm:f>
          </x14:formula1>
          <xm:sqref>AF6 AF17:AF25 AF27:AF28 AF39:AF41</xm:sqref>
        </x14:dataValidation>
        <x14:dataValidation type="list" allowBlank="1" showInputMessage="1" showErrorMessage="1" xr:uid="{11373CD6-6B7E-43CA-83C4-45D82480A3F5}">
          <x14:formula1>
            <xm:f>'Drop lists '!$A$2:$A$7</xm:f>
          </x14:formula1>
          <xm:sqref>U6:U7 U17 U19 U21 U24 U27 U29 U118 U48 U56 U60 U62 U72 U77 U88:U89 U99 U104:U105 U109 U81 U39:U42</xm:sqref>
        </x14:dataValidation>
        <x14:dataValidation type="list" allowBlank="1" showInputMessage="1" showErrorMessage="1" xr:uid="{0E02DBCB-6EFD-4D78-901C-7E30E7CAE675}">
          <x14:formula1>
            <xm:f>'Auxiliar Values'!$F$2:$F$3</xm:f>
          </x14:formula1>
          <xm:sqref>L6 L27:L28 L88 L104 L118 Q57 M57:N57</xm:sqref>
        </x14:dataValidation>
        <x14:dataValidation type="list" allowBlank="1" showInputMessage="1" showErrorMessage="1" xr:uid="{DE6141FE-28B5-408B-9A70-6D2C6C38D6F7}">
          <x14:formula1>
            <xm:f>'Auxiliar Values'!$A$159:$A$161</xm:f>
          </x14:formula1>
          <xm:sqref>L8:M11 L30:M33 L63:M67 L90:M94</xm:sqref>
        </x14:dataValidation>
        <x14:dataValidation type="list" allowBlank="1" showInputMessage="1" showErrorMessage="1" xr:uid="{0A7D0926-4F77-432E-8172-34BC8B344754}">
          <x14:formula1>
            <xm:f>'Auxiliar Values'!$O$2:$O$9</xm:f>
          </x14:formula1>
          <xm:sqref>H17:H21 H13 H24:H25 H6:H11 H27:H33 H35 H39:H48 H118 H60 H62:H68 H72 H88:H95 H99 H104:H109 H77:H81 H56:H58</xm:sqref>
        </x14:dataValidation>
        <x14:dataValidation type="list" allowBlank="1" showInputMessage="1" showErrorMessage="1" xr:uid="{1A27EAEC-7C61-4594-BE94-0E034B06ECB4}">
          <x14:formula1>
            <xm:f>'/Users/crpp/Library/Containers/com.microsoft.Excel/Data/Documents/D:\CRPP\1 CALIBRATION\03_BIN\[03_BI - Data Entry + Assessment.xlsm]Drop lists '!#REF!</xm:f>
          </x14:formula1>
          <xm:sqref>AF13 AF35 AF60 AF68 U13 U35 U68 AF88 AF95 U95 AF104 AF118</xm:sqref>
        </x14:dataValidation>
        <x14:dataValidation type="list" allowBlank="1" showInputMessage="1" showErrorMessage="1" xr:uid="{C49D4A4A-F55D-455B-80D9-E8974BAEA308}">
          <x14:formula1>
            <xm:f>'/Users/crpp/Library/Containers/com.microsoft.Excel/Data/Documents/D:\CRPP\1 CALIBRATION\03_BIN\[03_BI - Data Entry + Assessment.xlsm]Auxiliar Values'!#REF!</xm:f>
          </x14:formula1>
          <xm:sqref>W13:W16 W35:W38 W60:W61 W68:W71 Y13:Y16 Y35:Y38 Y60:Y61 Y68:Y71 AC13:AE16 AC35:AE38 AC60:AE61 AC68:AE71 W88 Y95:Y98 Y88 AC95:AE98 AC88:AE88 W95:W98 Y104 AC104:AE104 W104 Y118 AC118:AE118 W118</xm:sqref>
        </x14:dataValidation>
        <x14:dataValidation type="list" allowBlank="1" showInputMessage="1" showErrorMessage="1" xr:uid="{7C939CC6-20FD-4362-ADA5-C3C1FDFDA232}">
          <x14:formula1>
            <xm:f>'Auxiliar Values'!$E$10:$E$11</xm:f>
          </x14:formula1>
          <xm:sqref>L17:L20 L39</xm:sqref>
        </x14:dataValidation>
        <x14:dataValidation type="list" allowBlank="1" showInputMessage="1" showErrorMessage="1" xr:uid="{4E8DD59D-3CF7-4BD9-9B0C-EEA3258AFBD7}">
          <x14:formula1>
            <xm:f>'Auxiliar Values'!$Q$2:$Q$3</xm:f>
          </x14:formula1>
          <xm:sqref>L13:L16 L35:L38 L48:L55 L60:L61 L68:L76 L95:L103 L81:L86 L109:L117</xm:sqref>
        </x14:dataValidation>
        <x14:dataValidation type="list" allowBlank="1" showInputMessage="1" showErrorMessage="1" xr:uid="{F04ABD26-9B3C-444C-9061-8F77B526A557}">
          <x14:formula1>
            <xm:f>'Auxiliar Values'!$U$144:$U$146</xm:f>
          </x14:formula1>
          <xm:sqref>L40:L41</xm:sqref>
        </x14:dataValidation>
        <x14:dataValidation type="list" allowBlank="1" showInputMessage="1" showErrorMessage="1" xr:uid="{A5ABEBEC-1157-49B2-A644-3C2F0516D4A9}">
          <x14:formula1>
            <xm:f>'Auxiliar Values'!$C$159:$C$162</xm:f>
          </x14:formula1>
          <xm:sqref>M106:T108 M78:T80</xm:sqref>
        </x14:dataValidation>
        <x14:dataValidation type="list" allowBlank="1" showInputMessage="1" showErrorMessage="1" xr:uid="{BE065791-F7DA-4443-AE79-B12239C63311}">
          <x14:formula1>
            <xm:f>'Drop lists '!$A$25:$A$31</xm:f>
          </x14:formula1>
          <xm:sqref>AH19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97D15-0510-4B9C-9D81-0C6CE05BC5F2}">
  <sheetPr codeName="Sheet4">
    <tabColor theme="4"/>
    <outlinePr summaryBelow="0" summaryRight="0"/>
    <pageSetUpPr fitToPage="1"/>
  </sheetPr>
  <dimension ref="A1:DS1048235"/>
  <sheetViews>
    <sheetView showGridLines="0" zoomScaleNormal="100" zoomScalePageLayoutView="80" workbookViewId="0">
      <pane xSplit="4" ySplit="3" topLeftCell="E73" activePane="bottomRight" state="frozen"/>
      <selection activeCell="K26" sqref="K26:R26"/>
      <selection pane="topRight" activeCell="K26" sqref="K26:R26"/>
      <selection pane="bottomLeft" activeCell="K26" sqref="K26:R26"/>
      <selection pane="bottomRight" activeCell="D75" sqref="D75"/>
    </sheetView>
  </sheetViews>
  <sheetFormatPr baseColWidth="10" defaultColWidth="15.1640625" defaultRowHeight="17" outlineLevelCol="1"/>
  <cols>
    <col min="1" max="1" width="3.6640625" style="140" customWidth="1"/>
    <col min="2" max="2" width="12.6640625" style="30" customWidth="1"/>
    <col min="3" max="3" width="8.6640625" style="30" customWidth="1"/>
    <col min="4" max="4" width="50.6640625" style="30" customWidth="1"/>
    <col min="5" max="5" width="12.6640625" style="65" customWidth="1" outlineLevel="1"/>
    <col min="6" max="6" width="50.6640625" style="30" customWidth="1" outlineLevel="1"/>
    <col min="7" max="7" width="9.6640625" style="30" customWidth="1" outlineLevel="1"/>
    <col min="8" max="8" width="11" style="30" customWidth="1" outlineLevel="1"/>
    <col min="9" max="9" width="35.1640625" style="30" customWidth="1" outlineLevel="1"/>
    <col min="10" max="10" width="17.6640625" style="65" customWidth="1" outlineLevel="1"/>
    <col min="11" max="11" width="25.6640625" style="30" customWidth="1"/>
    <col min="12" max="12" width="19.6640625" style="220" customWidth="1"/>
    <col min="13" max="20" width="7.6640625" style="220" customWidth="1" outlineLevel="1"/>
    <col min="21" max="21" width="15.6640625" style="221" customWidth="1"/>
    <col min="22" max="22" width="25.5" style="220" customWidth="1" outlineLevel="1"/>
    <col min="23" max="23" width="15.1640625" style="220" customWidth="1" outlineLevel="1"/>
    <col min="24" max="24" width="16" style="220" customWidth="1" outlineLevel="1"/>
    <col min="25" max="25" width="15.1640625" style="220" customWidth="1" outlineLevel="1"/>
    <col min="26" max="26" width="12.6640625" style="220" customWidth="1" outlineLevel="1"/>
    <col min="27" max="27" width="20.6640625" style="220" customWidth="1" outlineLevel="1"/>
    <col min="28" max="28" width="14.1640625" style="220" customWidth="1" outlineLevel="1"/>
    <col min="29" max="29" width="16.6640625" style="220" customWidth="1" outlineLevel="1"/>
    <col min="30" max="31" width="15.1640625" style="220" customWidth="1" outlineLevel="1"/>
    <col min="32" max="32" width="15.6640625" style="519" customWidth="1" collapsed="1"/>
    <col min="33" max="33" width="50.6640625" style="220" customWidth="1"/>
    <col min="34" max="34" width="15.6640625" style="221" customWidth="1"/>
    <col min="35" max="36" width="50.6640625" style="220" customWidth="1"/>
    <col min="37" max="38" width="15.1640625" style="30"/>
    <col min="39" max="16384" width="15.1640625" style="61"/>
  </cols>
  <sheetData>
    <row r="1" spans="1:123" s="199" customFormat="1" ht="75.5" customHeight="1">
      <c r="A1" s="558"/>
      <c r="B1" s="1115"/>
      <c r="C1" s="567"/>
      <c r="D1" s="567"/>
      <c r="E1" s="539"/>
      <c r="F1" s="1113"/>
      <c r="G1" s="539"/>
      <c r="H1" s="539"/>
      <c r="I1" s="567"/>
      <c r="J1" s="539"/>
      <c r="K1" s="200"/>
      <c r="L1" s="200"/>
      <c r="M1" s="200"/>
      <c r="N1" s="200"/>
      <c r="O1" s="200"/>
      <c r="P1" s="200"/>
      <c r="Q1" s="200"/>
      <c r="R1" s="200"/>
      <c r="S1" s="200"/>
      <c r="T1" s="200"/>
      <c r="U1" s="830"/>
      <c r="V1" s="200"/>
      <c r="W1" s="567"/>
      <c r="X1" s="200"/>
      <c r="Y1" s="200"/>
      <c r="Z1" s="200"/>
      <c r="AA1" s="200"/>
      <c r="AB1" s="200"/>
      <c r="AC1" s="200"/>
      <c r="AD1" s="200"/>
      <c r="AE1" s="200"/>
      <c r="AF1" s="1114"/>
      <c r="AG1" s="200"/>
      <c r="AH1" s="830"/>
      <c r="AI1" s="200"/>
      <c r="AJ1" s="200"/>
    </row>
    <row r="2" spans="1:123" s="541" customFormat="1">
      <c r="A2" s="540"/>
      <c r="B2" s="1379"/>
      <c r="C2" s="1381" t="s">
        <v>69</v>
      </c>
      <c r="D2" s="1381"/>
      <c r="E2" s="1383" t="s">
        <v>70</v>
      </c>
      <c r="F2" s="1384"/>
      <c r="G2" s="1384"/>
      <c r="H2" s="1384"/>
      <c r="I2" s="1384"/>
      <c r="J2" s="1384"/>
      <c r="K2" s="1385"/>
      <c r="L2" s="1260" t="s">
        <v>71</v>
      </c>
      <c r="M2" s="1257"/>
      <c r="N2" s="1257"/>
      <c r="O2" s="1257"/>
      <c r="P2" s="1257"/>
      <c r="Q2" s="1257"/>
      <c r="R2" s="1257"/>
      <c r="S2" s="1257"/>
      <c r="T2" s="1257"/>
      <c r="U2" s="1261" t="s">
        <v>72</v>
      </c>
      <c r="V2" s="1256" t="s">
        <v>73</v>
      </c>
      <c r="W2" s="1257"/>
      <c r="X2" s="1257"/>
      <c r="Y2" s="1257"/>
      <c r="Z2" s="1257"/>
      <c r="AA2" s="1257"/>
      <c r="AB2" s="1257"/>
      <c r="AC2" s="1257"/>
      <c r="AD2" s="1254" t="s">
        <v>88</v>
      </c>
      <c r="AE2" s="1254" t="s">
        <v>90</v>
      </c>
      <c r="AF2" s="1258" t="s">
        <v>1</v>
      </c>
      <c r="AG2" s="1251" t="s">
        <v>464</v>
      </c>
      <c r="AH2" s="1268" t="s">
        <v>54</v>
      </c>
      <c r="AI2" s="1251" t="s">
        <v>465</v>
      </c>
      <c r="AJ2" s="1249" t="s">
        <v>466</v>
      </c>
    </row>
    <row r="3" spans="1:123" s="541" customFormat="1" ht="36" customHeight="1">
      <c r="A3" s="540"/>
      <c r="B3" s="1380"/>
      <c r="C3" s="1382"/>
      <c r="D3" s="1382"/>
      <c r="E3" s="542" t="s">
        <v>74</v>
      </c>
      <c r="F3" s="543" t="s">
        <v>458</v>
      </c>
      <c r="G3" s="543" t="s">
        <v>75</v>
      </c>
      <c r="H3" s="543" t="s">
        <v>76</v>
      </c>
      <c r="I3" s="543" t="s">
        <v>77</v>
      </c>
      <c r="J3" s="543" t="s">
        <v>78</v>
      </c>
      <c r="K3" s="544" t="s">
        <v>79</v>
      </c>
      <c r="L3" s="201" t="s">
        <v>80</v>
      </c>
      <c r="M3" s="1253" t="s">
        <v>14</v>
      </c>
      <c r="N3" s="1253"/>
      <c r="O3" s="1253"/>
      <c r="P3" s="1253"/>
      <c r="Q3" s="1253"/>
      <c r="R3" s="1253"/>
      <c r="S3" s="1253"/>
      <c r="T3" s="1253"/>
      <c r="U3" s="1262"/>
      <c r="V3" s="376" t="s">
        <v>81</v>
      </c>
      <c r="W3" s="376" t="s">
        <v>82</v>
      </c>
      <c r="X3" s="376" t="s">
        <v>83</v>
      </c>
      <c r="Y3" s="376" t="s">
        <v>84</v>
      </c>
      <c r="Z3" s="376" t="s">
        <v>85</v>
      </c>
      <c r="AA3" s="376" t="s">
        <v>86</v>
      </c>
      <c r="AB3" s="376" t="s">
        <v>87</v>
      </c>
      <c r="AC3" s="376" t="s">
        <v>89</v>
      </c>
      <c r="AD3" s="1255"/>
      <c r="AE3" s="1255"/>
      <c r="AF3" s="1259"/>
      <c r="AG3" s="1252"/>
      <c r="AH3" s="1269"/>
      <c r="AI3" s="1252"/>
      <c r="AJ3" s="1250"/>
    </row>
    <row r="4" spans="1:123" s="549" customFormat="1" ht="27" customHeight="1">
      <c r="A4" s="545"/>
      <c r="B4" s="546" t="s">
        <v>924</v>
      </c>
      <c r="C4" s="547" t="s">
        <v>925</v>
      </c>
      <c r="D4" s="205"/>
      <c r="E4" s="548"/>
      <c r="F4" s="204"/>
      <c r="G4" s="204"/>
      <c r="H4" s="204"/>
      <c r="I4" s="204"/>
      <c r="J4" s="204"/>
      <c r="K4" s="204"/>
      <c r="L4" s="506"/>
      <c r="M4" s="507"/>
      <c r="N4" s="507"/>
      <c r="O4" s="507"/>
      <c r="P4" s="507"/>
      <c r="Q4" s="507"/>
      <c r="R4" s="507"/>
      <c r="S4" s="507"/>
      <c r="T4" s="508"/>
      <c r="U4" s="489"/>
      <c r="V4" s="205"/>
      <c r="W4" s="205"/>
      <c r="X4" s="205"/>
      <c r="Y4" s="205"/>
      <c r="Z4" s="205"/>
      <c r="AA4" s="205"/>
      <c r="AB4" s="205"/>
      <c r="AC4" s="205"/>
      <c r="AD4" s="206"/>
      <c r="AE4" s="206"/>
      <c r="AF4" s="206"/>
      <c r="AG4" s="207"/>
      <c r="AH4" s="204"/>
      <c r="AI4" s="207"/>
      <c r="AJ4" s="203"/>
    </row>
    <row r="5" spans="1:123" s="557" customFormat="1" ht="27" customHeight="1" thickBot="1">
      <c r="A5" s="550" t="s">
        <v>34</v>
      </c>
      <c r="B5" s="551" t="s">
        <v>926</v>
      </c>
      <c r="C5" s="552" t="s">
        <v>927</v>
      </c>
      <c r="D5" s="553"/>
      <c r="E5" s="554"/>
      <c r="F5" s="555"/>
      <c r="G5" s="144"/>
      <c r="H5" s="144"/>
      <c r="I5" s="144"/>
      <c r="J5" s="144"/>
      <c r="K5" s="144"/>
      <c r="L5" s="143"/>
      <c r="M5" s="144"/>
      <c r="N5" s="144"/>
      <c r="O5" s="144"/>
      <c r="P5" s="144"/>
      <c r="Q5" s="144"/>
      <c r="R5" s="144"/>
      <c r="S5" s="144"/>
      <c r="T5" s="483"/>
      <c r="U5" s="145"/>
      <c r="V5" s="146"/>
      <c r="W5" s="146"/>
      <c r="X5" s="146"/>
      <c r="Y5" s="146"/>
      <c r="Z5" s="146"/>
      <c r="AA5" s="146"/>
      <c r="AB5" s="146"/>
      <c r="AC5" s="146"/>
      <c r="AD5" s="145"/>
      <c r="AE5" s="145"/>
      <c r="AF5" s="145"/>
      <c r="AG5" s="147"/>
      <c r="AH5" s="144"/>
      <c r="AI5" s="147"/>
      <c r="AJ5" s="143"/>
      <c r="AK5" s="556"/>
      <c r="AL5" s="556"/>
    </row>
    <row r="6" spans="1:123" s="53" customFormat="1" ht="39.5" customHeight="1">
      <c r="A6" s="236" t="s">
        <v>2</v>
      </c>
      <c r="B6" s="196"/>
      <c r="C6" s="425" t="s">
        <v>929</v>
      </c>
      <c r="D6" s="426" t="s">
        <v>928</v>
      </c>
      <c r="E6" s="1487" t="s">
        <v>1219</v>
      </c>
      <c r="F6" s="1187"/>
      <c r="G6" s="424" t="s">
        <v>91</v>
      </c>
      <c r="H6" s="571" t="s">
        <v>254</v>
      </c>
      <c r="I6" s="1465" t="s">
        <v>1101</v>
      </c>
      <c r="J6" s="467" t="s">
        <v>943</v>
      </c>
      <c r="K6" s="809" t="s">
        <v>930</v>
      </c>
      <c r="L6" s="940"/>
      <c r="M6" s="1461" t="s">
        <v>931</v>
      </c>
      <c r="N6" s="1461"/>
      <c r="O6" s="1461"/>
      <c r="P6" s="1461" t="s">
        <v>932</v>
      </c>
      <c r="Q6" s="1461"/>
      <c r="R6" s="1461" t="s">
        <v>933</v>
      </c>
      <c r="S6" s="1461"/>
      <c r="T6" s="1231"/>
      <c r="U6" s="1159" t="s">
        <v>11</v>
      </c>
      <c r="V6" s="615"/>
      <c r="W6" s="615"/>
      <c r="X6" s="615"/>
      <c r="Y6" s="424"/>
      <c r="Z6" s="615"/>
      <c r="AA6" s="615"/>
      <c r="AB6" s="615"/>
      <c r="AC6" s="479"/>
      <c r="AD6" s="480"/>
      <c r="AE6" s="480"/>
      <c r="AF6" s="521"/>
      <c r="AG6" s="56"/>
      <c r="AH6" s="787"/>
      <c r="AI6" s="56"/>
      <c r="AJ6" s="191"/>
      <c r="AK6" s="52"/>
      <c r="AL6" s="52"/>
    </row>
    <row r="7" spans="1:123" s="53" customFormat="1">
      <c r="A7" s="236"/>
      <c r="B7" s="196"/>
      <c r="C7" s="430"/>
      <c r="D7" s="387"/>
      <c r="E7" s="1219"/>
      <c r="F7" s="1188"/>
      <c r="G7" s="587"/>
      <c r="H7" s="588"/>
      <c r="I7" s="1466"/>
      <c r="J7" s="356"/>
      <c r="K7" s="941" t="s">
        <v>934</v>
      </c>
      <c r="L7" s="942"/>
      <c r="M7" s="1464"/>
      <c r="N7" s="1464"/>
      <c r="O7" s="1464"/>
      <c r="P7" s="1452"/>
      <c r="Q7" s="1452"/>
      <c r="R7" s="1462"/>
      <c r="S7" s="1462"/>
      <c r="T7" s="1501"/>
      <c r="U7" s="1160"/>
      <c r="V7" s="619"/>
      <c r="W7" s="619"/>
      <c r="X7" s="619"/>
      <c r="Y7" s="587"/>
      <c r="Z7" s="619"/>
      <c r="AA7" s="619"/>
      <c r="AB7" s="619"/>
      <c r="AC7" s="481"/>
      <c r="AD7" s="482"/>
      <c r="AE7" s="482"/>
      <c r="AF7" s="522"/>
      <c r="AG7" s="59"/>
      <c r="AH7" s="531"/>
      <c r="AI7" s="59"/>
      <c r="AJ7" s="213"/>
      <c r="AK7" s="52"/>
      <c r="AL7" s="52"/>
    </row>
    <row r="8" spans="1:123" s="53" customFormat="1" ht="27" customHeight="1">
      <c r="A8" s="236"/>
      <c r="B8" s="196"/>
      <c r="C8" s="430"/>
      <c r="D8" s="387"/>
      <c r="E8" s="1219"/>
      <c r="F8" s="399"/>
      <c r="G8" s="587"/>
      <c r="H8" s="588"/>
      <c r="I8" s="1466"/>
      <c r="J8" s="356"/>
      <c r="K8" s="941" t="s">
        <v>935</v>
      </c>
      <c r="L8" s="942"/>
      <c r="M8" s="1464"/>
      <c r="N8" s="1464"/>
      <c r="O8" s="1464"/>
      <c r="P8" s="1452"/>
      <c r="Q8" s="1452"/>
      <c r="R8" s="1462"/>
      <c r="S8" s="1462"/>
      <c r="T8" s="1501"/>
      <c r="U8" s="1160"/>
      <c r="V8" s="619"/>
      <c r="W8" s="619"/>
      <c r="X8" s="619"/>
      <c r="Y8" s="587"/>
      <c r="Z8" s="619"/>
      <c r="AA8" s="619"/>
      <c r="AB8" s="619"/>
      <c r="AC8" s="481"/>
      <c r="AD8" s="482"/>
      <c r="AE8" s="482"/>
      <c r="AF8" s="522"/>
      <c r="AG8" s="59"/>
      <c r="AH8" s="531"/>
      <c r="AI8" s="59"/>
      <c r="AJ8" s="213"/>
      <c r="AK8" s="52"/>
      <c r="AL8" s="52"/>
    </row>
    <row r="9" spans="1:123" s="53" customFormat="1" ht="28">
      <c r="A9" s="236"/>
      <c r="B9" s="196"/>
      <c r="C9" s="430"/>
      <c r="D9" s="387"/>
      <c r="E9" s="1219"/>
      <c r="F9" s="399"/>
      <c r="G9" s="587"/>
      <c r="H9" s="588"/>
      <c r="I9" s="1466"/>
      <c r="J9" s="356"/>
      <c r="K9" s="941" t="s">
        <v>936</v>
      </c>
      <c r="L9" s="942"/>
      <c r="M9" s="1464"/>
      <c r="N9" s="1464"/>
      <c r="O9" s="1464"/>
      <c r="P9" s="1452"/>
      <c r="Q9" s="1452"/>
      <c r="R9" s="1462"/>
      <c r="S9" s="1462"/>
      <c r="T9" s="1501"/>
      <c r="U9" s="1160"/>
      <c r="V9" s="619"/>
      <c r="W9" s="619"/>
      <c r="X9" s="619"/>
      <c r="Y9" s="587"/>
      <c r="Z9" s="619"/>
      <c r="AA9" s="619"/>
      <c r="AB9" s="619"/>
      <c r="AC9" s="481"/>
      <c r="AD9" s="482"/>
      <c r="AE9" s="482"/>
      <c r="AF9" s="522"/>
      <c r="AG9" s="59"/>
      <c r="AH9" s="531"/>
      <c r="AI9" s="59"/>
      <c r="AJ9" s="213"/>
      <c r="AK9" s="52"/>
      <c r="AL9" s="52"/>
    </row>
    <row r="10" spans="1:123" s="53" customFormat="1">
      <c r="A10" s="236"/>
      <c r="B10" s="196"/>
      <c r="C10" s="430"/>
      <c r="D10" s="387"/>
      <c r="E10" s="1219"/>
      <c r="F10" s="399"/>
      <c r="G10" s="587"/>
      <c r="H10" s="588"/>
      <c r="I10" s="1466"/>
      <c r="J10" s="356"/>
      <c r="K10" s="941" t="s">
        <v>937</v>
      </c>
      <c r="L10" s="942"/>
      <c r="M10" s="1464"/>
      <c r="N10" s="1464"/>
      <c r="O10" s="1464"/>
      <c r="P10" s="1452"/>
      <c r="Q10" s="1452"/>
      <c r="R10" s="1462"/>
      <c r="S10" s="1462"/>
      <c r="T10" s="1501"/>
      <c r="U10" s="1160"/>
      <c r="V10" s="619"/>
      <c r="W10" s="619"/>
      <c r="X10" s="619"/>
      <c r="Y10" s="587"/>
      <c r="Z10" s="619"/>
      <c r="AA10" s="619"/>
      <c r="AB10" s="619"/>
      <c r="AC10" s="481"/>
      <c r="AD10" s="482"/>
      <c r="AE10" s="482"/>
      <c r="AF10" s="522"/>
      <c r="AG10" s="59"/>
      <c r="AH10" s="531"/>
      <c r="AI10" s="59"/>
      <c r="AJ10" s="213"/>
      <c r="AK10" s="52"/>
      <c r="AL10" s="52"/>
    </row>
    <row r="11" spans="1:123" s="53" customFormat="1" ht="25.25" customHeight="1">
      <c r="A11" s="578" t="s">
        <v>3</v>
      </c>
      <c r="B11" s="196"/>
      <c r="C11" s="1320"/>
      <c r="D11" s="1346" t="s">
        <v>942</v>
      </c>
      <c r="E11" s="397"/>
      <c r="F11" s="399"/>
      <c r="G11" s="587"/>
      <c r="H11" s="588"/>
      <c r="I11" s="1466"/>
      <c r="J11" s="356"/>
      <c r="K11" s="941" t="s">
        <v>938</v>
      </c>
      <c r="L11" s="942"/>
      <c r="M11" s="1464"/>
      <c r="N11" s="1464"/>
      <c r="O11" s="1464"/>
      <c r="P11" s="1452"/>
      <c r="Q11" s="1452"/>
      <c r="R11" s="1462"/>
      <c r="S11" s="1462"/>
      <c r="T11" s="1501"/>
      <c r="U11" s="1160" t="s">
        <v>11</v>
      </c>
      <c r="V11" s="632"/>
      <c r="W11" s="632"/>
      <c r="X11" s="632"/>
      <c r="Y11" s="232"/>
      <c r="Z11" s="632"/>
      <c r="AA11" s="632"/>
      <c r="AB11" s="632"/>
      <c r="AC11" s="233"/>
      <c r="AD11" s="234"/>
      <c r="AE11" s="234"/>
      <c r="AF11" s="478"/>
      <c r="AG11" s="235"/>
      <c r="AH11" s="785"/>
      <c r="AI11" s="235"/>
      <c r="AJ11" s="213"/>
      <c r="AK11" s="52"/>
      <c r="AL11" s="52"/>
    </row>
    <row r="12" spans="1:123" s="53" customFormat="1" ht="20.5" customHeight="1">
      <c r="A12" s="236"/>
      <c r="B12" s="196"/>
      <c r="C12" s="1320"/>
      <c r="D12" s="1346"/>
      <c r="E12" s="397"/>
      <c r="F12" s="399"/>
      <c r="G12" s="587"/>
      <c r="H12" s="588"/>
      <c r="I12" s="1466"/>
      <c r="J12" s="356"/>
      <c r="K12" s="941" t="s">
        <v>939</v>
      </c>
      <c r="L12" s="942"/>
      <c r="M12" s="1464"/>
      <c r="N12" s="1464"/>
      <c r="O12" s="1464"/>
      <c r="P12" s="1452"/>
      <c r="Q12" s="1452"/>
      <c r="R12" s="1462"/>
      <c r="S12" s="1462"/>
      <c r="T12" s="1501"/>
      <c r="U12" s="1160"/>
      <c r="V12" s="632"/>
      <c r="W12" s="632"/>
      <c r="X12" s="632"/>
      <c r="Y12" s="232"/>
      <c r="Z12" s="632"/>
      <c r="AA12" s="632"/>
      <c r="AB12" s="632"/>
      <c r="AC12" s="233"/>
      <c r="AD12" s="234"/>
      <c r="AE12" s="234"/>
      <c r="AF12" s="478"/>
      <c r="AG12" s="235"/>
      <c r="AH12" s="785"/>
      <c r="AI12" s="235"/>
      <c r="AJ12" s="213"/>
      <c r="AK12" s="52"/>
      <c r="AL12" s="52"/>
    </row>
    <row r="13" spans="1:123" s="53" customFormat="1" ht="25.25" customHeight="1">
      <c r="A13" s="236"/>
      <c r="B13" s="196"/>
      <c r="C13" s="1320"/>
      <c r="D13" s="1346"/>
      <c r="E13" s="397"/>
      <c r="F13" s="399"/>
      <c r="G13" s="587"/>
      <c r="H13" s="588"/>
      <c r="I13" s="1466"/>
      <c r="J13" s="356"/>
      <c r="K13" s="941" t="s">
        <v>940</v>
      </c>
      <c r="L13" s="942"/>
      <c r="M13" s="1464"/>
      <c r="N13" s="1464"/>
      <c r="O13" s="1464"/>
      <c r="P13" s="1452"/>
      <c r="Q13" s="1452"/>
      <c r="R13" s="1462"/>
      <c r="S13" s="1462"/>
      <c r="T13" s="1501"/>
      <c r="U13" s="1160"/>
      <c r="V13" s="632"/>
      <c r="W13" s="632"/>
      <c r="X13" s="632"/>
      <c r="Y13" s="232"/>
      <c r="Z13" s="632"/>
      <c r="AA13" s="632"/>
      <c r="AB13" s="632"/>
      <c r="AC13" s="233"/>
      <c r="AD13" s="234"/>
      <c r="AE13" s="234"/>
      <c r="AF13" s="478"/>
      <c r="AG13" s="235"/>
      <c r="AH13" s="785"/>
      <c r="AI13" s="235"/>
      <c r="AJ13" s="213"/>
      <c r="AK13" s="52"/>
      <c r="AL13" s="52"/>
    </row>
    <row r="14" spans="1:123" s="53" customFormat="1">
      <c r="A14" s="236"/>
      <c r="B14" s="196"/>
      <c r="C14" s="1320"/>
      <c r="D14" s="1346"/>
      <c r="E14" s="397"/>
      <c r="F14" s="399"/>
      <c r="G14" s="587"/>
      <c r="H14" s="588"/>
      <c r="I14" s="380"/>
      <c r="J14" s="356"/>
      <c r="K14" s="943" t="s">
        <v>941</v>
      </c>
      <c r="L14" s="939"/>
      <c r="M14" s="1500"/>
      <c r="N14" s="1500"/>
      <c r="O14" s="1500"/>
      <c r="P14" s="1460"/>
      <c r="Q14" s="1460"/>
      <c r="R14" s="1463"/>
      <c r="S14" s="1463"/>
      <c r="T14" s="1502"/>
      <c r="U14" s="1160"/>
      <c r="V14" s="632"/>
      <c r="W14" s="632"/>
      <c r="X14" s="632"/>
      <c r="Y14" s="232"/>
      <c r="Z14" s="632"/>
      <c r="AA14" s="632"/>
      <c r="AB14" s="632"/>
      <c r="AC14" s="233"/>
      <c r="AD14" s="234"/>
      <c r="AE14" s="234"/>
      <c r="AF14" s="478"/>
      <c r="AG14" s="235"/>
      <c r="AH14" s="785"/>
      <c r="AI14" s="235"/>
      <c r="AJ14" s="213"/>
      <c r="AK14" s="52"/>
      <c r="AL14" s="52"/>
    </row>
    <row r="15" spans="1:123" s="567" customFormat="1">
      <c r="A15" s="558"/>
      <c r="B15" s="559"/>
      <c r="C15" s="629"/>
      <c r="D15" s="630"/>
      <c r="E15" s="575"/>
      <c r="F15" s="664"/>
      <c r="G15" s="647"/>
      <c r="H15" s="646"/>
      <c r="I15" s="644"/>
      <c r="J15" s="577"/>
      <c r="K15" s="840" t="s">
        <v>138</v>
      </c>
      <c r="L15" s="841"/>
      <c r="M15" s="1453"/>
      <c r="N15" s="1454"/>
      <c r="O15" s="1454"/>
      <c r="P15" s="1454"/>
      <c r="Q15" s="1454"/>
      <c r="R15" s="1454"/>
      <c r="S15" s="1454"/>
      <c r="T15" s="1454"/>
      <c r="U15" s="1160"/>
      <c r="V15" s="645"/>
      <c r="W15" s="645"/>
      <c r="X15" s="645"/>
      <c r="Y15" s="232"/>
      <c r="Z15" s="645"/>
      <c r="AA15" s="645"/>
      <c r="AB15" s="645"/>
      <c r="AC15" s="233"/>
      <c r="AD15" s="234"/>
      <c r="AE15" s="234"/>
      <c r="AF15" s="478"/>
      <c r="AG15" s="235"/>
      <c r="AH15" s="785"/>
      <c r="AI15" s="235"/>
      <c r="AJ15" s="213"/>
      <c r="AK15" s="566"/>
      <c r="AL15" s="566"/>
    </row>
    <row r="16" spans="1:123" s="584" customFormat="1" ht="29" thickBot="1">
      <c r="A16" s="578" t="s">
        <v>3</v>
      </c>
      <c r="B16" s="559"/>
      <c r="C16" s="775"/>
      <c r="D16" s="409" t="s">
        <v>944</v>
      </c>
      <c r="E16" s="691"/>
      <c r="F16" s="692"/>
      <c r="G16" s="410" t="s">
        <v>91</v>
      </c>
      <c r="H16" s="634" t="s">
        <v>100</v>
      </c>
      <c r="I16" s="778" t="s">
        <v>947</v>
      </c>
      <c r="J16" s="729" t="s">
        <v>695</v>
      </c>
      <c r="K16" s="776"/>
      <c r="L16" s="675"/>
      <c r="M16" s="1450"/>
      <c r="N16" s="1450"/>
      <c r="O16" s="1450"/>
      <c r="P16" s="1450"/>
      <c r="Q16" s="1450"/>
      <c r="R16" s="1450"/>
      <c r="S16" s="1450"/>
      <c r="T16" s="1451"/>
      <c r="U16" s="641" t="s">
        <v>11</v>
      </c>
      <c r="V16" s="673"/>
      <c r="W16" s="673"/>
      <c r="X16" s="673"/>
      <c r="Y16" s="673"/>
      <c r="Z16" s="673"/>
      <c r="AA16" s="673"/>
      <c r="AB16" s="673"/>
      <c r="AC16" s="696"/>
      <c r="AD16" s="697"/>
      <c r="AE16" s="697"/>
      <c r="AF16" s="777"/>
      <c r="AG16" s="698"/>
      <c r="AH16" s="699"/>
      <c r="AI16" s="700"/>
      <c r="AJ16" s="701"/>
      <c r="AK16" s="565"/>
      <c r="AL16" s="565"/>
      <c r="AM16" s="565"/>
      <c r="AN16" s="565"/>
      <c r="AO16" s="565"/>
      <c r="AP16" s="565"/>
      <c r="AQ16" s="565"/>
      <c r="AR16" s="565"/>
      <c r="AS16" s="565"/>
      <c r="AT16" s="565"/>
      <c r="AU16" s="565"/>
      <c r="AV16" s="565"/>
      <c r="AW16" s="565"/>
      <c r="AX16" s="565"/>
      <c r="AY16" s="565"/>
      <c r="AZ16" s="565"/>
      <c r="BA16" s="565"/>
      <c r="BB16" s="565"/>
      <c r="BC16" s="565"/>
      <c r="BD16" s="565"/>
      <c r="BE16" s="565"/>
      <c r="BF16" s="565"/>
      <c r="BG16" s="565"/>
      <c r="BH16" s="565"/>
      <c r="BI16" s="565"/>
      <c r="BJ16" s="565"/>
      <c r="BK16" s="565"/>
      <c r="BL16" s="565"/>
      <c r="BM16" s="565"/>
      <c r="BN16" s="565"/>
      <c r="BO16" s="565"/>
      <c r="BP16" s="565"/>
      <c r="BQ16" s="565"/>
      <c r="BR16" s="565"/>
      <c r="BS16" s="565"/>
      <c r="BT16" s="565"/>
      <c r="BU16" s="565"/>
      <c r="BV16" s="565"/>
      <c r="BW16" s="565"/>
      <c r="BX16" s="565"/>
      <c r="BY16" s="565"/>
      <c r="BZ16" s="565"/>
      <c r="CA16" s="565"/>
      <c r="CB16" s="565"/>
      <c r="CC16" s="565"/>
      <c r="CD16" s="565"/>
      <c r="CE16" s="565"/>
      <c r="CF16" s="565"/>
      <c r="CG16" s="565"/>
      <c r="CH16" s="565"/>
      <c r="CI16" s="565"/>
      <c r="CJ16" s="565"/>
      <c r="CK16" s="565"/>
      <c r="CL16" s="565"/>
      <c r="CM16" s="565"/>
      <c r="CN16" s="565"/>
      <c r="CO16" s="565"/>
      <c r="CP16" s="565"/>
      <c r="CQ16" s="565"/>
      <c r="CR16" s="565"/>
      <c r="CS16" s="565"/>
      <c r="CT16" s="565"/>
      <c r="CU16" s="565"/>
      <c r="CV16" s="565"/>
      <c r="CW16" s="565"/>
      <c r="CX16" s="565"/>
      <c r="CY16" s="565"/>
      <c r="CZ16" s="565"/>
      <c r="DA16" s="565"/>
      <c r="DB16" s="565"/>
      <c r="DC16" s="565"/>
      <c r="DD16" s="565"/>
      <c r="DE16" s="565"/>
      <c r="DF16" s="565"/>
      <c r="DG16" s="565"/>
      <c r="DH16" s="565"/>
      <c r="DI16" s="565"/>
      <c r="DJ16" s="565"/>
      <c r="DK16" s="565"/>
      <c r="DL16" s="565"/>
      <c r="DM16" s="565"/>
      <c r="DN16" s="565"/>
      <c r="DO16" s="565"/>
      <c r="DP16" s="565"/>
      <c r="DQ16" s="565"/>
      <c r="DR16" s="565"/>
      <c r="DS16" s="565"/>
    </row>
    <row r="17" spans="1:38" s="567" customFormat="1" ht="26.5" customHeight="1">
      <c r="A17" s="558" t="s">
        <v>2</v>
      </c>
      <c r="B17" s="559"/>
      <c r="C17" s="568" t="s">
        <v>948</v>
      </c>
      <c r="D17" s="1470" t="s">
        <v>949</v>
      </c>
      <c r="E17" s="1488" t="s">
        <v>1220</v>
      </c>
      <c r="F17" s="1455"/>
      <c r="G17" s="424" t="s">
        <v>91</v>
      </c>
      <c r="H17" s="571" t="s">
        <v>92</v>
      </c>
      <c r="I17" s="1328" t="s">
        <v>1102</v>
      </c>
      <c r="J17" s="731" t="s">
        <v>854</v>
      </c>
      <c r="K17" s="949"/>
      <c r="L17" s="944"/>
      <c r="M17" s="1389" t="s">
        <v>691</v>
      </c>
      <c r="N17" s="1389"/>
      <c r="O17" s="1389"/>
      <c r="P17" s="1389"/>
      <c r="Q17" s="1493"/>
      <c r="R17" s="1473"/>
      <c r="S17" s="1473"/>
      <c r="T17" s="1474"/>
      <c r="U17" s="1159" t="s">
        <v>11</v>
      </c>
      <c r="V17" s="615"/>
      <c r="W17" s="615"/>
      <c r="X17" s="615"/>
      <c r="Y17" s="424"/>
      <c r="Z17" s="615"/>
      <c r="AA17" s="615"/>
      <c r="AB17" s="615"/>
      <c r="AC17" s="479"/>
      <c r="AD17" s="480"/>
      <c r="AE17" s="480"/>
      <c r="AF17" s="521"/>
      <c r="AG17" s="56"/>
      <c r="AH17" s="787"/>
      <c r="AI17" s="56"/>
      <c r="AJ17" s="191"/>
      <c r="AK17" s="566"/>
      <c r="AL17" s="566"/>
    </row>
    <row r="18" spans="1:38" s="567" customFormat="1">
      <c r="A18" s="558"/>
      <c r="B18" s="559"/>
      <c r="C18" s="573"/>
      <c r="D18" s="1471"/>
      <c r="E18" s="1489"/>
      <c r="F18" s="1456"/>
      <c r="G18" s="587"/>
      <c r="H18" s="588"/>
      <c r="I18" s="1329"/>
      <c r="J18" s="577"/>
      <c r="K18" s="1445" t="s">
        <v>317</v>
      </c>
      <c r="L18" s="1494"/>
      <c r="M18" s="945" t="s">
        <v>950</v>
      </c>
      <c r="N18" s="834"/>
      <c r="O18" s="946"/>
      <c r="P18" s="1442"/>
      <c r="Q18" s="1442"/>
      <c r="R18" s="1475"/>
      <c r="S18" s="1475"/>
      <c r="T18" s="1476"/>
      <c r="U18" s="1160"/>
      <c r="V18" s="619"/>
      <c r="W18" s="619"/>
      <c r="X18" s="619"/>
      <c r="Y18" s="587"/>
      <c r="Z18" s="619"/>
      <c r="AA18" s="619"/>
      <c r="AB18" s="619"/>
      <c r="AC18" s="481"/>
      <c r="AD18" s="482"/>
      <c r="AE18" s="482"/>
      <c r="AF18" s="522"/>
      <c r="AG18" s="59"/>
      <c r="AH18" s="531"/>
      <c r="AI18" s="59"/>
      <c r="AJ18" s="213"/>
      <c r="AK18" s="566"/>
      <c r="AL18" s="566"/>
    </row>
    <row r="19" spans="1:38" s="567" customFormat="1" ht="17.5" customHeight="1">
      <c r="A19" s="558"/>
      <c r="B19" s="559"/>
      <c r="C19" s="573"/>
      <c r="D19" s="1471"/>
      <c r="E19" s="1489"/>
      <c r="F19" s="1456"/>
      <c r="G19" s="587"/>
      <c r="H19" s="588"/>
      <c r="I19" s="1329"/>
      <c r="J19" s="577"/>
      <c r="K19" s="1446"/>
      <c r="L19" s="1495"/>
      <c r="M19" s="945" t="s">
        <v>951</v>
      </c>
      <c r="N19" s="834"/>
      <c r="O19" s="946"/>
      <c r="P19" s="1442"/>
      <c r="Q19" s="1442"/>
      <c r="R19" s="1475"/>
      <c r="S19" s="1475"/>
      <c r="T19" s="1476"/>
      <c r="U19" s="1160"/>
      <c r="V19" s="619"/>
      <c r="W19" s="619"/>
      <c r="X19" s="619"/>
      <c r="Y19" s="587"/>
      <c r="Z19" s="619"/>
      <c r="AA19" s="619"/>
      <c r="AB19" s="619"/>
      <c r="AC19" s="481"/>
      <c r="AD19" s="482"/>
      <c r="AE19" s="482"/>
      <c r="AF19" s="522"/>
      <c r="AG19" s="59"/>
      <c r="AH19" s="531"/>
      <c r="AI19" s="59"/>
      <c r="AJ19" s="213"/>
      <c r="AK19" s="566"/>
      <c r="AL19" s="566"/>
    </row>
    <row r="20" spans="1:38" s="567" customFormat="1">
      <c r="A20" s="558"/>
      <c r="B20" s="559"/>
      <c r="C20" s="573"/>
      <c r="D20" s="1471"/>
      <c r="E20" s="1489"/>
      <c r="F20" s="1456"/>
      <c r="G20" s="587"/>
      <c r="H20" s="588"/>
      <c r="I20" s="1329"/>
      <c r="J20" s="577"/>
      <c r="K20" s="1447"/>
      <c r="L20" s="1496"/>
      <c r="M20" s="945" t="s">
        <v>952</v>
      </c>
      <c r="N20" s="834"/>
      <c r="O20" s="946"/>
      <c r="P20" s="1442"/>
      <c r="Q20" s="1442"/>
      <c r="R20" s="1475"/>
      <c r="S20" s="1475"/>
      <c r="T20" s="1476"/>
      <c r="U20" s="1160"/>
      <c r="V20" s="619"/>
      <c r="W20" s="619"/>
      <c r="X20" s="619"/>
      <c r="Y20" s="587"/>
      <c r="Z20" s="619"/>
      <c r="AA20" s="619"/>
      <c r="AB20" s="619"/>
      <c r="AC20" s="481"/>
      <c r="AD20" s="482"/>
      <c r="AE20" s="482"/>
      <c r="AF20" s="522"/>
      <c r="AG20" s="59"/>
      <c r="AH20" s="531"/>
      <c r="AI20" s="59"/>
      <c r="AJ20" s="213"/>
      <c r="AK20" s="566"/>
      <c r="AL20" s="566"/>
    </row>
    <row r="21" spans="1:38" s="567" customFormat="1">
      <c r="A21" s="558"/>
      <c r="B21" s="559"/>
      <c r="C21" s="573"/>
      <c r="D21" s="1471"/>
      <c r="E21" s="1489"/>
      <c r="F21" s="1456"/>
      <c r="G21" s="587"/>
      <c r="H21" s="588"/>
      <c r="I21" s="1329"/>
      <c r="J21" s="577"/>
      <c r="K21" s="1445" t="s">
        <v>131</v>
      </c>
      <c r="L21" s="1494"/>
      <c r="M21" s="945" t="s">
        <v>950</v>
      </c>
      <c r="N21" s="834"/>
      <c r="O21" s="946"/>
      <c r="P21" s="1442"/>
      <c r="Q21" s="1442"/>
      <c r="R21" s="1475"/>
      <c r="S21" s="1475"/>
      <c r="T21" s="1476"/>
      <c r="U21" s="1160"/>
      <c r="V21" s="619"/>
      <c r="W21" s="619"/>
      <c r="X21" s="619"/>
      <c r="Y21" s="587"/>
      <c r="Z21" s="619"/>
      <c r="AA21" s="619"/>
      <c r="AB21" s="619"/>
      <c r="AC21" s="481"/>
      <c r="AD21" s="482"/>
      <c r="AE21" s="482"/>
      <c r="AF21" s="522"/>
      <c r="AG21" s="59"/>
      <c r="AH21" s="531"/>
      <c r="AI21" s="59"/>
      <c r="AJ21" s="213"/>
      <c r="AK21" s="566"/>
      <c r="AL21" s="566"/>
    </row>
    <row r="22" spans="1:38" s="567" customFormat="1">
      <c r="A22" s="558"/>
      <c r="B22" s="559"/>
      <c r="C22" s="573"/>
      <c r="D22" s="574"/>
      <c r="E22" s="1489"/>
      <c r="F22" s="664"/>
      <c r="G22" s="587"/>
      <c r="H22" s="588"/>
      <c r="I22" s="619"/>
      <c r="J22" s="577"/>
      <c r="K22" s="1446"/>
      <c r="L22" s="1495"/>
      <c r="M22" s="945" t="s">
        <v>951</v>
      </c>
      <c r="N22" s="834"/>
      <c r="O22" s="946"/>
      <c r="P22" s="1442"/>
      <c r="Q22" s="1442"/>
      <c r="R22" s="1475"/>
      <c r="S22" s="1475"/>
      <c r="T22" s="1476"/>
      <c r="U22" s="1160"/>
      <c r="V22" s="619"/>
      <c r="W22" s="619"/>
      <c r="X22" s="619"/>
      <c r="Y22" s="587"/>
      <c r="Z22" s="619"/>
      <c r="AA22" s="619"/>
      <c r="AB22" s="619"/>
      <c r="AC22" s="481"/>
      <c r="AD22" s="482"/>
      <c r="AE22" s="482"/>
      <c r="AF22" s="522"/>
      <c r="AG22" s="59"/>
      <c r="AH22" s="531"/>
      <c r="AI22" s="59"/>
      <c r="AJ22" s="213"/>
      <c r="AK22" s="566"/>
      <c r="AL22" s="566"/>
    </row>
    <row r="23" spans="1:38" s="567" customFormat="1">
      <c r="A23" s="558"/>
      <c r="B23" s="559"/>
      <c r="C23" s="573"/>
      <c r="D23" s="574"/>
      <c r="E23" s="1489"/>
      <c r="F23" s="664"/>
      <c r="G23" s="587"/>
      <c r="H23" s="588"/>
      <c r="I23" s="619"/>
      <c r="J23" s="577"/>
      <c r="K23" s="1447"/>
      <c r="L23" s="1496"/>
      <c r="M23" s="945" t="s">
        <v>952</v>
      </c>
      <c r="N23" s="834"/>
      <c r="O23" s="946"/>
      <c r="P23" s="1442"/>
      <c r="Q23" s="1442"/>
      <c r="R23" s="1475"/>
      <c r="S23" s="1475"/>
      <c r="T23" s="1476"/>
      <c r="U23" s="1160"/>
      <c r="V23" s="619"/>
      <c r="W23" s="619"/>
      <c r="X23" s="619"/>
      <c r="Y23" s="587"/>
      <c r="Z23" s="619"/>
      <c r="AA23" s="619"/>
      <c r="AB23" s="619"/>
      <c r="AC23" s="481"/>
      <c r="AD23" s="482"/>
      <c r="AE23" s="482"/>
      <c r="AF23" s="522"/>
      <c r="AG23" s="59"/>
      <c r="AH23" s="531"/>
      <c r="AI23" s="59"/>
      <c r="AJ23" s="213"/>
      <c r="AK23" s="566"/>
      <c r="AL23" s="566"/>
    </row>
    <row r="24" spans="1:38" s="567" customFormat="1">
      <c r="A24" s="558"/>
      <c r="B24" s="559"/>
      <c r="C24" s="573"/>
      <c r="D24" s="574"/>
      <c r="E24" s="1489"/>
      <c r="F24" s="664"/>
      <c r="G24" s="587"/>
      <c r="H24" s="588"/>
      <c r="I24" s="619"/>
      <c r="J24" s="577"/>
      <c r="K24" s="1445" t="s">
        <v>132</v>
      </c>
      <c r="L24" s="1494"/>
      <c r="M24" s="945" t="s">
        <v>950</v>
      </c>
      <c r="N24" s="834"/>
      <c r="O24" s="946"/>
      <c r="P24" s="1442"/>
      <c r="Q24" s="1442"/>
      <c r="R24" s="1475"/>
      <c r="S24" s="1475"/>
      <c r="T24" s="1476"/>
      <c r="U24" s="1160"/>
      <c r="V24" s="619"/>
      <c r="W24" s="619"/>
      <c r="X24" s="619"/>
      <c r="Y24" s="587"/>
      <c r="Z24" s="619"/>
      <c r="AA24" s="619"/>
      <c r="AB24" s="619"/>
      <c r="AC24" s="481"/>
      <c r="AD24" s="482"/>
      <c r="AE24" s="482"/>
      <c r="AF24" s="522"/>
      <c r="AG24" s="59"/>
      <c r="AH24" s="531"/>
      <c r="AI24" s="59"/>
      <c r="AJ24" s="213"/>
      <c r="AK24" s="566"/>
      <c r="AL24" s="566"/>
    </row>
    <row r="25" spans="1:38" s="567" customFormat="1">
      <c r="A25" s="558"/>
      <c r="B25" s="559"/>
      <c r="C25" s="573"/>
      <c r="D25" s="574"/>
      <c r="E25" s="1489"/>
      <c r="F25" s="664"/>
      <c r="G25" s="587"/>
      <c r="H25" s="588"/>
      <c r="I25" s="619"/>
      <c r="J25" s="577"/>
      <c r="K25" s="1446"/>
      <c r="L25" s="1495"/>
      <c r="M25" s="945" t="s">
        <v>951</v>
      </c>
      <c r="N25" s="834"/>
      <c r="O25" s="946"/>
      <c r="P25" s="1442"/>
      <c r="Q25" s="1442"/>
      <c r="R25" s="1475"/>
      <c r="S25" s="1475"/>
      <c r="T25" s="1476"/>
      <c r="U25" s="1160"/>
      <c r="V25" s="619"/>
      <c r="W25" s="619"/>
      <c r="X25" s="619"/>
      <c r="Y25" s="587"/>
      <c r="Z25" s="619"/>
      <c r="AA25" s="619"/>
      <c r="AB25" s="619"/>
      <c r="AC25" s="481"/>
      <c r="AD25" s="482"/>
      <c r="AE25" s="482"/>
      <c r="AF25" s="522"/>
      <c r="AG25" s="59"/>
      <c r="AH25" s="531"/>
      <c r="AI25" s="59"/>
      <c r="AJ25" s="213"/>
      <c r="AK25" s="566"/>
      <c r="AL25" s="566"/>
    </row>
    <row r="26" spans="1:38" s="567" customFormat="1">
      <c r="A26" s="558"/>
      <c r="B26" s="559"/>
      <c r="C26" s="573"/>
      <c r="D26" s="574"/>
      <c r="E26" s="1489"/>
      <c r="F26" s="664"/>
      <c r="G26" s="587"/>
      <c r="H26" s="588"/>
      <c r="I26" s="619"/>
      <c r="J26" s="577"/>
      <c r="K26" s="1447"/>
      <c r="L26" s="1496"/>
      <c r="M26" s="945" t="s">
        <v>952</v>
      </c>
      <c r="N26" s="834"/>
      <c r="O26" s="946"/>
      <c r="P26" s="1442"/>
      <c r="Q26" s="1442"/>
      <c r="R26" s="1475"/>
      <c r="S26" s="1475"/>
      <c r="T26" s="1476"/>
      <c r="U26" s="1160"/>
      <c r="V26" s="619"/>
      <c r="W26" s="619"/>
      <c r="X26" s="619"/>
      <c r="Y26" s="587"/>
      <c r="Z26" s="619"/>
      <c r="AA26" s="619"/>
      <c r="AB26" s="619"/>
      <c r="AC26" s="481"/>
      <c r="AD26" s="482"/>
      <c r="AE26" s="482"/>
      <c r="AF26" s="522"/>
      <c r="AG26" s="59"/>
      <c r="AH26" s="531"/>
      <c r="AI26" s="59"/>
      <c r="AJ26" s="213"/>
      <c r="AK26" s="566"/>
      <c r="AL26" s="566"/>
    </row>
    <row r="27" spans="1:38" s="567" customFormat="1">
      <c r="A27" s="558"/>
      <c r="B27" s="559"/>
      <c r="C27" s="573"/>
      <c r="D27" s="574"/>
      <c r="E27" s="1489"/>
      <c r="F27" s="664"/>
      <c r="G27" s="587"/>
      <c r="H27" s="588"/>
      <c r="I27" s="619"/>
      <c r="J27" s="577"/>
      <c r="K27" s="1445" t="s">
        <v>953</v>
      </c>
      <c r="L27" s="1494"/>
      <c r="M27" s="945" t="s">
        <v>950</v>
      </c>
      <c r="N27" s="834"/>
      <c r="O27" s="946"/>
      <c r="P27" s="1442"/>
      <c r="Q27" s="1442"/>
      <c r="R27" s="1475"/>
      <c r="S27" s="1475"/>
      <c r="T27" s="1476"/>
      <c r="U27" s="1160"/>
      <c r="V27" s="619"/>
      <c r="W27" s="619"/>
      <c r="X27" s="619"/>
      <c r="Y27" s="587"/>
      <c r="Z27" s="619"/>
      <c r="AA27" s="619"/>
      <c r="AB27" s="619"/>
      <c r="AC27" s="481"/>
      <c r="AD27" s="482"/>
      <c r="AE27" s="482"/>
      <c r="AF27" s="522"/>
      <c r="AG27" s="59"/>
      <c r="AH27" s="531"/>
      <c r="AI27" s="59"/>
      <c r="AJ27" s="213"/>
      <c r="AK27" s="566"/>
      <c r="AL27" s="566"/>
    </row>
    <row r="28" spans="1:38" s="567" customFormat="1">
      <c r="A28" s="558"/>
      <c r="B28" s="559"/>
      <c r="C28" s="573"/>
      <c r="D28" s="574"/>
      <c r="E28" s="1489"/>
      <c r="F28" s="664"/>
      <c r="G28" s="587"/>
      <c r="H28" s="588"/>
      <c r="I28" s="619"/>
      <c r="J28" s="577"/>
      <c r="K28" s="1446"/>
      <c r="L28" s="1495"/>
      <c r="M28" s="945" t="s">
        <v>951</v>
      </c>
      <c r="N28" s="834"/>
      <c r="O28" s="946"/>
      <c r="P28" s="1442"/>
      <c r="Q28" s="1442"/>
      <c r="R28" s="1475"/>
      <c r="S28" s="1475"/>
      <c r="T28" s="1476"/>
      <c r="U28" s="1160"/>
      <c r="V28" s="619"/>
      <c r="W28" s="619"/>
      <c r="X28" s="619"/>
      <c r="Y28" s="587"/>
      <c r="Z28" s="619"/>
      <c r="AA28" s="619"/>
      <c r="AB28" s="619"/>
      <c r="AC28" s="481"/>
      <c r="AD28" s="482"/>
      <c r="AE28" s="482"/>
      <c r="AF28" s="522"/>
      <c r="AG28" s="59"/>
      <c r="AH28" s="531"/>
      <c r="AI28" s="59"/>
      <c r="AJ28" s="213"/>
      <c r="AK28" s="566"/>
      <c r="AL28" s="566"/>
    </row>
    <row r="29" spans="1:38" s="567" customFormat="1">
      <c r="A29" s="558"/>
      <c r="B29" s="559"/>
      <c r="C29" s="573"/>
      <c r="D29" s="574"/>
      <c r="E29" s="1489"/>
      <c r="F29" s="664"/>
      <c r="G29" s="587"/>
      <c r="H29" s="588"/>
      <c r="I29" s="619"/>
      <c r="J29" s="577"/>
      <c r="K29" s="1447"/>
      <c r="L29" s="1496"/>
      <c r="M29" s="945" t="s">
        <v>952</v>
      </c>
      <c r="N29" s="834"/>
      <c r="O29" s="946"/>
      <c r="P29" s="1442"/>
      <c r="Q29" s="1442"/>
      <c r="R29" s="1475"/>
      <c r="S29" s="1475"/>
      <c r="T29" s="1476"/>
      <c r="U29" s="1160"/>
      <c r="V29" s="619"/>
      <c r="W29" s="619"/>
      <c r="X29" s="619"/>
      <c r="Y29" s="587"/>
      <c r="Z29" s="619"/>
      <c r="AA29" s="619"/>
      <c r="AB29" s="619"/>
      <c r="AC29" s="481"/>
      <c r="AD29" s="482"/>
      <c r="AE29" s="482"/>
      <c r="AF29" s="522"/>
      <c r="AG29" s="59"/>
      <c r="AH29" s="531"/>
      <c r="AI29" s="59"/>
      <c r="AJ29" s="213"/>
      <c r="AK29" s="566"/>
      <c r="AL29" s="566"/>
    </row>
    <row r="30" spans="1:38" s="567" customFormat="1">
      <c r="A30" s="558"/>
      <c r="B30" s="559"/>
      <c r="C30" s="573"/>
      <c r="D30" s="574"/>
      <c r="E30" s="1489"/>
      <c r="F30" s="664"/>
      <c r="G30" s="587"/>
      <c r="H30" s="588"/>
      <c r="I30" s="619"/>
      <c r="J30" s="577"/>
      <c r="K30" s="1445" t="s">
        <v>954</v>
      </c>
      <c r="L30" s="1494"/>
      <c r="M30" s="945" t="s">
        <v>950</v>
      </c>
      <c r="N30" s="834"/>
      <c r="O30" s="946"/>
      <c r="P30" s="1442"/>
      <c r="Q30" s="1442"/>
      <c r="R30" s="1475"/>
      <c r="S30" s="1475"/>
      <c r="T30" s="1476"/>
      <c r="U30" s="1160"/>
      <c r="V30" s="619"/>
      <c r="W30" s="619"/>
      <c r="X30" s="619"/>
      <c r="Y30" s="587"/>
      <c r="Z30" s="619"/>
      <c r="AA30" s="619"/>
      <c r="AB30" s="619"/>
      <c r="AC30" s="481"/>
      <c r="AD30" s="482"/>
      <c r="AE30" s="482"/>
      <c r="AF30" s="522"/>
      <c r="AG30" s="59"/>
      <c r="AH30" s="531"/>
      <c r="AI30" s="59"/>
      <c r="AJ30" s="213"/>
      <c r="AK30" s="566"/>
      <c r="AL30" s="566"/>
    </row>
    <row r="31" spans="1:38" s="567" customFormat="1">
      <c r="A31" s="558"/>
      <c r="B31" s="559"/>
      <c r="C31" s="573"/>
      <c r="D31" s="574"/>
      <c r="E31" s="1489"/>
      <c r="F31" s="664"/>
      <c r="G31" s="587"/>
      <c r="H31" s="588"/>
      <c r="I31" s="619"/>
      <c r="J31" s="577"/>
      <c r="K31" s="1446"/>
      <c r="L31" s="1495"/>
      <c r="M31" s="945" t="s">
        <v>951</v>
      </c>
      <c r="N31" s="834"/>
      <c r="O31" s="946"/>
      <c r="P31" s="1442"/>
      <c r="Q31" s="1442"/>
      <c r="R31" s="1475"/>
      <c r="S31" s="1475"/>
      <c r="T31" s="1476"/>
      <c r="U31" s="1160"/>
      <c r="V31" s="619"/>
      <c r="W31" s="619"/>
      <c r="X31" s="619"/>
      <c r="Y31" s="587"/>
      <c r="Z31" s="619"/>
      <c r="AA31" s="619"/>
      <c r="AB31" s="619"/>
      <c r="AC31" s="481"/>
      <c r="AD31" s="482"/>
      <c r="AE31" s="482"/>
      <c r="AF31" s="522"/>
      <c r="AG31" s="59"/>
      <c r="AH31" s="531"/>
      <c r="AI31" s="59"/>
      <c r="AJ31" s="213"/>
      <c r="AK31" s="566"/>
      <c r="AL31" s="566"/>
    </row>
    <row r="32" spans="1:38" s="567" customFormat="1">
      <c r="A32" s="558"/>
      <c r="B32" s="559"/>
      <c r="C32" s="573"/>
      <c r="D32" s="574"/>
      <c r="E32" s="1489"/>
      <c r="F32" s="664"/>
      <c r="G32" s="587"/>
      <c r="H32" s="588"/>
      <c r="I32" s="619"/>
      <c r="J32" s="577"/>
      <c r="K32" s="1447"/>
      <c r="L32" s="1496"/>
      <c r="M32" s="945" t="s">
        <v>952</v>
      </c>
      <c r="N32" s="834"/>
      <c r="O32" s="946"/>
      <c r="P32" s="1442"/>
      <c r="Q32" s="1442"/>
      <c r="R32" s="1475"/>
      <c r="S32" s="1475"/>
      <c r="T32" s="1476"/>
      <c r="U32" s="1160"/>
      <c r="V32" s="619"/>
      <c r="W32" s="619"/>
      <c r="X32" s="619"/>
      <c r="Y32" s="587"/>
      <c r="Z32" s="619"/>
      <c r="AA32" s="619"/>
      <c r="AB32" s="619"/>
      <c r="AC32" s="481"/>
      <c r="AD32" s="482"/>
      <c r="AE32" s="482"/>
      <c r="AF32" s="522"/>
      <c r="AG32" s="59"/>
      <c r="AH32" s="531"/>
      <c r="AI32" s="59"/>
      <c r="AJ32" s="213"/>
      <c r="AK32" s="566"/>
      <c r="AL32" s="566"/>
    </row>
    <row r="33" spans="1:38" s="567" customFormat="1">
      <c r="A33" s="558"/>
      <c r="B33" s="559"/>
      <c r="C33" s="573"/>
      <c r="D33" s="574"/>
      <c r="E33" s="1489"/>
      <c r="F33" s="664"/>
      <c r="G33" s="587"/>
      <c r="H33" s="588"/>
      <c r="I33" s="619"/>
      <c r="J33" s="577"/>
      <c r="K33" s="1445" t="s">
        <v>135</v>
      </c>
      <c r="L33" s="1494"/>
      <c r="M33" s="945" t="s">
        <v>950</v>
      </c>
      <c r="N33" s="834"/>
      <c r="O33" s="946"/>
      <c r="P33" s="1442"/>
      <c r="Q33" s="1442"/>
      <c r="R33" s="1475"/>
      <c r="S33" s="1475"/>
      <c r="T33" s="1476"/>
      <c r="U33" s="1160"/>
      <c r="V33" s="619"/>
      <c r="W33" s="619"/>
      <c r="X33" s="619"/>
      <c r="Y33" s="587"/>
      <c r="Z33" s="619"/>
      <c r="AA33" s="619"/>
      <c r="AB33" s="619"/>
      <c r="AC33" s="481"/>
      <c r="AD33" s="482"/>
      <c r="AE33" s="482"/>
      <c r="AF33" s="522"/>
      <c r="AG33" s="59"/>
      <c r="AH33" s="531"/>
      <c r="AI33" s="59"/>
      <c r="AJ33" s="213"/>
      <c r="AK33" s="566"/>
      <c r="AL33" s="566"/>
    </row>
    <row r="34" spans="1:38" s="567" customFormat="1">
      <c r="A34" s="558"/>
      <c r="B34" s="559"/>
      <c r="C34" s="573"/>
      <c r="D34" s="574"/>
      <c r="E34" s="1489"/>
      <c r="F34" s="664"/>
      <c r="G34" s="587"/>
      <c r="H34" s="588"/>
      <c r="I34" s="619"/>
      <c r="J34" s="577"/>
      <c r="K34" s="1446"/>
      <c r="L34" s="1495"/>
      <c r="M34" s="945" t="s">
        <v>951</v>
      </c>
      <c r="N34" s="834"/>
      <c r="O34" s="946"/>
      <c r="P34" s="1442"/>
      <c r="Q34" s="1442"/>
      <c r="R34" s="1475"/>
      <c r="S34" s="1475"/>
      <c r="T34" s="1476"/>
      <c r="U34" s="1160"/>
      <c r="V34" s="619"/>
      <c r="W34" s="619"/>
      <c r="X34" s="619"/>
      <c r="Y34" s="587"/>
      <c r="Z34" s="619"/>
      <c r="AA34" s="619"/>
      <c r="AB34" s="619"/>
      <c r="AC34" s="481"/>
      <c r="AD34" s="482"/>
      <c r="AE34" s="482"/>
      <c r="AF34" s="522"/>
      <c r="AG34" s="59"/>
      <c r="AH34" s="531"/>
      <c r="AI34" s="59"/>
      <c r="AJ34" s="213"/>
      <c r="AK34" s="566"/>
      <c r="AL34" s="566"/>
    </row>
    <row r="35" spans="1:38" s="567" customFormat="1">
      <c r="A35" s="558"/>
      <c r="B35" s="559"/>
      <c r="C35" s="573"/>
      <c r="D35" s="574"/>
      <c r="E35" s="1489"/>
      <c r="F35" s="664"/>
      <c r="G35" s="587"/>
      <c r="H35" s="588"/>
      <c r="I35" s="619"/>
      <c r="J35" s="577"/>
      <c r="K35" s="1447"/>
      <c r="L35" s="1496"/>
      <c r="M35" s="945" t="s">
        <v>952</v>
      </c>
      <c r="N35" s="834"/>
      <c r="O35" s="946"/>
      <c r="P35" s="1442"/>
      <c r="Q35" s="1442"/>
      <c r="R35" s="1475"/>
      <c r="S35" s="1475"/>
      <c r="T35" s="1476"/>
      <c r="U35" s="1160"/>
      <c r="V35" s="619"/>
      <c r="W35" s="619"/>
      <c r="X35" s="619"/>
      <c r="Y35" s="587"/>
      <c r="Z35" s="619"/>
      <c r="AA35" s="619"/>
      <c r="AB35" s="619"/>
      <c r="AC35" s="481"/>
      <c r="AD35" s="482"/>
      <c r="AE35" s="482"/>
      <c r="AF35" s="522"/>
      <c r="AG35" s="59"/>
      <c r="AH35" s="531"/>
      <c r="AI35" s="59"/>
      <c r="AJ35" s="213"/>
      <c r="AK35" s="566"/>
      <c r="AL35" s="566"/>
    </row>
    <row r="36" spans="1:38" s="567" customFormat="1">
      <c r="A36" s="558"/>
      <c r="B36" s="559"/>
      <c r="C36" s="573"/>
      <c r="D36" s="574"/>
      <c r="E36" s="1489"/>
      <c r="F36" s="664"/>
      <c r="G36" s="587"/>
      <c r="H36" s="588"/>
      <c r="I36" s="619"/>
      <c r="J36" s="577"/>
      <c r="K36" s="1445" t="s">
        <v>955</v>
      </c>
      <c r="L36" s="1494"/>
      <c r="M36" s="945" t="s">
        <v>950</v>
      </c>
      <c r="N36" s="834"/>
      <c r="O36" s="946"/>
      <c r="P36" s="1442"/>
      <c r="Q36" s="1442"/>
      <c r="R36" s="1475"/>
      <c r="S36" s="1475"/>
      <c r="T36" s="1476"/>
      <c r="U36" s="1160"/>
      <c r="V36" s="619"/>
      <c r="W36" s="619"/>
      <c r="X36" s="619"/>
      <c r="Y36" s="587"/>
      <c r="Z36" s="619"/>
      <c r="AA36" s="619"/>
      <c r="AB36" s="619"/>
      <c r="AC36" s="481"/>
      <c r="AD36" s="482"/>
      <c r="AE36" s="482"/>
      <c r="AF36" s="522"/>
      <c r="AG36" s="59"/>
      <c r="AH36" s="531"/>
      <c r="AI36" s="59"/>
      <c r="AJ36" s="213"/>
      <c r="AK36" s="566"/>
      <c r="AL36" s="566"/>
    </row>
    <row r="37" spans="1:38" s="567" customFormat="1">
      <c r="A37" s="558"/>
      <c r="B37" s="559"/>
      <c r="C37" s="573"/>
      <c r="D37" s="574"/>
      <c r="E37" s="1489"/>
      <c r="F37" s="664"/>
      <c r="G37" s="587"/>
      <c r="H37" s="588"/>
      <c r="I37" s="619"/>
      <c r="J37" s="577"/>
      <c r="K37" s="1446"/>
      <c r="L37" s="1495"/>
      <c r="M37" s="945" t="s">
        <v>951</v>
      </c>
      <c r="N37" s="834"/>
      <c r="O37" s="946"/>
      <c r="P37" s="1442"/>
      <c r="Q37" s="1442"/>
      <c r="R37" s="1475"/>
      <c r="S37" s="1475"/>
      <c r="T37" s="1476"/>
      <c r="U37" s="1160"/>
      <c r="V37" s="619"/>
      <c r="W37" s="619"/>
      <c r="X37" s="619"/>
      <c r="Y37" s="587"/>
      <c r="Z37" s="619"/>
      <c r="AA37" s="619"/>
      <c r="AB37" s="619"/>
      <c r="AC37" s="481"/>
      <c r="AD37" s="482"/>
      <c r="AE37" s="482"/>
      <c r="AF37" s="522"/>
      <c r="AG37" s="59"/>
      <c r="AH37" s="531"/>
      <c r="AI37" s="59"/>
      <c r="AJ37" s="213"/>
      <c r="AK37" s="566"/>
      <c r="AL37" s="566"/>
    </row>
    <row r="38" spans="1:38" s="567" customFormat="1">
      <c r="A38" s="558"/>
      <c r="B38" s="559"/>
      <c r="C38" s="573"/>
      <c r="D38" s="574"/>
      <c r="E38" s="1489"/>
      <c r="F38" s="664"/>
      <c r="G38" s="587"/>
      <c r="H38" s="588"/>
      <c r="I38" s="619"/>
      <c r="J38" s="577"/>
      <c r="K38" s="1447"/>
      <c r="L38" s="1496"/>
      <c r="M38" s="945" t="s">
        <v>952</v>
      </c>
      <c r="N38" s="834"/>
      <c r="O38" s="946"/>
      <c r="P38" s="1442"/>
      <c r="Q38" s="1442"/>
      <c r="R38" s="1475"/>
      <c r="S38" s="1475"/>
      <c r="T38" s="1476"/>
      <c r="U38" s="1160"/>
      <c r="V38" s="619"/>
      <c r="W38" s="619"/>
      <c r="X38" s="619"/>
      <c r="Y38" s="587"/>
      <c r="Z38" s="619"/>
      <c r="AA38" s="619"/>
      <c r="AB38" s="619"/>
      <c r="AC38" s="481"/>
      <c r="AD38" s="482"/>
      <c r="AE38" s="482"/>
      <c r="AF38" s="522"/>
      <c r="AG38" s="59"/>
      <c r="AH38" s="531"/>
      <c r="AI38" s="59"/>
      <c r="AJ38" s="213"/>
      <c r="AK38" s="566"/>
      <c r="AL38" s="566"/>
    </row>
    <row r="39" spans="1:38" s="567" customFormat="1">
      <c r="A39" s="558"/>
      <c r="B39" s="559"/>
      <c r="C39" s="573"/>
      <c r="D39" s="574"/>
      <c r="E39" s="1489"/>
      <c r="F39" s="664"/>
      <c r="G39" s="587"/>
      <c r="H39" s="588"/>
      <c r="I39" s="619"/>
      <c r="J39" s="577"/>
      <c r="K39" s="1445" t="s">
        <v>941</v>
      </c>
      <c r="L39" s="1497"/>
      <c r="M39" s="945" t="s">
        <v>950</v>
      </c>
      <c r="N39" s="834"/>
      <c r="O39" s="946"/>
      <c r="P39" s="1442"/>
      <c r="Q39" s="1442"/>
      <c r="R39" s="1475"/>
      <c r="S39" s="1475"/>
      <c r="T39" s="1476"/>
      <c r="U39" s="1160"/>
      <c r="V39" s="619"/>
      <c r="W39" s="619"/>
      <c r="X39" s="619"/>
      <c r="Y39" s="587"/>
      <c r="Z39" s="619"/>
      <c r="AA39" s="619"/>
      <c r="AB39" s="619"/>
      <c r="AC39" s="481"/>
      <c r="AD39" s="482"/>
      <c r="AE39" s="482"/>
      <c r="AF39" s="522"/>
      <c r="AG39" s="59"/>
      <c r="AH39" s="531"/>
      <c r="AI39" s="59"/>
      <c r="AJ39" s="213"/>
      <c r="AK39" s="566"/>
      <c r="AL39" s="566"/>
    </row>
    <row r="40" spans="1:38" s="567" customFormat="1">
      <c r="A40" s="558"/>
      <c r="B40" s="559"/>
      <c r="C40" s="573"/>
      <c r="D40" s="574"/>
      <c r="E40" s="1489"/>
      <c r="F40" s="664"/>
      <c r="G40" s="587"/>
      <c r="H40" s="588"/>
      <c r="I40" s="619"/>
      <c r="J40" s="577"/>
      <c r="K40" s="1446"/>
      <c r="L40" s="1498"/>
      <c r="M40" s="945" t="s">
        <v>951</v>
      </c>
      <c r="N40" s="834"/>
      <c r="O40" s="946"/>
      <c r="P40" s="1442"/>
      <c r="Q40" s="1442"/>
      <c r="R40" s="1475"/>
      <c r="S40" s="1475"/>
      <c r="T40" s="1476"/>
      <c r="U40" s="1160"/>
      <c r="V40" s="619"/>
      <c r="W40" s="619"/>
      <c r="X40" s="619"/>
      <c r="Y40" s="587"/>
      <c r="Z40" s="619"/>
      <c r="AA40" s="619"/>
      <c r="AB40" s="619"/>
      <c r="AC40" s="481"/>
      <c r="AD40" s="482"/>
      <c r="AE40" s="482"/>
      <c r="AF40" s="522"/>
      <c r="AG40" s="59"/>
      <c r="AH40" s="531"/>
      <c r="AI40" s="59"/>
      <c r="AJ40" s="213"/>
      <c r="AK40" s="566"/>
      <c r="AL40" s="566"/>
    </row>
    <row r="41" spans="1:38" s="567" customFormat="1">
      <c r="A41" s="558"/>
      <c r="B41" s="559"/>
      <c r="C41" s="573"/>
      <c r="D41" s="574"/>
      <c r="E41" s="1489"/>
      <c r="F41" s="664"/>
      <c r="G41" s="587"/>
      <c r="H41" s="588"/>
      <c r="I41" s="619"/>
      <c r="J41" s="577"/>
      <c r="K41" s="1447"/>
      <c r="L41" s="1499"/>
      <c r="M41" s="947" t="s">
        <v>952</v>
      </c>
      <c r="N41" s="835"/>
      <c r="O41" s="948"/>
      <c r="P41" s="1492"/>
      <c r="Q41" s="1492"/>
      <c r="R41" s="1477"/>
      <c r="S41" s="1477"/>
      <c r="T41" s="1478"/>
      <c r="U41" s="1160"/>
      <c r="V41" s="619"/>
      <c r="W41" s="619"/>
      <c r="X41" s="619"/>
      <c r="Y41" s="587"/>
      <c r="Z41" s="619"/>
      <c r="AA41" s="619"/>
      <c r="AB41" s="619"/>
      <c r="AC41" s="481"/>
      <c r="AD41" s="482"/>
      <c r="AE41" s="482"/>
      <c r="AF41" s="522"/>
      <c r="AG41" s="59"/>
      <c r="AH41" s="531"/>
      <c r="AI41" s="59"/>
      <c r="AJ41" s="213"/>
      <c r="AK41" s="566"/>
      <c r="AL41" s="566"/>
    </row>
    <row r="42" spans="1:38" s="567" customFormat="1" ht="18" thickBot="1">
      <c r="A42" s="558"/>
      <c r="B42" s="559"/>
      <c r="C42" s="789"/>
      <c r="D42" s="773"/>
      <c r="E42" s="1490"/>
      <c r="F42" s="791"/>
      <c r="G42" s="439"/>
      <c r="H42" s="678"/>
      <c r="I42" s="438"/>
      <c r="J42" s="774"/>
      <c r="K42" s="810" t="s">
        <v>138</v>
      </c>
      <c r="L42" s="792"/>
      <c r="M42" s="1448"/>
      <c r="N42" s="1449"/>
      <c r="O42" s="1449"/>
      <c r="P42" s="1449"/>
      <c r="Q42" s="1449"/>
      <c r="R42" s="1449"/>
      <c r="S42" s="1449"/>
      <c r="T42" s="1449"/>
      <c r="U42" s="1161"/>
      <c r="V42" s="438"/>
      <c r="W42" s="438"/>
      <c r="X42" s="438"/>
      <c r="Y42" s="439"/>
      <c r="Z42" s="438"/>
      <c r="AA42" s="438"/>
      <c r="AB42" s="438"/>
      <c r="AC42" s="484"/>
      <c r="AD42" s="485"/>
      <c r="AE42" s="485"/>
      <c r="AF42" s="523"/>
      <c r="AG42" s="475"/>
      <c r="AH42" s="648"/>
      <c r="AI42" s="475"/>
      <c r="AJ42" s="422"/>
      <c r="AK42" s="566"/>
      <c r="AL42" s="566"/>
    </row>
    <row r="43" spans="1:38" s="567" customFormat="1" ht="71" thickBot="1">
      <c r="A43" s="558" t="s">
        <v>2</v>
      </c>
      <c r="B43" s="559"/>
      <c r="C43" s="750" t="s">
        <v>956</v>
      </c>
      <c r="D43" s="751" t="s">
        <v>957</v>
      </c>
      <c r="E43" s="1046" t="s">
        <v>1214</v>
      </c>
      <c r="F43" s="782"/>
      <c r="G43" s="754" t="s">
        <v>97</v>
      </c>
      <c r="H43" s="755" t="s">
        <v>111</v>
      </c>
      <c r="I43" s="753" t="s">
        <v>960</v>
      </c>
      <c r="J43" s="756" t="s">
        <v>695</v>
      </c>
      <c r="K43" s="721"/>
      <c r="L43" s="1126"/>
      <c r="M43" s="1468"/>
      <c r="N43" s="1468"/>
      <c r="O43" s="1468"/>
      <c r="P43" s="1468"/>
      <c r="Q43" s="1468"/>
      <c r="R43" s="1468"/>
      <c r="S43" s="1468"/>
      <c r="T43" s="1469"/>
      <c r="U43" s="490" t="s">
        <v>11</v>
      </c>
      <c r="V43" s="453"/>
      <c r="W43" s="454"/>
      <c r="X43" s="454"/>
      <c r="Y43" s="454"/>
      <c r="Z43" s="454"/>
      <c r="AA43" s="454"/>
      <c r="AB43" s="454"/>
      <c r="AC43" s="486"/>
      <c r="AD43" s="455"/>
      <c r="AE43" s="455"/>
      <c r="AF43" s="524"/>
      <c r="AG43" s="456"/>
      <c r="AH43" s="811" t="s">
        <v>44</v>
      </c>
      <c r="AI43" s="456"/>
      <c r="AJ43" s="758"/>
      <c r="AK43" s="566"/>
      <c r="AL43" s="566"/>
    </row>
    <row r="44" spans="1:38" s="567" customFormat="1" ht="71" thickBot="1">
      <c r="A44" s="558" t="s">
        <v>2</v>
      </c>
      <c r="B44" s="559"/>
      <c r="C44" s="750" t="s">
        <v>958</v>
      </c>
      <c r="D44" s="751" t="s">
        <v>959</v>
      </c>
      <c r="E44" s="752"/>
      <c r="F44" s="782"/>
      <c r="G44" s="754" t="s">
        <v>91</v>
      </c>
      <c r="H44" s="755" t="s">
        <v>247</v>
      </c>
      <c r="I44" s="753" t="s">
        <v>960</v>
      </c>
      <c r="J44" s="756" t="s">
        <v>695</v>
      </c>
      <c r="K44" s="721"/>
      <c r="L44" s="842"/>
      <c r="M44" s="1468"/>
      <c r="N44" s="1468"/>
      <c r="O44" s="1468"/>
      <c r="P44" s="1468"/>
      <c r="Q44" s="1468"/>
      <c r="R44" s="1468"/>
      <c r="S44" s="1468"/>
      <c r="T44" s="1469"/>
      <c r="U44" s="490" t="s">
        <v>11</v>
      </c>
      <c r="V44" s="453"/>
      <c r="W44" s="454"/>
      <c r="X44" s="454"/>
      <c r="Y44" s="454"/>
      <c r="Z44" s="454"/>
      <c r="AA44" s="454"/>
      <c r="AB44" s="454"/>
      <c r="AC44" s="486"/>
      <c r="AD44" s="455"/>
      <c r="AE44" s="455"/>
      <c r="AF44" s="524"/>
      <c r="AG44" s="456"/>
      <c r="AH44" s="788"/>
      <c r="AI44" s="456"/>
      <c r="AJ44" s="758"/>
      <c r="AK44" s="566"/>
      <c r="AL44" s="566"/>
    </row>
    <row r="45" spans="1:38" s="557" customFormat="1" ht="27" customHeight="1" thickBot="1">
      <c r="A45" s="550" t="s">
        <v>34</v>
      </c>
      <c r="B45" s="551" t="s">
        <v>961</v>
      </c>
      <c r="C45" s="552" t="s">
        <v>962</v>
      </c>
      <c r="D45" s="849"/>
      <c r="E45" s="517"/>
      <c r="F45" s="849"/>
      <c r="G45" s="517"/>
      <c r="H45" s="517"/>
      <c r="I45" s="517"/>
      <c r="J45" s="517"/>
      <c r="K45" s="850"/>
      <c r="L45" s="851"/>
      <c r="M45" s="517"/>
      <c r="N45" s="517"/>
      <c r="O45" s="517"/>
      <c r="P45" s="517"/>
      <c r="Q45" s="517"/>
      <c r="R45" s="517"/>
      <c r="S45" s="517"/>
      <c r="T45" s="517"/>
      <c r="U45" s="517"/>
      <c r="V45" s="517"/>
      <c r="W45" s="517"/>
      <c r="X45" s="517"/>
      <c r="Y45" s="517"/>
      <c r="Z45" s="517"/>
      <c r="AA45" s="517"/>
      <c r="AB45" s="517"/>
      <c r="AC45" s="517"/>
      <c r="AD45" s="517"/>
      <c r="AE45" s="517"/>
      <c r="AF45" s="517"/>
      <c r="AG45" s="517"/>
      <c r="AH45" s="517"/>
      <c r="AI45" s="517"/>
      <c r="AJ45" s="517"/>
      <c r="AK45" s="556"/>
      <c r="AL45" s="556"/>
    </row>
    <row r="46" spans="1:38" s="567" customFormat="1" ht="38.25" customHeight="1">
      <c r="A46" s="558" t="s">
        <v>2</v>
      </c>
      <c r="B46" s="559"/>
      <c r="C46" s="560" t="s">
        <v>963</v>
      </c>
      <c r="D46" s="606" t="s">
        <v>964</v>
      </c>
      <c r="E46" s="1049" t="s">
        <v>1216</v>
      </c>
      <c r="F46" s="772"/>
      <c r="G46" s="364" t="s">
        <v>91</v>
      </c>
      <c r="H46" s="563" t="s">
        <v>247</v>
      </c>
      <c r="I46" s="594" t="s">
        <v>787</v>
      </c>
      <c r="J46" s="564" t="s">
        <v>695</v>
      </c>
      <c r="K46" s="783"/>
      <c r="L46" s="624"/>
      <c r="M46" s="1485"/>
      <c r="N46" s="1485"/>
      <c r="O46" s="1485"/>
      <c r="P46" s="1485"/>
      <c r="Q46" s="1485"/>
      <c r="R46" s="1485"/>
      <c r="S46" s="1485"/>
      <c r="T46" s="1486"/>
      <c r="U46" s="491" t="s">
        <v>11</v>
      </c>
      <c r="V46" s="615"/>
      <c r="W46" s="55"/>
      <c r="X46" s="55"/>
      <c r="Y46" s="55"/>
      <c r="Z46" s="55"/>
      <c r="AA46" s="55"/>
      <c r="AB46" s="55"/>
      <c r="AC46" s="476"/>
      <c r="AD46" s="106"/>
      <c r="AE46" s="106"/>
      <c r="AF46" s="521"/>
      <c r="AG46" s="56"/>
      <c r="AH46" s="597"/>
      <c r="AI46" s="56"/>
      <c r="AJ46" s="191"/>
      <c r="AK46" s="566"/>
      <c r="AL46" s="566"/>
    </row>
    <row r="47" spans="1:38" s="567" customFormat="1" ht="26.5" customHeight="1">
      <c r="A47" s="558" t="s">
        <v>3</v>
      </c>
      <c r="B47" s="559"/>
      <c r="C47" s="629"/>
      <c r="D47" s="1467" t="s">
        <v>965</v>
      </c>
      <c r="E47" s="575"/>
      <c r="F47" s="1456"/>
      <c r="G47" s="232" t="s">
        <v>91</v>
      </c>
      <c r="H47" s="592" t="s">
        <v>92</v>
      </c>
      <c r="I47" s="1341" t="s">
        <v>966</v>
      </c>
      <c r="J47" s="784" t="s">
        <v>854</v>
      </c>
      <c r="K47" s="1457" t="s">
        <v>967</v>
      </c>
      <c r="L47" s="843" t="s">
        <v>968</v>
      </c>
      <c r="M47" s="1483"/>
      <c r="N47" s="1483"/>
      <c r="O47" s="1483"/>
      <c r="P47" s="1483"/>
      <c r="Q47" s="1483"/>
      <c r="R47" s="1483"/>
      <c r="S47" s="1483"/>
      <c r="T47" s="1484"/>
      <c r="U47" s="1436" t="s">
        <v>11</v>
      </c>
      <c r="V47" s="632"/>
      <c r="W47" s="632"/>
      <c r="X47" s="632"/>
      <c r="Y47" s="232"/>
      <c r="Z47" s="632"/>
      <c r="AA47" s="632"/>
      <c r="AB47" s="632"/>
      <c r="AC47" s="233"/>
      <c r="AD47" s="234"/>
      <c r="AE47" s="234"/>
      <c r="AF47" s="478"/>
      <c r="AG47" s="235"/>
      <c r="AH47" s="785"/>
      <c r="AI47" s="235"/>
      <c r="AJ47" s="213"/>
      <c r="AK47" s="566"/>
      <c r="AL47" s="566"/>
    </row>
    <row r="48" spans="1:38" s="567" customFormat="1">
      <c r="A48" s="558"/>
      <c r="B48" s="559"/>
      <c r="C48" s="629"/>
      <c r="D48" s="1467"/>
      <c r="E48" s="575"/>
      <c r="F48" s="1456"/>
      <c r="G48" s="232"/>
      <c r="H48" s="592"/>
      <c r="I48" s="1341"/>
      <c r="J48" s="633"/>
      <c r="K48" s="1458"/>
      <c r="L48" s="843" t="s">
        <v>969</v>
      </c>
      <c r="M48" s="1438"/>
      <c r="N48" s="1438"/>
      <c r="O48" s="1438"/>
      <c r="P48" s="1438"/>
      <c r="Q48" s="1438"/>
      <c r="R48" s="1438"/>
      <c r="S48" s="1438"/>
      <c r="T48" s="1439"/>
      <c r="U48" s="1436"/>
      <c r="V48" s="632"/>
      <c r="W48" s="632"/>
      <c r="X48" s="632"/>
      <c r="Y48" s="232"/>
      <c r="Z48" s="632"/>
      <c r="AA48" s="632"/>
      <c r="AB48" s="632"/>
      <c r="AC48" s="233"/>
      <c r="AD48" s="234"/>
      <c r="AE48" s="234"/>
      <c r="AF48" s="478"/>
      <c r="AG48" s="235"/>
      <c r="AH48" s="785"/>
      <c r="AI48" s="235"/>
      <c r="AJ48" s="213"/>
      <c r="AK48" s="566"/>
      <c r="AL48" s="566"/>
    </row>
    <row r="49" spans="1:123" s="567" customFormat="1" ht="17.5" customHeight="1">
      <c r="A49" s="558"/>
      <c r="B49" s="559"/>
      <c r="C49" s="629"/>
      <c r="D49" s="1467"/>
      <c r="E49" s="575"/>
      <c r="F49" s="1456"/>
      <c r="G49" s="232"/>
      <c r="H49" s="592"/>
      <c r="I49" s="1341"/>
      <c r="J49" s="633"/>
      <c r="K49" s="1458"/>
      <c r="L49" s="843" t="s">
        <v>970</v>
      </c>
      <c r="M49" s="1438"/>
      <c r="N49" s="1438"/>
      <c r="O49" s="1438"/>
      <c r="P49" s="1438"/>
      <c r="Q49" s="1438"/>
      <c r="R49" s="1438"/>
      <c r="S49" s="1438"/>
      <c r="T49" s="1439"/>
      <c r="U49" s="1436"/>
      <c r="V49" s="632"/>
      <c r="W49" s="632"/>
      <c r="X49" s="632"/>
      <c r="Y49" s="232"/>
      <c r="Z49" s="632"/>
      <c r="AA49" s="632"/>
      <c r="AB49" s="632"/>
      <c r="AC49" s="233"/>
      <c r="AD49" s="234"/>
      <c r="AE49" s="234"/>
      <c r="AF49" s="478"/>
      <c r="AG49" s="235"/>
      <c r="AH49" s="785"/>
      <c r="AI49" s="235"/>
      <c r="AJ49" s="213"/>
      <c r="AK49" s="566"/>
      <c r="AL49" s="566"/>
    </row>
    <row r="50" spans="1:123" s="567" customFormat="1">
      <c r="A50" s="558"/>
      <c r="B50" s="559"/>
      <c r="C50" s="629"/>
      <c r="D50" s="1467"/>
      <c r="E50" s="575"/>
      <c r="F50" s="1456"/>
      <c r="G50" s="232"/>
      <c r="H50" s="592"/>
      <c r="I50" s="1341"/>
      <c r="J50" s="633"/>
      <c r="K50" s="1458"/>
      <c r="L50" s="843" t="s">
        <v>971</v>
      </c>
      <c r="M50" s="1438"/>
      <c r="N50" s="1438"/>
      <c r="O50" s="1438"/>
      <c r="P50" s="1438"/>
      <c r="Q50" s="1438"/>
      <c r="R50" s="1438"/>
      <c r="S50" s="1438"/>
      <c r="T50" s="1439"/>
      <c r="U50" s="1436"/>
      <c r="V50" s="632"/>
      <c r="W50" s="632"/>
      <c r="X50" s="632"/>
      <c r="Y50" s="232"/>
      <c r="Z50" s="632"/>
      <c r="AA50" s="632"/>
      <c r="AB50" s="632"/>
      <c r="AC50" s="233"/>
      <c r="AD50" s="234"/>
      <c r="AE50" s="234"/>
      <c r="AF50" s="478"/>
      <c r="AG50" s="235"/>
      <c r="AH50" s="785"/>
      <c r="AI50" s="235"/>
      <c r="AJ50" s="213"/>
      <c r="AK50" s="566"/>
      <c r="AL50" s="566"/>
    </row>
    <row r="51" spans="1:123" s="567" customFormat="1">
      <c r="A51" s="558"/>
      <c r="B51" s="559"/>
      <c r="C51" s="629"/>
      <c r="D51" s="1467"/>
      <c r="E51" s="575"/>
      <c r="F51" s="1456"/>
      <c r="G51" s="232"/>
      <c r="H51" s="592"/>
      <c r="I51" s="1341"/>
      <c r="J51" s="633"/>
      <c r="K51" s="1458"/>
      <c r="L51" s="843" t="s">
        <v>972</v>
      </c>
      <c r="M51" s="1438"/>
      <c r="N51" s="1438"/>
      <c r="O51" s="1438"/>
      <c r="P51" s="1438"/>
      <c r="Q51" s="1438"/>
      <c r="R51" s="1438"/>
      <c r="S51" s="1438"/>
      <c r="T51" s="1439"/>
      <c r="U51" s="1436"/>
      <c r="V51" s="632"/>
      <c r="W51" s="632"/>
      <c r="X51" s="632"/>
      <c r="Y51" s="232"/>
      <c r="Z51" s="632"/>
      <c r="AA51" s="632"/>
      <c r="AB51" s="632"/>
      <c r="AC51" s="233"/>
      <c r="AD51" s="234"/>
      <c r="AE51" s="234"/>
      <c r="AF51" s="478"/>
      <c r="AG51" s="235"/>
      <c r="AH51" s="785"/>
      <c r="AI51" s="235"/>
      <c r="AJ51" s="213"/>
      <c r="AK51" s="566"/>
      <c r="AL51" s="566"/>
    </row>
    <row r="52" spans="1:123" s="567" customFormat="1">
      <c r="A52" s="558"/>
      <c r="B52" s="559"/>
      <c r="C52" s="629"/>
      <c r="D52" s="630"/>
      <c r="E52" s="575"/>
      <c r="F52" s="664"/>
      <c r="G52" s="232"/>
      <c r="H52" s="592"/>
      <c r="I52" s="632"/>
      <c r="J52" s="633"/>
      <c r="K52" s="1458"/>
      <c r="L52" s="843" t="s">
        <v>973</v>
      </c>
      <c r="M52" s="1438"/>
      <c r="N52" s="1438"/>
      <c r="O52" s="1438"/>
      <c r="P52" s="1438"/>
      <c r="Q52" s="1438"/>
      <c r="R52" s="1438"/>
      <c r="S52" s="1438"/>
      <c r="T52" s="1439"/>
      <c r="U52" s="1436"/>
      <c r="V52" s="632"/>
      <c r="W52" s="632"/>
      <c r="X52" s="632"/>
      <c r="Y52" s="232"/>
      <c r="Z52" s="632"/>
      <c r="AA52" s="632"/>
      <c r="AB52" s="632"/>
      <c r="AC52" s="233"/>
      <c r="AD52" s="234"/>
      <c r="AE52" s="234"/>
      <c r="AF52" s="478"/>
      <c r="AG52" s="235"/>
      <c r="AH52" s="785"/>
      <c r="AI52" s="235"/>
      <c r="AJ52" s="213"/>
      <c r="AK52" s="566"/>
      <c r="AL52" s="566"/>
    </row>
    <row r="53" spans="1:123" s="567" customFormat="1">
      <c r="A53" s="558"/>
      <c r="B53" s="559"/>
      <c r="C53" s="629"/>
      <c r="D53" s="630"/>
      <c r="E53" s="575"/>
      <c r="F53" s="664"/>
      <c r="G53" s="232"/>
      <c r="H53" s="592"/>
      <c r="I53" s="632"/>
      <c r="J53" s="633"/>
      <c r="K53" s="1459"/>
      <c r="L53" s="844" t="s">
        <v>974</v>
      </c>
      <c r="M53" s="1438"/>
      <c r="N53" s="1438"/>
      <c r="O53" s="1438"/>
      <c r="P53" s="1438"/>
      <c r="Q53" s="1438"/>
      <c r="R53" s="1438"/>
      <c r="S53" s="1438"/>
      <c r="T53" s="1439"/>
      <c r="U53" s="1436"/>
      <c r="V53" s="632"/>
      <c r="W53" s="632"/>
      <c r="X53" s="632"/>
      <c r="Y53" s="232"/>
      <c r="Z53" s="632"/>
      <c r="AA53" s="632"/>
      <c r="AB53" s="632"/>
      <c r="AC53" s="233"/>
      <c r="AD53" s="234"/>
      <c r="AE53" s="234"/>
      <c r="AF53" s="478"/>
      <c r="AG53" s="235"/>
      <c r="AH53" s="785"/>
      <c r="AI53" s="235"/>
      <c r="AJ53" s="213"/>
      <c r="AK53" s="566"/>
      <c r="AL53" s="566"/>
    </row>
    <row r="54" spans="1:123" s="567" customFormat="1">
      <c r="A54" s="558"/>
      <c r="B54" s="559"/>
      <c r="C54" s="629"/>
      <c r="D54" s="630"/>
      <c r="E54" s="575"/>
      <c r="F54" s="664"/>
      <c r="G54" s="232"/>
      <c r="H54" s="592"/>
      <c r="I54" s="632"/>
      <c r="J54" s="633"/>
      <c r="K54" s="1457" t="s">
        <v>983</v>
      </c>
      <c r="L54" s="843" t="s">
        <v>975</v>
      </c>
      <c r="M54" s="1438"/>
      <c r="N54" s="1438"/>
      <c r="O54" s="1438"/>
      <c r="P54" s="1438"/>
      <c r="Q54" s="1438"/>
      <c r="R54" s="1438"/>
      <c r="S54" s="1438"/>
      <c r="T54" s="1439"/>
      <c r="U54" s="1436"/>
      <c r="V54" s="632"/>
      <c r="W54" s="632"/>
      <c r="X54" s="632"/>
      <c r="Y54" s="232"/>
      <c r="Z54" s="632"/>
      <c r="AA54" s="632"/>
      <c r="AB54" s="632"/>
      <c r="AC54" s="233"/>
      <c r="AD54" s="234"/>
      <c r="AE54" s="234"/>
      <c r="AF54" s="478"/>
      <c r="AG54" s="235"/>
      <c r="AH54" s="785"/>
      <c r="AI54" s="235"/>
      <c r="AJ54" s="213"/>
      <c r="AK54" s="566"/>
      <c r="AL54" s="566"/>
    </row>
    <row r="55" spans="1:123" s="567" customFormat="1">
      <c r="A55" s="558"/>
      <c r="B55" s="559"/>
      <c r="C55" s="629"/>
      <c r="D55" s="630"/>
      <c r="E55" s="575"/>
      <c r="F55" s="664"/>
      <c r="G55" s="232"/>
      <c r="H55" s="592"/>
      <c r="I55" s="632"/>
      <c r="J55" s="633"/>
      <c r="K55" s="1458"/>
      <c r="L55" s="843" t="s">
        <v>976</v>
      </c>
      <c r="M55" s="1438"/>
      <c r="N55" s="1438"/>
      <c r="O55" s="1438"/>
      <c r="P55" s="1438"/>
      <c r="Q55" s="1438"/>
      <c r="R55" s="1438"/>
      <c r="S55" s="1438"/>
      <c r="T55" s="1439"/>
      <c r="U55" s="1436"/>
      <c r="V55" s="632"/>
      <c r="W55" s="632"/>
      <c r="X55" s="632"/>
      <c r="Y55" s="232"/>
      <c r="Z55" s="632"/>
      <c r="AA55" s="632"/>
      <c r="AB55" s="632"/>
      <c r="AC55" s="233"/>
      <c r="AD55" s="234"/>
      <c r="AE55" s="234"/>
      <c r="AF55" s="478"/>
      <c r="AG55" s="235"/>
      <c r="AH55" s="785"/>
      <c r="AI55" s="235"/>
      <c r="AJ55" s="213"/>
      <c r="AK55" s="566"/>
      <c r="AL55" s="566"/>
    </row>
    <row r="56" spans="1:123" s="567" customFormat="1">
      <c r="A56" s="558"/>
      <c r="B56" s="559"/>
      <c r="C56" s="629"/>
      <c r="D56" s="630"/>
      <c r="E56" s="575"/>
      <c r="F56" s="664"/>
      <c r="G56" s="232"/>
      <c r="H56" s="592"/>
      <c r="I56" s="632"/>
      <c r="J56" s="633"/>
      <c r="K56" s="1458"/>
      <c r="L56" s="843" t="s">
        <v>977</v>
      </c>
      <c r="M56" s="1438"/>
      <c r="N56" s="1438"/>
      <c r="O56" s="1438"/>
      <c r="P56" s="1438"/>
      <c r="Q56" s="1438"/>
      <c r="R56" s="1438"/>
      <c r="S56" s="1438"/>
      <c r="T56" s="1439"/>
      <c r="U56" s="1436"/>
      <c r="V56" s="632"/>
      <c r="W56" s="632"/>
      <c r="X56" s="632"/>
      <c r="Y56" s="232"/>
      <c r="Z56" s="632"/>
      <c r="AA56" s="632"/>
      <c r="AB56" s="632"/>
      <c r="AC56" s="233"/>
      <c r="AD56" s="234"/>
      <c r="AE56" s="234"/>
      <c r="AF56" s="478"/>
      <c r="AG56" s="235"/>
      <c r="AH56" s="785"/>
      <c r="AI56" s="235"/>
      <c r="AJ56" s="213"/>
      <c r="AK56" s="566"/>
      <c r="AL56" s="566"/>
    </row>
    <row r="57" spans="1:123" s="567" customFormat="1">
      <c r="A57" s="558"/>
      <c r="B57" s="559"/>
      <c r="C57" s="629"/>
      <c r="D57" s="630"/>
      <c r="E57" s="575"/>
      <c r="F57" s="664"/>
      <c r="G57" s="232"/>
      <c r="H57" s="592"/>
      <c r="I57" s="632"/>
      <c r="J57" s="633"/>
      <c r="K57" s="1458"/>
      <c r="L57" s="845" t="s">
        <v>978</v>
      </c>
      <c r="M57" s="1438"/>
      <c r="N57" s="1438"/>
      <c r="O57" s="1438"/>
      <c r="P57" s="1438"/>
      <c r="Q57" s="1438"/>
      <c r="R57" s="1438"/>
      <c r="S57" s="1438"/>
      <c r="T57" s="1439"/>
      <c r="U57" s="1436"/>
      <c r="V57" s="632"/>
      <c r="W57" s="632"/>
      <c r="X57" s="632"/>
      <c r="Y57" s="232"/>
      <c r="Z57" s="632"/>
      <c r="AA57" s="632"/>
      <c r="AB57" s="632"/>
      <c r="AC57" s="233"/>
      <c r="AD57" s="234"/>
      <c r="AE57" s="234"/>
      <c r="AF57" s="478"/>
      <c r="AG57" s="235"/>
      <c r="AH57" s="785"/>
      <c r="AI57" s="235"/>
      <c r="AJ57" s="213"/>
      <c r="AK57" s="566"/>
      <c r="AL57" s="566"/>
    </row>
    <row r="58" spans="1:123" s="567" customFormat="1">
      <c r="A58" s="558"/>
      <c r="B58" s="559"/>
      <c r="C58" s="629"/>
      <c r="D58" s="630"/>
      <c r="E58" s="575"/>
      <c r="F58" s="664"/>
      <c r="G58" s="232"/>
      <c r="H58" s="592"/>
      <c r="I58" s="632"/>
      <c r="J58" s="633"/>
      <c r="K58" s="1459"/>
      <c r="L58" s="846" t="s">
        <v>979</v>
      </c>
      <c r="M58" s="1438"/>
      <c r="N58" s="1438"/>
      <c r="O58" s="1438"/>
      <c r="P58" s="1438"/>
      <c r="Q58" s="1438"/>
      <c r="R58" s="1438"/>
      <c r="S58" s="1438"/>
      <c r="T58" s="1439"/>
      <c r="U58" s="1436"/>
      <c r="V58" s="632"/>
      <c r="W58" s="632"/>
      <c r="X58" s="632"/>
      <c r="Y58" s="232"/>
      <c r="Z58" s="632"/>
      <c r="AA58" s="632"/>
      <c r="AB58" s="632"/>
      <c r="AC58" s="233"/>
      <c r="AD58" s="234"/>
      <c r="AE58" s="234"/>
      <c r="AF58" s="478"/>
      <c r="AG58" s="235"/>
      <c r="AH58" s="785"/>
      <c r="AI58" s="235"/>
      <c r="AJ58" s="213"/>
      <c r="AK58" s="566"/>
      <c r="AL58" s="566"/>
    </row>
    <row r="59" spans="1:123" s="567" customFormat="1">
      <c r="A59" s="558"/>
      <c r="B59" s="559"/>
      <c r="C59" s="629"/>
      <c r="D59" s="630"/>
      <c r="E59" s="575"/>
      <c r="F59" s="664"/>
      <c r="G59" s="232"/>
      <c r="H59" s="592"/>
      <c r="I59" s="632"/>
      <c r="J59" s="633"/>
      <c r="K59" s="1457" t="s">
        <v>984</v>
      </c>
      <c r="L59" s="845" t="s">
        <v>980</v>
      </c>
      <c r="M59" s="1438"/>
      <c r="N59" s="1438"/>
      <c r="O59" s="1438"/>
      <c r="P59" s="1438"/>
      <c r="Q59" s="1438"/>
      <c r="R59" s="1438"/>
      <c r="S59" s="1438"/>
      <c r="T59" s="1439"/>
      <c r="U59" s="1436"/>
      <c r="V59" s="632"/>
      <c r="W59" s="632"/>
      <c r="X59" s="632"/>
      <c r="Y59" s="232"/>
      <c r="Z59" s="632"/>
      <c r="AA59" s="632"/>
      <c r="AB59" s="632"/>
      <c r="AC59" s="233"/>
      <c r="AD59" s="234"/>
      <c r="AE59" s="234"/>
      <c r="AF59" s="478"/>
      <c r="AG59" s="235"/>
      <c r="AH59" s="785"/>
      <c r="AI59" s="235"/>
      <c r="AJ59" s="213"/>
      <c r="AK59" s="566"/>
      <c r="AL59" s="566"/>
    </row>
    <row r="60" spans="1:123" s="567" customFormat="1">
      <c r="A60" s="558"/>
      <c r="B60" s="559"/>
      <c r="C60" s="629"/>
      <c r="D60" s="630"/>
      <c r="E60" s="575"/>
      <c r="F60" s="664"/>
      <c r="G60" s="232"/>
      <c r="H60" s="592"/>
      <c r="I60" s="632"/>
      <c r="J60" s="633"/>
      <c r="K60" s="1458"/>
      <c r="L60" s="845" t="s">
        <v>981</v>
      </c>
      <c r="M60" s="1438"/>
      <c r="N60" s="1438"/>
      <c r="O60" s="1438"/>
      <c r="P60" s="1438"/>
      <c r="Q60" s="1438"/>
      <c r="R60" s="1438"/>
      <c r="S60" s="1438"/>
      <c r="T60" s="1439"/>
      <c r="U60" s="1436"/>
      <c r="V60" s="632"/>
      <c r="W60" s="632"/>
      <c r="X60" s="632"/>
      <c r="Y60" s="232"/>
      <c r="Z60" s="632"/>
      <c r="AA60" s="632"/>
      <c r="AB60" s="632"/>
      <c r="AC60" s="233"/>
      <c r="AD60" s="234"/>
      <c r="AE60" s="234"/>
      <c r="AF60" s="478"/>
      <c r="AG60" s="235"/>
      <c r="AH60" s="785"/>
      <c r="AI60" s="235"/>
      <c r="AJ60" s="213"/>
      <c r="AK60" s="566"/>
      <c r="AL60" s="566"/>
    </row>
    <row r="61" spans="1:123" s="567" customFormat="1" ht="18" thickBot="1">
      <c r="A61" s="558"/>
      <c r="B61" s="559"/>
      <c r="C61" s="671"/>
      <c r="D61" s="778"/>
      <c r="E61" s="790"/>
      <c r="F61" s="791"/>
      <c r="G61" s="410"/>
      <c r="H61" s="634"/>
      <c r="I61" s="409"/>
      <c r="J61" s="729"/>
      <c r="K61" s="1472"/>
      <c r="L61" s="847" t="s">
        <v>982</v>
      </c>
      <c r="M61" s="1443"/>
      <c r="N61" s="1443"/>
      <c r="O61" s="1443"/>
      <c r="P61" s="1443"/>
      <c r="Q61" s="1443"/>
      <c r="R61" s="1443"/>
      <c r="S61" s="1443"/>
      <c r="T61" s="1444"/>
      <c r="U61" s="1437"/>
      <c r="V61" s="409"/>
      <c r="W61" s="409"/>
      <c r="X61" s="409"/>
      <c r="Y61" s="410"/>
      <c r="Z61" s="409"/>
      <c r="AA61" s="409"/>
      <c r="AB61" s="409"/>
      <c r="AC61" s="411"/>
      <c r="AD61" s="412"/>
      <c r="AE61" s="412"/>
      <c r="AF61" s="738"/>
      <c r="AG61" s="413"/>
      <c r="AH61" s="793"/>
      <c r="AI61" s="413"/>
      <c r="AJ61" s="422"/>
      <c r="AK61" s="566"/>
      <c r="AL61" s="566"/>
    </row>
    <row r="62" spans="1:123" s="582" customFormat="1" ht="18" thickBot="1">
      <c r="A62" s="578"/>
      <c r="B62" s="579"/>
      <c r="C62" s="580" t="s">
        <v>992</v>
      </c>
      <c r="D62" s="581"/>
      <c r="E62" s="581"/>
      <c r="F62" s="581"/>
      <c r="G62" s="581"/>
      <c r="H62" s="581"/>
      <c r="I62" s="852"/>
      <c r="J62" s="852"/>
      <c r="K62" s="853"/>
      <c r="L62" s="854"/>
      <c r="M62" s="855"/>
      <c r="N62" s="855"/>
      <c r="O62" s="855"/>
      <c r="P62" s="855"/>
      <c r="Q62" s="855"/>
      <c r="R62" s="855"/>
      <c r="S62" s="852"/>
      <c r="T62" s="855"/>
      <c r="U62" s="855"/>
      <c r="V62" s="852"/>
      <c r="W62" s="852"/>
      <c r="X62" s="852"/>
      <c r="Y62" s="852"/>
      <c r="Z62" s="852"/>
      <c r="AA62" s="852"/>
      <c r="AB62" s="852"/>
      <c r="AC62" s="852"/>
      <c r="AD62" s="852"/>
      <c r="AE62" s="852"/>
      <c r="AF62" s="852"/>
      <c r="AG62" s="852"/>
      <c r="AH62" s="852"/>
      <c r="AI62" s="852"/>
      <c r="AJ62" s="852"/>
      <c r="AK62" s="565"/>
      <c r="AL62" s="565"/>
      <c r="AM62" s="565"/>
      <c r="AN62" s="565"/>
      <c r="AO62" s="565"/>
      <c r="AP62" s="565"/>
      <c r="AQ62" s="565"/>
      <c r="AR62" s="565"/>
      <c r="AS62" s="565"/>
      <c r="AT62" s="565"/>
      <c r="AU62" s="565"/>
      <c r="AV62" s="565"/>
      <c r="AW62" s="565"/>
      <c r="AX62" s="565"/>
      <c r="AY62" s="565"/>
      <c r="AZ62" s="565"/>
      <c r="BA62" s="565"/>
      <c r="BB62" s="565"/>
      <c r="BC62" s="565"/>
      <c r="BD62" s="565"/>
      <c r="BE62" s="565"/>
      <c r="BF62" s="565"/>
      <c r="BG62" s="565"/>
      <c r="BH62" s="565"/>
      <c r="BI62" s="565"/>
      <c r="BJ62" s="565"/>
      <c r="BK62" s="565"/>
      <c r="BL62" s="565"/>
      <c r="BM62" s="565"/>
      <c r="BN62" s="565"/>
      <c r="BO62" s="565"/>
      <c r="BP62" s="565"/>
      <c r="BQ62" s="565"/>
      <c r="BR62" s="565"/>
      <c r="BS62" s="565"/>
      <c r="BT62" s="565"/>
      <c r="BU62" s="565"/>
      <c r="BV62" s="565"/>
      <c r="BW62" s="565"/>
      <c r="BX62" s="565"/>
      <c r="BY62" s="565"/>
      <c r="BZ62" s="565"/>
      <c r="CA62" s="565"/>
      <c r="CB62" s="565"/>
      <c r="CC62" s="565"/>
      <c r="CD62" s="565"/>
      <c r="CE62" s="565"/>
      <c r="CF62" s="565"/>
      <c r="CG62" s="565"/>
      <c r="CH62" s="565"/>
      <c r="CI62" s="565"/>
      <c r="CJ62" s="565"/>
      <c r="CK62" s="565"/>
      <c r="CL62" s="565"/>
      <c r="CM62" s="565"/>
      <c r="CN62" s="565"/>
      <c r="CO62" s="565"/>
      <c r="CP62" s="565"/>
      <c r="CQ62" s="565"/>
      <c r="CR62" s="565"/>
      <c r="CS62" s="565"/>
      <c r="CT62" s="565"/>
      <c r="CU62" s="565"/>
      <c r="CV62" s="565"/>
      <c r="CW62" s="565"/>
      <c r="CX62" s="565"/>
      <c r="CY62" s="565"/>
      <c r="CZ62" s="565"/>
      <c r="DA62" s="565"/>
      <c r="DB62" s="565"/>
      <c r="DC62" s="565"/>
      <c r="DD62" s="565"/>
      <c r="DE62" s="565"/>
      <c r="DF62" s="565"/>
      <c r="DG62" s="565"/>
      <c r="DH62" s="565"/>
      <c r="DI62" s="565"/>
      <c r="DJ62" s="565"/>
      <c r="DK62" s="565"/>
      <c r="DL62" s="565"/>
      <c r="DM62" s="565"/>
      <c r="DN62" s="565"/>
      <c r="DO62" s="565"/>
      <c r="DP62" s="565"/>
      <c r="DQ62" s="565"/>
      <c r="DR62" s="565"/>
      <c r="DS62" s="565"/>
    </row>
    <row r="63" spans="1:123" s="567" customFormat="1" ht="26.5" customHeight="1">
      <c r="A63" s="558" t="s">
        <v>3</v>
      </c>
      <c r="B63" s="559"/>
      <c r="C63" s="794"/>
      <c r="D63" s="795" t="s">
        <v>985</v>
      </c>
      <c r="E63" s="570"/>
      <c r="F63" s="796"/>
      <c r="G63" s="797" t="s">
        <v>97</v>
      </c>
      <c r="H63" s="590" t="s">
        <v>247</v>
      </c>
      <c r="I63" s="798" t="s">
        <v>986</v>
      </c>
      <c r="J63" s="808" t="s">
        <v>943</v>
      </c>
      <c r="K63" s="807"/>
      <c r="L63" s="786" t="s">
        <v>987</v>
      </c>
      <c r="M63" s="1440" t="s">
        <v>988</v>
      </c>
      <c r="N63" s="1441"/>
      <c r="O63" s="1440" t="s">
        <v>989</v>
      </c>
      <c r="P63" s="1441"/>
      <c r="Q63" s="1440" t="s">
        <v>990</v>
      </c>
      <c r="R63" s="1441"/>
      <c r="S63" s="1440" t="s">
        <v>991</v>
      </c>
      <c r="T63" s="1482"/>
      <c r="U63" s="1435" t="s">
        <v>11</v>
      </c>
      <c r="V63" s="798"/>
      <c r="W63" s="798"/>
      <c r="X63" s="798"/>
      <c r="Y63" s="797"/>
      <c r="Z63" s="798"/>
      <c r="AA63" s="798"/>
      <c r="AB63" s="798"/>
      <c r="AC63" s="800"/>
      <c r="AD63" s="801"/>
      <c r="AE63" s="801"/>
      <c r="AF63" s="802"/>
      <c r="AG63" s="803"/>
      <c r="AH63" s="804"/>
      <c r="AI63" s="803"/>
      <c r="AJ63" s="191"/>
      <c r="AK63" s="566"/>
      <c r="AL63" s="566"/>
    </row>
    <row r="64" spans="1:123" s="567" customFormat="1">
      <c r="A64" s="558"/>
      <c r="B64" s="559"/>
      <c r="C64" s="629"/>
      <c r="D64" s="197"/>
      <c r="E64" s="575"/>
      <c r="F64" s="664"/>
      <c r="G64" s="232"/>
      <c r="H64" s="592"/>
      <c r="I64" s="645"/>
      <c r="J64" s="633"/>
      <c r="K64" s="858"/>
      <c r="L64" s="859" t="s">
        <v>1006</v>
      </c>
      <c r="M64" s="1479"/>
      <c r="N64" s="1480"/>
      <c r="O64" s="1479"/>
      <c r="P64" s="1480"/>
      <c r="Q64" s="1479"/>
      <c r="R64" s="1480"/>
      <c r="S64" s="1479"/>
      <c r="T64" s="1481"/>
      <c r="U64" s="1436"/>
      <c r="V64" s="645"/>
      <c r="W64" s="645"/>
      <c r="X64" s="645"/>
      <c r="Y64" s="232"/>
      <c r="Z64" s="645"/>
      <c r="AA64" s="645"/>
      <c r="AB64" s="645"/>
      <c r="AC64" s="233"/>
      <c r="AD64" s="234"/>
      <c r="AE64" s="234"/>
      <c r="AF64" s="478"/>
      <c r="AG64" s="235"/>
      <c r="AH64" s="785"/>
      <c r="AI64" s="235"/>
      <c r="AJ64" s="213"/>
      <c r="AK64" s="566"/>
      <c r="AL64" s="566"/>
    </row>
    <row r="65" spans="1:38" s="567" customFormat="1" ht="18" thickBot="1">
      <c r="A65" s="558"/>
      <c r="B65" s="559"/>
      <c r="C65" s="671"/>
      <c r="D65" s="778"/>
      <c r="E65" s="790"/>
      <c r="F65" s="791"/>
      <c r="G65" s="410"/>
      <c r="H65" s="634"/>
      <c r="I65" s="409"/>
      <c r="J65" s="729"/>
      <c r="K65" s="856" t="s">
        <v>138</v>
      </c>
      <c r="L65" s="857"/>
      <c r="M65" s="1418"/>
      <c r="N65" s="1419"/>
      <c r="O65" s="1419"/>
      <c r="P65" s="1419"/>
      <c r="Q65" s="1419"/>
      <c r="R65" s="1419"/>
      <c r="S65" s="1419"/>
      <c r="T65" s="1419"/>
      <c r="U65" s="1437"/>
      <c r="V65" s="409"/>
      <c r="W65" s="409"/>
      <c r="X65" s="409"/>
      <c r="Y65" s="410"/>
      <c r="Z65" s="409"/>
      <c r="AA65" s="409"/>
      <c r="AB65" s="409"/>
      <c r="AC65" s="411"/>
      <c r="AD65" s="412"/>
      <c r="AE65" s="412"/>
      <c r="AF65" s="738"/>
      <c r="AG65" s="413"/>
      <c r="AH65" s="793"/>
      <c r="AI65" s="413"/>
      <c r="AJ65" s="422"/>
      <c r="AK65" s="566"/>
      <c r="AL65" s="566"/>
    </row>
    <row r="66" spans="1:38" s="53" customFormat="1" ht="28">
      <c r="A66" s="236" t="s">
        <v>2</v>
      </c>
      <c r="B66" s="196"/>
      <c r="C66" s="1183" t="s">
        <v>993</v>
      </c>
      <c r="D66" s="1185" t="s">
        <v>994</v>
      </c>
      <c r="E66" s="1296" t="s">
        <v>1214</v>
      </c>
      <c r="F66" s="1187"/>
      <c r="G66" s="372" t="s">
        <v>91</v>
      </c>
      <c r="H66" s="1189" t="s">
        <v>102</v>
      </c>
      <c r="I66" s="1191" t="s">
        <v>774</v>
      </c>
      <c r="J66" s="467" t="s">
        <v>731</v>
      </c>
      <c r="K66" s="500" t="s">
        <v>995</v>
      </c>
      <c r="L66" s="420"/>
      <c r="M66" s="1178"/>
      <c r="N66" s="1178"/>
      <c r="O66" s="1178"/>
      <c r="P66" s="1178"/>
      <c r="Q66" s="1178"/>
      <c r="R66" s="1178"/>
      <c r="S66" s="1178"/>
      <c r="T66" s="1172"/>
      <c r="U66" s="1159" t="s">
        <v>11</v>
      </c>
      <c r="V66" s="615"/>
      <c r="W66" s="615"/>
      <c r="X66" s="615"/>
      <c r="Y66" s="424"/>
      <c r="Z66" s="615"/>
      <c r="AA66" s="615"/>
      <c r="AB66" s="615"/>
      <c r="AC66" s="479"/>
      <c r="AD66" s="480"/>
      <c r="AE66" s="480"/>
      <c r="AF66" s="521"/>
      <c r="AG66" s="56"/>
      <c r="AH66" s="1162" t="s">
        <v>779</v>
      </c>
      <c r="AI66" s="56"/>
      <c r="AJ66" s="191"/>
      <c r="AK66" s="52"/>
      <c r="AL66" s="52"/>
    </row>
    <row r="67" spans="1:38" s="53" customFormat="1" ht="28">
      <c r="A67" s="236"/>
      <c r="B67" s="196"/>
      <c r="C67" s="1184"/>
      <c r="D67" s="1186"/>
      <c r="E67" s="1297"/>
      <c r="F67" s="1188"/>
      <c r="G67" s="386"/>
      <c r="H67" s="1190"/>
      <c r="I67" s="1192"/>
      <c r="J67" s="356"/>
      <c r="K67" s="388" t="s">
        <v>996</v>
      </c>
      <c r="L67" s="377"/>
      <c r="M67" s="1175"/>
      <c r="N67" s="1176"/>
      <c r="O67" s="1176"/>
      <c r="P67" s="1176"/>
      <c r="Q67" s="1176"/>
      <c r="R67" s="1176"/>
      <c r="S67" s="1176"/>
      <c r="T67" s="1176"/>
      <c r="U67" s="1160"/>
      <c r="V67" s="619"/>
      <c r="W67" s="619"/>
      <c r="X67" s="619"/>
      <c r="Y67" s="587"/>
      <c r="Z67" s="619"/>
      <c r="AA67" s="619"/>
      <c r="AB67" s="619"/>
      <c r="AC67" s="481"/>
      <c r="AD67" s="482"/>
      <c r="AE67" s="482"/>
      <c r="AF67" s="522"/>
      <c r="AG67" s="59"/>
      <c r="AH67" s="1163"/>
      <c r="AI67" s="59"/>
      <c r="AJ67" s="213"/>
      <c r="AK67" s="52"/>
      <c r="AL67" s="52"/>
    </row>
    <row r="68" spans="1:38" s="53" customFormat="1" ht="42">
      <c r="A68" s="236"/>
      <c r="B68" s="196"/>
      <c r="C68" s="1184"/>
      <c r="D68" s="1186"/>
      <c r="E68" s="1297"/>
      <c r="F68" s="1188"/>
      <c r="G68" s="386"/>
      <c r="H68" s="1190"/>
      <c r="I68" s="1192"/>
      <c r="J68" s="356"/>
      <c r="K68" s="388" t="s">
        <v>997</v>
      </c>
      <c r="L68" s="377"/>
      <c r="M68" s="1175"/>
      <c r="N68" s="1176"/>
      <c r="O68" s="1176"/>
      <c r="P68" s="1176"/>
      <c r="Q68" s="1176"/>
      <c r="R68" s="1176"/>
      <c r="S68" s="1176"/>
      <c r="T68" s="1176"/>
      <c r="U68" s="1160"/>
      <c r="V68" s="619"/>
      <c r="W68" s="619"/>
      <c r="X68" s="619"/>
      <c r="Y68" s="587"/>
      <c r="Z68" s="619"/>
      <c r="AA68" s="619"/>
      <c r="AB68" s="619"/>
      <c r="AC68" s="481"/>
      <c r="AD68" s="482"/>
      <c r="AE68" s="482"/>
      <c r="AF68" s="522"/>
      <c r="AG68" s="59"/>
      <c r="AH68" s="1163"/>
      <c r="AI68" s="59"/>
      <c r="AJ68" s="213"/>
      <c r="AK68" s="52"/>
      <c r="AL68" s="52"/>
    </row>
    <row r="69" spans="1:38" s="53" customFormat="1" ht="42">
      <c r="A69" s="236"/>
      <c r="B69" s="196"/>
      <c r="C69" s="1184"/>
      <c r="D69" s="1186"/>
      <c r="E69" s="1297"/>
      <c r="F69" s="1188"/>
      <c r="G69" s="386"/>
      <c r="H69" s="1190"/>
      <c r="I69" s="1192"/>
      <c r="J69" s="356"/>
      <c r="K69" s="388" t="s">
        <v>998</v>
      </c>
      <c r="L69" s="377"/>
      <c r="M69" s="1175"/>
      <c r="N69" s="1176"/>
      <c r="O69" s="1176"/>
      <c r="P69" s="1176"/>
      <c r="Q69" s="1176"/>
      <c r="R69" s="1176"/>
      <c r="S69" s="1176"/>
      <c r="T69" s="1176"/>
      <c r="U69" s="1160"/>
      <c r="V69" s="619"/>
      <c r="W69" s="619"/>
      <c r="X69" s="619"/>
      <c r="Y69" s="587"/>
      <c r="Z69" s="619"/>
      <c r="AA69" s="619"/>
      <c r="AB69" s="619"/>
      <c r="AC69" s="481"/>
      <c r="AD69" s="482"/>
      <c r="AE69" s="482"/>
      <c r="AF69" s="522"/>
      <c r="AG69" s="59"/>
      <c r="AH69" s="1163"/>
      <c r="AI69" s="59"/>
      <c r="AJ69" s="213"/>
      <c r="AK69" s="52"/>
      <c r="AL69" s="52"/>
    </row>
    <row r="70" spans="1:38" s="53" customFormat="1" ht="28">
      <c r="A70" s="236"/>
      <c r="B70" s="196"/>
      <c r="C70" s="1184"/>
      <c r="D70" s="1186"/>
      <c r="E70" s="1297"/>
      <c r="F70" s="1188"/>
      <c r="G70" s="386"/>
      <c r="H70" s="1190"/>
      <c r="I70" s="1192"/>
      <c r="J70" s="356"/>
      <c r="K70" s="388" t="s">
        <v>999</v>
      </c>
      <c r="L70" s="377"/>
      <c r="M70" s="1175"/>
      <c r="N70" s="1176"/>
      <c r="O70" s="1176"/>
      <c r="P70" s="1176"/>
      <c r="Q70" s="1176"/>
      <c r="R70" s="1176"/>
      <c r="S70" s="1176"/>
      <c r="T70" s="1176"/>
      <c r="U70" s="1160"/>
      <c r="V70" s="619"/>
      <c r="W70" s="619"/>
      <c r="X70" s="619"/>
      <c r="Y70" s="587"/>
      <c r="Z70" s="619"/>
      <c r="AA70" s="619"/>
      <c r="AB70" s="619"/>
      <c r="AC70" s="481"/>
      <c r="AD70" s="482"/>
      <c r="AE70" s="482"/>
      <c r="AF70" s="522"/>
      <c r="AG70" s="59"/>
      <c r="AH70" s="1163"/>
      <c r="AI70" s="59"/>
      <c r="AJ70" s="213"/>
      <c r="AK70" s="52"/>
      <c r="AL70" s="52"/>
    </row>
    <row r="71" spans="1:38" s="53" customFormat="1" ht="42">
      <c r="A71" s="236"/>
      <c r="B71" s="196"/>
      <c r="C71" s="1184"/>
      <c r="D71" s="1186"/>
      <c r="E71" s="1297"/>
      <c r="F71" s="1188"/>
      <c r="G71" s="386"/>
      <c r="H71" s="1190"/>
      <c r="I71" s="1192"/>
      <c r="J71" s="356"/>
      <c r="K71" s="389" t="s">
        <v>1000</v>
      </c>
      <c r="L71" s="377"/>
      <c r="M71" s="390"/>
      <c r="N71" s="391"/>
      <c r="O71" s="391"/>
      <c r="P71" s="391"/>
      <c r="Q71" s="391"/>
      <c r="R71" s="391"/>
      <c r="S71" s="391"/>
      <c r="T71" s="391"/>
      <c r="U71" s="1160"/>
      <c r="V71" s="619"/>
      <c r="W71" s="619"/>
      <c r="X71" s="619"/>
      <c r="Y71" s="587"/>
      <c r="Z71" s="619"/>
      <c r="AA71" s="619"/>
      <c r="AB71" s="619"/>
      <c r="AC71" s="481"/>
      <c r="AD71" s="482"/>
      <c r="AE71" s="482"/>
      <c r="AF71" s="522"/>
      <c r="AG71" s="59"/>
      <c r="AH71" s="1163"/>
      <c r="AI71" s="59"/>
      <c r="AJ71" s="213"/>
      <c r="AK71" s="52"/>
      <c r="AL71" s="52"/>
    </row>
    <row r="72" spans="1:38" s="53" customFormat="1" ht="28">
      <c r="A72" s="236"/>
      <c r="B72" s="196"/>
      <c r="C72" s="1184"/>
      <c r="D72" s="1186"/>
      <c r="E72" s="1297"/>
      <c r="F72" s="1188"/>
      <c r="G72" s="386"/>
      <c r="H72" s="1190"/>
      <c r="I72" s="1192"/>
      <c r="J72" s="356"/>
      <c r="K72" s="389" t="s">
        <v>1001</v>
      </c>
      <c r="L72" s="377"/>
      <c r="M72" s="390"/>
      <c r="N72" s="391"/>
      <c r="O72" s="391"/>
      <c r="P72" s="391"/>
      <c r="Q72" s="391"/>
      <c r="R72" s="391"/>
      <c r="S72" s="391"/>
      <c r="T72" s="391"/>
      <c r="U72" s="1160"/>
      <c r="V72" s="619"/>
      <c r="W72" s="619"/>
      <c r="X72" s="619"/>
      <c r="Y72" s="587"/>
      <c r="Z72" s="619"/>
      <c r="AA72" s="619"/>
      <c r="AB72" s="619"/>
      <c r="AC72" s="481"/>
      <c r="AD72" s="482"/>
      <c r="AE72" s="482"/>
      <c r="AF72" s="522"/>
      <c r="AG72" s="59"/>
      <c r="AH72" s="1163"/>
      <c r="AI72" s="59"/>
      <c r="AJ72" s="213"/>
      <c r="AK72" s="52"/>
      <c r="AL72" s="52"/>
    </row>
    <row r="73" spans="1:38" s="53" customFormat="1" ht="85" thickBot="1">
      <c r="A73" s="236"/>
      <c r="B73" s="196"/>
      <c r="C73" s="1184"/>
      <c r="D73" s="1186"/>
      <c r="E73" s="1491"/>
      <c r="F73" s="1188"/>
      <c r="G73" s="386"/>
      <c r="H73" s="1190"/>
      <c r="I73" s="1192"/>
      <c r="J73" s="356"/>
      <c r="K73" s="863" t="s">
        <v>1002</v>
      </c>
      <c r="L73" s="861"/>
      <c r="M73" s="764"/>
      <c r="N73" s="765"/>
      <c r="O73" s="765"/>
      <c r="P73" s="765"/>
      <c r="Q73" s="765"/>
      <c r="R73" s="765"/>
      <c r="S73" s="765"/>
      <c r="T73" s="765"/>
      <c r="U73" s="1160"/>
      <c r="V73" s="619"/>
      <c r="W73" s="619"/>
      <c r="X73" s="619"/>
      <c r="Y73" s="587"/>
      <c r="Z73" s="619"/>
      <c r="AA73" s="619"/>
      <c r="AB73" s="619"/>
      <c r="AC73" s="481"/>
      <c r="AD73" s="482"/>
      <c r="AE73" s="482"/>
      <c r="AF73" s="522"/>
      <c r="AG73" s="59"/>
      <c r="AH73" s="1164"/>
      <c r="AI73" s="59"/>
      <c r="AJ73" s="213"/>
      <c r="AK73" s="52"/>
      <c r="AL73" s="52"/>
    </row>
    <row r="74" spans="1:38" s="53" customFormat="1" ht="71" thickBot="1">
      <c r="A74" s="236" t="s">
        <v>2</v>
      </c>
      <c r="B74" s="196"/>
      <c r="C74" s="458" t="s">
        <v>1004</v>
      </c>
      <c r="D74" s="459" t="s">
        <v>1003</v>
      </c>
      <c r="E74" s="1046" t="s">
        <v>1214</v>
      </c>
      <c r="F74" s="461"/>
      <c r="G74" s="805" t="s">
        <v>91</v>
      </c>
      <c r="H74" s="755" t="s">
        <v>92</v>
      </c>
      <c r="I74" s="462"/>
      <c r="J74" s="806" t="s">
        <v>725</v>
      </c>
      <c r="K74" s="864"/>
      <c r="L74" s="862"/>
      <c r="M74" s="1170"/>
      <c r="N74" s="1170"/>
      <c r="O74" s="1170"/>
      <c r="P74" s="1170"/>
      <c r="Q74" s="1170"/>
      <c r="R74" s="1170"/>
      <c r="S74" s="1170"/>
      <c r="T74" s="1167"/>
      <c r="U74" s="799" t="s">
        <v>11</v>
      </c>
      <c r="V74" s="453"/>
      <c r="W74" s="453"/>
      <c r="X74" s="453"/>
      <c r="Y74" s="464"/>
      <c r="Z74" s="453"/>
      <c r="AA74" s="453"/>
      <c r="AB74" s="453"/>
      <c r="AC74" s="487"/>
      <c r="AD74" s="488"/>
      <c r="AE74" s="488"/>
      <c r="AF74" s="524"/>
      <c r="AG74" s="456"/>
      <c r="AH74" s="902" t="s">
        <v>779</v>
      </c>
      <c r="AI74" s="456"/>
      <c r="AJ74" s="758"/>
      <c r="AK74" s="52"/>
      <c r="AL74" s="52"/>
    </row>
    <row r="75" spans="1:38" s="53" customFormat="1" ht="71" thickBot="1">
      <c r="A75" s="236" t="s">
        <v>2</v>
      </c>
      <c r="B75" s="196"/>
      <c r="C75" s="458" t="s">
        <v>993</v>
      </c>
      <c r="D75" s="459" t="s">
        <v>1005</v>
      </c>
      <c r="E75" s="1046" t="s">
        <v>1214</v>
      </c>
      <c r="F75" s="461"/>
      <c r="G75" s="805" t="s">
        <v>91</v>
      </c>
      <c r="H75" s="755" t="s">
        <v>100</v>
      </c>
      <c r="I75" s="462" t="s">
        <v>695</v>
      </c>
      <c r="J75" s="806" t="s">
        <v>695</v>
      </c>
      <c r="K75" s="864"/>
      <c r="L75" s="1127"/>
      <c r="M75" s="1167"/>
      <c r="N75" s="1168"/>
      <c r="O75" s="1168"/>
      <c r="P75" s="1168"/>
      <c r="Q75" s="1168"/>
      <c r="R75" s="1168"/>
      <c r="S75" s="1168"/>
      <c r="T75" s="1168"/>
      <c r="U75" s="799" t="s">
        <v>11</v>
      </c>
      <c r="V75" s="453"/>
      <c r="W75" s="453"/>
      <c r="X75" s="453"/>
      <c r="Y75" s="464"/>
      <c r="Z75" s="453"/>
      <c r="AA75" s="453"/>
      <c r="AB75" s="453"/>
      <c r="AC75" s="487"/>
      <c r="AD75" s="488"/>
      <c r="AE75" s="488"/>
      <c r="AF75" s="524"/>
      <c r="AG75" s="456"/>
      <c r="AH75" s="811" t="s">
        <v>44</v>
      </c>
      <c r="AI75" s="456"/>
      <c r="AJ75" s="758"/>
      <c r="AK75" s="52"/>
      <c r="AL75" s="52"/>
    </row>
    <row r="76" spans="1:38" ht="36" customHeight="1" thickBot="1">
      <c r="B76" s="86"/>
      <c r="C76" s="89" t="s">
        <v>454</v>
      </c>
      <c r="D76" s="90"/>
      <c r="E76" s="91"/>
      <c r="F76" s="92"/>
      <c r="G76" s="93"/>
      <c r="H76" s="93"/>
      <c r="I76" s="94"/>
      <c r="J76" s="93"/>
      <c r="K76" s="94"/>
      <c r="L76" s="208"/>
      <c r="M76" s="208"/>
      <c r="N76" s="208"/>
      <c r="O76" s="208"/>
      <c r="P76" s="208"/>
      <c r="Q76" s="208"/>
      <c r="R76" s="208"/>
      <c r="S76" s="208"/>
      <c r="T76" s="208"/>
      <c r="U76" s="212"/>
      <c r="V76" s="208"/>
      <c r="W76" s="208"/>
      <c r="X76" s="208"/>
      <c r="Y76" s="208"/>
      <c r="Z76" s="208"/>
      <c r="AA76" s="208"/>
      <c r="AB76" s="208"/>
      <c r="AC76" s="208"/>
      <c r="AD76" s="208"/>
      <c r="AE76" s="208"/>
      <c r="AF76" s="209"/>
      <c r="AG76" s="208"/>
      <c r="AH76" s="212"/>
      <c r="AI76" s="208"/>
      <c r="AJ76" s="213"/>
      <c r="AK76" s="60"/>
      <c r="AL76" s="60"/>
    </row>
    <row r="77" spans="1:38" s="39" customFormat="1" ht="57" thickBot="1">
      <c r="A77" s="136"/>
      <c r="B77" s="87"/>
      <c r="C77" s="62"/>
      <c r="D77" s="63" t="s">
        <v>455</v>
      </c>
      <c r="E77" s="104"/>
      <c r="F77" s="103"/>
      <c r="G77" s="103"/>
      <c r="H77" s="103"/>
      <c r="I77" s="103" t="s">
        <v>462</v>
      </c>
      <c r="J77" s="360"/>
      <c r="K77" s="105"/>
      <c r="L77" s="1290" t="s">
        <v>461</v>
      </c>
      <c r="M77" s="1291"/>
      <c r="N77" s="1291"/>
      <c r="O77" s="1291"/>
      <c r="P77" s="1291"/>
      <c r="Q77" s="1291"/>
      <c r="R77" s="1291"/>
      <c r="S77" s="1291"/>
      <c r="T77" s="1292"/>
      <c r="U77" s="209"/>
      <c r="V77" s="210"/>
      <c r="W77" s="210"/>
      <c r="X77" s="210"/>
      <c r="Y77" s="210"/>
      <c r="Z77" s="210"/>
      <c r="AA77" s="210"/>
      <c r="AB77" s="210"/>
      <c r="AC77" s="210"/>
      <c r="AD77" s="210"/>
      <c r="AE77" s="210"/>
      <c r="AF77" s="209"/>
      <c r="AG77" s="210"/>
      <c r="AH77" s="209"/>
      <c r="AI77" s="210"/>
      <c r="AJ77" s="211"/>
      <c r="AK77" s="64"/>
      <c r="AL77" s="64"/>
    </row>
    <row r="78" spans="1:38" ht="37" customHeight="1" thickBot="1">
      <c r="B78" s="86"/>
      <c r="C78" s="89" t="s">
        <v>101</v>
      </c>
      <c r="D78" s="90"/>
      <c r="E78" s="91"/>
      <c r="F78" s="92"/>
      <c r="G78" s="93"/>
      <c r="H78" s="93"/>
      <c r="I78" s="94"/>
      <c r="J78" s="93"/>
      <c r="K78" s="94"/>
      <c r="L78" s="838"/>
      <c r="M78" s="839"/>
      <c r="N78" s="839"/>
      <c r="O78" s="839"/>
      <c r="P78" s="839"/>
      <c r="Q78" s="839"/>
      <c r="R78" s="839"/>
      <c r="S78" s="839"/>
      <c r="T78" s="839"/>
      <c r="U78" s="212"/>
      <c r="V78" s="208"/>
      <c r="W78" s="208"/>
      <c r="X78" s="208"/>
      <c r="Y78" s="208"/>
      <c r="Z78" s="208"/>
      <c r="AA78" s="208"/>
      <c r="AB78" s="208"/>
      <c r="AC78" s="208"/>
      <c r="AD78" s="208"/>
      <c r="AE78" s="208"/>
      <c r="AF78" s="209"/>
      <c r="AG78" s="208"/>
      <c r="AH78" s="212"/>
      <c r="AI78" s="208"/>
      <c r="AJ78" s="213"/>
      <c r="AK78" s="60"/>
      <c r="AL78" s="60"/>
    </row>
    <row r="79" spans="1:38" s="39" customFormat="1" ht="57" thickBot="1">
      <c r="A79" s="136"/>
      <c r="B79" s="88"/>
      <c r="C79" s="62"/>
      <c r="D79" s="63" t="s">
        <v>456</v>
      </c>
      <c r="E79" s="104"/>
      <c r="F79" s="103"/>
      <c r="G79" s="103"/>
      <c r="H79" s="103"/>
      <c r="I79" s="103" t="s">
        <v>463</v>
      </c>
      <c r="J79" s="360"/>
      <c r="K79" s="105"/>
      <c r="L79" s="1290" t="s">
        <v>460</v>
      </c>
      <c r="M79" s="1291"/>
      <c r="N79" s="1291"/>
      <c r="O79" s="1291"/>
      <c r="P79" s="1291"/>
      <c r="Q79" s="1291"/>
      <c r="R79" s="1291"/>
      <c r="S79" s="1291"/>
      <c r="T79" s="1292"/>
      <c r="U79" s="209"/>
      <c r="V79" s="210"/>
      <c r="W79" s="210"/>
      <c r="X79" s="210"/>
      <c r="Y79" s="210"/>
      <c r="Z79" s="210"/>
      <c r="AA79" s="210"/>
      <c r="AB79" s="210"/>
      <c r="AC79" s="210"/>
      <c r="AD79" s="210"/>
      <c r="AE79" s="210"/>
      <c r="AF79" s="209"/>
      <c r="AG79" s="210"/>
      <c r="AH79" s="209"/>
      <c r="AI79" s="210"/>
      <c r="AJ79" s="211"/>
      <c r="AK79" s="64"/>
      <c r="AL79" s="64"/>
    </row>
    <row r="80" spans="1:38" s="102" customFormat="1" ht="15" customHeight="1">
      <c r="A80" s="142"/>
      <c r="B80" s="85"/>
      <c r="C80" s="80"/>
      <c r="D80" s="81"/>
      <c r="E80" s="79"/>
      <c r="F80" s="79"/>
      <c r="G80" s="79"/>
      <c r="H80" s="79"/>
      <c r="I80" s="79"/>
      <c r="J80" s="361"/>
      <c r="K80" s="79"/>
      <c r="L80" s="214"/>
      <c r="M80" s="215"/>
      <c r="N80" s="216"/>
      <c r="O80" s="216"/>
      <c r="P80" s="214"/>
      <c r="Q80" s="217"/>
      <c r="R80" s="217"/>
      <c r="S80" s="217"/>
      <c r="T80" s="217"/>
      <c r="U80" s="218"/>
      <c r="V80" s="217"/>
      <c r="W80" s="217"/>
      <c r="X80" s="217"/>
      <c r="Y80" s="217"/>
      <c r="Z80" s="217"/>
      <c r="AA80" s="217"/>
      <c r="AB80" s="217"/>
      <c r="AC80" s="217"/>
      <c r="AD80" s="217"/>
      <c r="AE80" s="217"/>
      <c r="AF80" s="518"/>
      <c r="AG80" s="217"/>
      <c r="AH80" s="218"/>
      <c r="AI80" s="217"/>
      <c r="AJ80" s="219"/>
    </row>
    <row r="81" spans="1:123" s="102" customFormat="1" ht="13">
      <c r="A81" s="142"/>
      <c r="B81" s="85"/>
      <c r="C81" s="99"/>
      <c r="D81" s="100"/>
      <c r="E81" s="101"/>
      <c r="F81" s="101"/>
      <c r="G81" s="101"/>
      <c r="H81" s="101"/>
      <c r="I81" s="101"/>
      <c r="J81" s="362"/>
      <c r="K81" s="85"/>
      <c r="L81" s="214"/>
      <c r="M81" s="215"/>
      <c r="N81" s="216"/>
      <c r="O81" s="216"/>
      <c r="P81" s="214"/>
      <c r="Q81" s="217"/>
      <c r="R81" s="217"/>
      <c r="S81" s="217"/>
      <c r="T81" s="217"/>
      <c r="U81" s="218"/>
      <c r="V81" s="217"/>
      <c r="W81" s="217"/>
      <c r="X81" s="217"/>
      <c r="Y81" s="217"/>
      <c r="Z81" s="217"/>
      <c r="AA81" s="217"/>
      <c r="AB81" s="217"/>
      <c r="AC81" s="217"/>
      <c r="AD81" s="217"/>
      <c r="AE81" s="217"/>
      <c r="AF81" s="518"/>
      <c r="AG81" s="217"/>
      <c r="AH81" s="218"/>
      <c r="AI81" s="217"/>
      <c r="AJ81" s="219"/>
    </row>
    <row r="82" spans="1:123" s="102" customFormat="1" ht="13">
      <c r="A82" s="142"/>
      <c r="B82" s="82"/>
      <c r="C82" s="83"/>
      <c r="D82" s="84"/>
      <c r="E82" s="32"/>
      <c r="F82" s="32"/>
      <c r="G82" s="32"/>
      <c r="H82" s="32"/>
      <c r="I82" s="32"/>
      <c r="J82" s="363"/>
      <c r="K82" s="82"/>
      <c r="L82" s="214"/>
      <c r="M82" s="215"/>
      <c r="N82" s="216"/>
      <c r="O82" s="216"/>
      <c r="P82" s="214"/>
      <c r="Q82" s="217"/>
      <c r="R82" s="217"/>
      <c r="S82" s="217"/>
      <c r="T82" s="217"/>
      <c r="U82" s="218"/>
      <c r="V82" s="217"/>
      <c r="W82" s="217"/>
      <c r="X82" s="217"/>
      <c r="Y82" s="217"/>
      <c r="Z82" s="217"/>
      <c r="AA82" s="217"/>
      <c r="AB82" s="217"/>
      <c r="AC82" s="217"/>
      <c r="AD82" s="217"/>
      <c r="AE82" s="217"/>
      <c r="AF82" s="518"/>
      <c r="AG82" s="217"/>
      <c r="AH82" s="218"/>
      <c r="AI82" s="217"/>
      <c r="AJ82" s="219"/>
    </row>
    <row r="83" spans="1:123" s="53" customFormat="1">
      <c r="A83" s="236"/>
      <c r="B83" s="72" t="s">
        <v>457</v>
      </c>
      <c r="C83" s="30"/>
      <c r="D83" s="30"/>
      <c r="E83" s="65"/>
      <c r="F83" s="30"/>
      <c r="G83" s="30"/>
      <c r="H83" s="30"/>
      <c r="I83" s="30"/>
      <c r="J83" s="65"/>
      <c r="K83" s="30"/>
      <c r="L83" s="220"/>
      <c r="M83" s="220"/>
      <c r="N83" s="220"/>
      <c r="O83" s="220"/>
      <c r="P83" s="220"/>
      <c r="Q83" s="220"/>
      <c r="R83" s="220"/>
      <c r="S83" s="220"/>
      <c r="T83" s="220"/>
      <c r="U83" s="221"/>
      <c r="V83" s="220"/>
      <c r="W83" s="220"/>
      <c r="X83" s="220"/>
      <c r="Y83" s="220"/>
      <c r="Z83" s="220"/>
      <c r="AA83" s="220"/>
      <c r="AB83" s="220"/>
      <c r="AC83" s="220"/>
      <c r="AD83" s="220"/>
      <c r="AE83" s="220"/>
      <c r="AF83" s="519"/>
      <c r="AG83" s="220"/>
      <c r="AH83" s="221"/>
      <c r="AI83" s="220"/>
      <c r="AJ83" s="220"/>
      <c r="AK83" s="30"/>
      <c r="AL83" s="30"/>
    </row>
    <row r="84" spans="1:123" s="53" customFormat="1">
      <c r="A84" s="236"/>
      <c r="B84" s="30"/>
      <c r="C84" s="30"/>
      <c r="D84" s="30"/>
      <c r="E84" s="65"/>
      <c r="F84" s="30"/>
      <c r="G84" s="30"/>
      <c r="H84" s="30"/>
      <c r="I84" s="30"/>
      <c r="J84" s="65"/>
      <c r="K84" s="30"/>
      <c r="L84" s="220"/>
      <c r="M84" s="220"/>
      <c r="N84" s="220"/>
      <c r="O84" s="220"/>
      <c r="P84" s="220"/>
      <c r="Q84" s="220"/>
      <c r="R84" s="220"/>
      <c r="S84" s="220"/>
      <c r="T84" s="220"/>
      <c r="U84" s="221"/>
      <c r="V84" s="220"/>
      <c r="W84" s="220"/>
      <c r="X84" s="220"/>
      <c r="Y84" s="220"/>
      <c r="Z84" s="220"/>
      <c r="AA84" s="220"/>
      <c r="AB84" s="220"/>
      <c r="AC84" s="220"/>
      <c r="AD84" s="220"/>
      <c r="AE84" s="220"/>
      <c r="AF84" s="519"/>
      <c r="AG84" s="220"/>
      <c r="AH84" s="221"/>
      <c r="AI84" s="220"/>
      <c r="AJ84" s="220"/>
      <c r="AK84" s="30"/>
      <c r="AL84" s="30"/>
    </row>
    <row r="85" spans="1:123" s="53" customFormat="1">
      <c r="A85" s="236"/>
      <c r="B85" s="128" t="s">
        <v>467</v>
      </c>
      <c r="C85" s="31"/>
      <c r="D85" s="31"/>
      <c r="E85" s="134"/>
      <c r="F85" s="135"/>
      <c r="G85" s="135"/>
      <c r="H85" s="135"/>
      <c r="I85" s="135"/>
      <c r="J85" s="134"/>
      <c r="K85" s="135"/>
      <c r="L85" s="222"/>
      <c r="M85" s="222"/>
      <c r="N85" s="222"/>
      <c r="O85" s="222"/>
      <c r="P85" s="222"/>
      <c r="Q85" s="222"/>
      <c r="R85" s="222"/>
      <c r="S85" s="222"/>
      <c r="T85" s="222"/>
      <c r="U85" s="223"/>
      <c r="V85" s="222"/>
      <c r="W85" s="222"/>
      <c r="X85" s="222"/>
      <c r="Y85" s="222"/>
      <c r="Z85" s="222"/>
      <c r="AA85" s="222"/>
      <c r="AB85" s="222"/>
      <c r="AC85" s="222"/>
      <c r="AD85" s="222"/>
      <c r="AE85" s="222"/>
      <c r="AF85" s="520"/>
      <c r="AG85" s="222"/>
      <c r="AH85" s="223"/>
      <c r="AI85" s="222"/>
      <c r="AJ85" s="224"/>
      <c r="AK85" s="30"/>
      <c r="AL85" s="30"/>
    </row>
    <row r="86" spans="1:123">
      <c r="B86" s="129" t="s">
        <v>0</v>
      </c>
      <c r="C86" s="73" t="s">
        <v>20</v>
      </c>
      <c r="D86" s="74" t="s">
        <v>17</v>
      </c>
      <c r="E86" s="134"/>
      <c r="F86" s="135"/>
      <c r="G86" s="135"/>
      <c r="H86" s="135"/>
      <c r="I86" s="135"/>
      <c r="J86" s="134"/>
      <c r="K86" s="135"/>
      <c r="L86" s="222"/>
      <c r="M86" s="222"/>
      <c r="N86" s="222"/>
      <c r="O86" s="222"/>
      <c r="P86" s="222"/>
      <c r="Q86" s="222"/>
      <c r="R86" s="222"/>
      <c r="S86" s="222"/>
      <c r="T86" s="222"/>
      <c r="U86" s="223"/>
      <c r="V86" s="222"/>
      <c r="W86" s="222"/>
      <c r="X86" s="222"/>
      <c r="Y86" s="222"/>
      <c r="Z86" s="222"/>
      <c r="AA86" s="222"/>
      <c r="AB86" s="222"/>
      <c r="AC86" s="222"/>
      <c r="AD86" s="222"/>
      <c r="AE86" s="222"/>
      <c r="AF86" s="520"/>
      <c r="AG86" s="222"/>
      <c r="AH86" s="223"/>
      <c r="AI86" s="222"/>
      <c r="AJ86" s="224"/>
    </row>
    <row r="87" spans="1:123" s="30" customFormat="1">
      <c r="A87" s="140"/>
      <c r="B87" s="130" t="s">
        <v>18</v>
      </c>
      <c r="C87" s="75"/>
      <c r="D87" s="75"/>
      <c r="E87" s="134"/>
      <c r="F87" s="135"/>
      <c r="G87" s="135"/>
      <c r="H87" s="135"/>
      <c r="I87" s="135"/>
      <c r="J87" s="134"/>
      <c r="K87" s="135"/>
      <c r="L87" s="222"/>
      <c r="M87" s="222"/>
      <c r="N87" s="222"/>
      <c r="O87" s="222"/>
      <c r="P87" s="222"/>
      <c r="Q87" s="222"/>
      <c r="R87" s="222"/>
      <c r="S87" s="222"/>
      <c r="T87" s="222"/>
      <c r="U87" s="223"/>
      <c r="V87" s="222"/>
      <c r="W87" s="222"/>
      <c r="X87" s="222"/>
      <c r="Y87" s="222"/>
      <c r="Z87" s="222"/>
      <c r="AA87" s="222"/>
      <c r="AB87" s="222"/>
      <c r="AC87" s="222"/>
      <c r="AD87" s="222"/>
      <c r="AE87" s="222"/>
      <c r="AF87" s="520"/>
      <c r="AG87" s="222"/>
      <c r="AH87" s="223"/>
      <c r="AI87" s="222"/>
      <c r="AJ87" s="224"/>
      <c r="AM87" s="61"/>
      <c r="AN87" s="61"/>
      <c r="AO87" s="61"/>
      <c r="AP87" s="61"/>
      <c r="AQ87" s="61"/>
      <c r="AR87" s="61"/>
      <c r="AS87" s="61"/>
      <c r="AT87" s="61"/>
      <c r="AU87" s="61"/>
      <c r="AV87" s="61"/>
      <c r="AW87" s="61"/>
      <c r="AX87" s="61"/>
      <c r="AY87" s="61"/>
      <c r="AZ87" s="61"/>
      <c r="BA87" s="61"/>
      <c r="BB87" s="61"/>
      <c r="BC87" s="61"/>
      <c r="BD87" s="61"/>
      <c r="BE87" s="61"/>
      <c r="BF87" s="61"/>
      <c r="BG87" s="61"/>
      <c r="BH87" s="61"/>
      <c r="BI87" s="61"/>
      <c r="BJ87" s="61"/>
      <c r="BK87" s="61"/>
      <c r="BL87" s="61"/>
      <c r="BM87" s="61"/>
      <c r="BN87" s="61"/>
      <c r="BO87" s="61"/>
      <c r="BP87" s="61"/>
      <c r="BQ87" s="61"/>
      <c r="BR87" s="61"/>
      <c r="BS87" s="61"/>
      <c r="BT87" s="61"/>
      <c r="BU87" s="61"/>
      <c r="BV87" s="61"/>
      <c r="BW87" s="61"/>
      <c r="BX87" s="61"/>
      <c r="BY87" s="61"/>
      <c r="BZ87" s="61"/>
      <c r="CA87" s="61"/>
      <c r="CB87" s="61"/>
      <c r="CC87" s="61"/>
      <c r="CD87" s="61"/>
      <c r="CE87" s="61"/>
      <c r="CF87" s="61"/>
      <c r="CG87" s="61"/>
      <c r="CH87" s="61"/>
      <c r="CI87" s="61"/>
      <c r="CJ87" s="61"/>
      <c r="CK87" s="61"/>
      <c r="CL87" s="61"/>
      <c r="CM87" s="61"/>
      <c r="CN87" s="61"/>
      <c r="CO87" s="61"/>
      <c r="CP87" s="61"/>
      <c r="CQ87" s="61"/>
      <c r="CR87" s="61"/>
      <c r="CS87" s="61"/>
      <c r="CT87" s="61"/>
      <c r="CU87" s="61"/>
      <c r="CV87" s="61"/>
      <c r="CW87" s="61"/>
      <c r="CX87" s="61"/>
      <c r="CY87" s="61"/>
      <c r="CZ87" s="61"/>
      <c r="DA87" s="61"/>
      <c r="DB87" s="61"/>
      <c r="DC87" s="61"/>
      <c r="DD87" s="61"/>
      <c r="DE87" s="61"/>
      <c r="DF87" s="61"/>
      <c r="DG87" s="61"/>
      <c r="DH87" s="61"/>
      <c r="DI87" s="61"/>
      <c r="DJ87" s="61"/>
      <c r="DK87" s="61"/>
      <c r="DL87" s="61"/>
      <c r="DM87" s="61"/>
      <c r="DN87" s="61"/>
      <c r="DO87" s="61"/>
      <c r="DP87" s="61"/>
      <c r="DQ87" s="61"/>
      <c r="DR87" s="61"/>
      <c r="DS87" s="61"/>
    </row>
    <row r="88" spans="1:123" s="30" customFormat="1">
      <c r="A88" s="140"/>
      <c r="B88" s="131" t="s">
        <v>10</v>
      </c>
      <c r="C88" s="29">
        <f>COUNTIFS($U$6:$U$103,"Complete",$A$6:$A$103,"SI")</f>
        <v>0</v>
      </c>
      <c r="D88" s="76">
        <f>(100*(COUNTIFS($U$6:$U$103,"Complete",$A$6:$A$103,"SI")))/COUNTIF($A$6:$A$103,"SI")</f>
        <v>0</v>
      </c>
      <c r="E88" s="134"/>
      <c r="F88" s="135"/>
      <c r="G88" s="135"/>
      <c r="H88" s="135"/>
      <c r="I88" s="135"/>
      <c r="J88" s="134"/>
      <c r="K88" s="135"/>
      <c r="L88" s="222"/>
      <c r="M88" s="222"/>
      <c r="N88" s="222"/>
      <c r="O88" s="222"/>
      <c r="P88" s="222"/>
      <c r="Q88" s="222"/>
      <c r="R88" s="222"/>
      <c r="S88" s="222"/>
      <c r="T88" s="222"/>
      <c r="U88" s="223"/>
      <c r="V88" s="222"/>
      <c r="W88" s="222"/>
      <c r="X88" s="222"/>
      <c r="Y88" s="222"/>
      <c r="Z88" s="222"/>
      <c r="AA88" s="222"/>
      <c r="AB88" s="222"/>
      <c r="AC88" s="222"/>
      <c r="AD88" s="222"/>
      <c r="AE88" s="222"/>
      <c r="AF88" s="520"/>
      <c r="AG88" s="222"/>
      <c r="AH88" s="223"/>
      <c r="AI88" s="222"/>
      <c r="AJ88" s="224"/>
      <c r="AM88" s="61"/>
      <c r="AN88" s="61"/>
      <c r="AO88" s="61"/>
      <c r="AP88" s="61"/>
      <c r="AQ88" s="61"/>
      <c r="AR88" s="61"/>
      <c r="AS88" s="61"/>
      <c r="AT88" s="61"/>
      <c r="AU88" s="61"/>
      <c r="AV88" s="61"/>
      <c r="AW88" s="61"/>
      <c r="AX88" s="61"/>
      <c r="AY88" s="61"/>
      <c r="AZ88" s="61"/>
      <c r="BA88" s="61"/>
      <c r="BB88" s="61"/>
      <c r="BC88" s="61"/>
      <c r="BD88" s="61"/>
      <c r="BE88" s="61"/>
      <c r="BF88" s="61"/>
      <c r="BG88" s="61"/>
      <c r="BH88" s="61"/>
      <c r="BI88" s="61"/>
      <c r="BJ88" s="61"/>
      <c r="BK88" s="61"/>
      <c r="BL88" s="61"/>
      <c r="BM88" s="61"/>
      <c r="BN88" s="61"/>
      <c r="BO88" s="61"/>
      <c r="BP88" s="61"/>
      <c r="BQ88" s="61"/>
      <c r="BR88" s="61"/>
      <c r="BS88" s="61"/>
      <c r="BT88" s="61"/>
      <c r="BU88" s="61"/>
      <c r="BV88" s="61"/>
      <c r="BW88" s="61"/>
      <c r="BX88" s="61"/>
      <c r="BY88" s="61"/>
      <c r="BZ88" s="61"/>
      <c r="CA88" s="61"/>
      <c r="CB88" s="61"/>
      <c r="CC88" s="61"/>
      <c r="CD88" s="61"/>
      <c r="CE88" s="61"/>
      <c r="CF88" s="61"/>
      <c r="CG88" s="61"/>
      <c r="CH88" s="61"/>
      <c r="CI88" s="61"/>
      <c r="CJ88" s="61"/>
      <c r="CK88" s="61"/>
      <c r="CL88" s="61"/>
      <c r="CM88" s="61"/>
      <c r="CN88" s="61"/>
      <c r="CO88" s="61"/>
      <c r="CP88" s="61"/>
      <c r="CQ88" s="61"/>
      <c r="CR88" s="61"/>
      <c r="CS88" s="61"/>
      <c r="CT88" s="61"/>
      <c r="CU88" s="61"/>
      <c r="CV88" s="61"/>
      <c r="CW88" s="61"/>
      <c r="CX88" s="61"/>
      <c r="CY88" s="61"/>
      <c r="CZ88" s="61"/>
      <c r="DA88" s="61"/>
      <c r="DB88" s="61"/>
      <c r="DC88" s="61"/>
      <c r="DD88" s="61"/>
      <c r="DE88" s="61"/>
      <c r="DF88" s="61"/>
      <c r="DG88" s="61"/>
      <c r="DH88" s="61"/>
      <c r="DI88" s="61"/>
      <c r="DJ88" s="61"/>
      <c r="DK88" s="61"/>
      <c r="DL88" s="61"/>
      <c r="DM88" s="61"/>
      <c r="DN88" s="61"/>
      <c r="DO88" s="61"/>
      <c r="DP88" s="61"/>
      <c r="DQ88" s="61"/>
      <c r="DR88" s="61"/>
      <c r="DS88" s="61"/>
    </row>
    <row r="89" spans="1:123" s="30" customFormat="1" ht="16">
      <c r="A89" s="140"/>
      <c r="B89" s="131" t="s">
        <v>11</v>
      </c>
      <c r="C89" s="29">
        <f>COUNTIFS($U$6:$U$103,"Incomplete",$A$6:$A$103,"SI")</f>
        <v>8</v>
      </c>
      <c r="D89" s="76">
        <f>(100*(COUNTIFS($U$6:$U$103,"Incomplete",$A$6:$A$103,"SI")))/COUNTIF($A$6:$A$103,"SI")</f>
        <v>100</v>
      </c>
      <c r="E89" s="134"/>
      <c r="F89" s="135"/>
      <c r="G89" s="135"/>
      <c r="H89" s="135"/>
      <c r="I89" s="135"/>
      <c r="J89" s="134"/>
      <c r="K89" s="135"/>
      <c r="L89" s="222"/>
      <c r="M89" s="222"/>
      <c r="N89" s="222"/>
      <c r="O89" s="222"/>
      <c r="P89" s="222"/>
      <c r="Q89" s="222"/>
      <c r="R89" s="222"/>
      <c r="S89" s="222"/>
      <c r="T89" s="222"/>
      <c r="U89" s="223"/>
      <c r="V89" s="222"/>
      <c r="W89" s="222"/>
      <c r="X89" s="222"/>
      <c r="Y89" s="222"/>
      <c r="Z89" s="222"/>
      <c r="AA89" s="222"/>
      <c r="AB89" s="222"/>
      <c r="AC89" s="222"/>
      <c r="AD89" s="222"/>
      <c r="AE89" s="222"/>
      <c r="AF89" s="520"/>
      <c r="AG89" s="222"/>
      <c r="AH89" s="223"/>
      <c r="AI89" s="222"/>
      <c r="AJ89" s="224"/>
    </row>
    <row r="90" spans="1:123" s="30" customFormat="1" ht="16">
      <c r="A90" s="140"/>
      <c r="B90" s="131" t="s">
        <v>6</v>
      </c>
      <c r="C90" s="29">
        <f>COUNTIFS($U$6:$U$103,"Pending",$A$6:$A$103,"SI")</f>
        <v>0</v>
      </c>
      <c r="D90" s="76">
        <f>(100*(COUNTIFS($U$6:$U$103,"Pending",$A$6:$A$103,"SI")))/COUNTIF($A$6:$A$103,"SI")</f>
        <v>0</v>
      </c>
      <c r="E90" s="134"/>
      <c r="F90" s="135"/>
      <c r="G90" s="135"/>
      <c r="H90" s="135"/>
      <c r="I90" s="135"/>
      <c r="J90" s="134"/>
      <c r="K90" s="135"/>
      <c r="L90" s="222"/>
      <c r="M90" s="222"/>
      <c r="N90" s="222"/>
      <c r="O90" s="222"/>
      <c r="P90" s="222"/>
      <c r="Q90" s="222"/>
      <c r="R90" s="222"/>
      <c r="S90" s="222"/>
      <c r="T90" s="222"/>
      <c r="U90" s="223"/>
      <c r="V90" s="222"/>
      <c r="W90" s="222"/>
      <c r="X90" s="222"/>
      <c r="Y90" s="222"/>
      <c r="Z90" s="222"/>
      <c r="AA90" s="222"/>
      <c r="AB90" s="222"/>
      <c r="AC90" s="222"/>
      <c r="AD90" s="222"/>
      <c r="AE90" s="222"/>
      <c r="AF90" s="520"/>
      <c r="AG90" s="222"/>
      <c r="AH90" s="223"/>
      <c r="AI90" s="222"/>
      <c r="AJ90" s="224"/>
    </row>
    <row r="91" spans="1:123" s="30" customFormat="1" ht="16">
      <c r="A91" s="140"/>
      <c r="B91" s="131" t="s">
        <v>12</v>
      </c>
      <c r="C91" s="29">
        <f>COUNTIFS($U$6:$U$103,"Not available",$A$6:$A$103,"SI")</f>
        <v>0</v>
      </c>
      <c r="D91" s="76">
        <f>(100*(COUNTIFS($U$6:$U$103,"Not available",$A$6:$A$103,"SI")))/COUNTIF($A$6:$A$103,"SI")</f>
        <v>0</v>
      </c>
      <c r="E91" s="134"/>
      <c r="F91" s="135"/>
      <c r="G91" s="135"/>
      <c r="H91" s="135"/>
      <c r="I91" s="135"/>
      <c r="J91" s="134"/>
      <c r="K91" s="135"/>
      <c r="L91" s="222"/>
      <c r="M91" s="222"/>
      <c r="N91" s="222"/>
      <c r="O91" s="222"/>
      <c r="P91" s="222"/>
      <c r="Q91" s="222"/>
      <c r="R91" s="222"/>
      <c r="S91" s="222"/>
      <c r="T91" s="222"/>
      <c r="U91" s="223"/>
      <c r="V91" s="222"/>
      <c r="W91" s="222"/>
      <c r="X91" s="222"/>
      <c r="Y91" s="222"/>
      <c r="Z91" s="222"/>
      <c r="AA91" s="222"/>
      <c r="AB91" s="222"/>
      <c r="AC91" s="222"/>
      <c r="AD91" s="222"/>
      <c r="AE91" s="222"/>
      <c r="AF91" s="520"/>
      <c r="AG91" s="222"/>
      <c r="AH91" s="223"/>
      <c r="AI91" s="222"/>
      <c r="AJ91" s="224"/>
    </row>
    <row r="92" spans="1:123" s="30" customFormat="1" ht="16">
      <c r="A92" s="140"/>
      <c r="B92" s="131" t="s">
        <v>5</v>
      </c>
      <c r="C92" s="29">
        <f>COUNTIFS($U$6:$U$103,"Not applicable",$A$6:$A$103,"SI")</f>
        <v>0</v>
      </c>
      <c r="D92" s="76">
        <f>(100*(COUNTIFS($U$6:$U$103,"Not applicable",$A$6:$A$103,"SI")))/COUNTIF($A$6:$A$103,"SI")</f>
        <v>0</v>
      </c>
      <c r="E92" s="134"/>
      <c r="F92" s="135"/>
      <c r="G92" s="135"/>
      <c r="H92" s="135"/>
      <c r="I92" s="135"/>
      <c r="J92" s="134"/>
      <c r="K92" s="135"/>
      <c r="L92" s="222"/>
      <c r="M92" s="222"/>
      <c r="N92" s="222"/>
      <c r="O92" s="222"/>
      <c r="P92" s="222"/>
      <c r="Q92" s="222"/>
      <c r="R92" s="222"/>
      <c r="S92" s="222"/>
      <c r="T92" s="222"/>
      <c r="U92" s="223"/>
      <c r="V92" s="222"/>
      <c r="W92" s="222"/>
      <c r="X92" s="222"/>
      <c r="Y92" s="222"/>
      <c r="Z92" s="222"/>
      <c r="AA92" s="222"/>
      <c r="AB92" s="222"/>
      <c r="AC92" s="222"/>
      <c r="AD92" s="222"/>
      <c r="AE92" s="222"/>
      <c r="AF92" s="520"/>
      <c r="AG92" s="222"/>
      <c r="AH92" s="223"/>
      <c r="AI92" s="222"/>
      <c r="AJ92" s="224"/>
    </row>
    <row r="93" spans="1:123" s="30" customFormat="1" ht="16">
      <c r="A93" s="140"/>
      <c r="B93" s="131" t="s">
        <v>7</v>
      </c>
      <c r="C93" s="29">
        <f>COUNTIFS($U$6:$U$103,"Alternative",$A$6:$A$103,"SI")</f>
        <v>0</v>
      </c>
      <c r="D93" s="76">
        <f>(100*(COUNTIFS($U$6:$U$103,"Alternative",$A$6:$A$103,"SI")))/COUNTIF($A$6:$A$103,"SI")</f>
        <v>0</v>
      </c>
      <c r="E93" s="134"/>
      <c r="F93" s="135"/>
      <c r="G93" s="135"/>
      <c r="H93" s="135"/>
      <c r="I93" s="135"/>
      <c r="J93" s="134"/>
      <c r="K93" s="135"/>
      <c r="L93" s="222"/>
      <c r="M93" s="222"/>
      <c r="N93" s="222"/>
      <c r="O93" s="222"/>
      <c r="P93" s="222"/>
      <c r="Q93" s="222"/>
      <c r="R93" s="222"/>
      <c r="S93" s="222"/>
      <c r="T93" s="222"/>
      <c r="U93" s="223"/>
      <c r="V93" s="222"/>
      <c r="W93" s="222"/>
      <c r="X93" s="222"/>
      <c r="Y93" s="222"/>
      <c r="Z93" s="222"/>
      <c r="AA93" s="222"/>
      <c r="AB93" s="222"/>
      <c r="AC93" s="222"/>
      <c r="AD93" s="222"/>
      <c r="AE93" s="222"/>
      <c r="AF93" s="520"/>
      <c r="AG93" s="222"/>
      <c r="AH93" s="223"/>
      <c r="AI93" s="222"/>
      <c r="AJ93" s="224"/>
    </row>
    <row r="94" spans="1:123" s="30" customFormat="1" ht="16">
      <c r="A94" s="140"/>
      <c r="B94" s="130" t="s">
        <v>19</v>
      </c>
      <c r="C94" s="75"/>
      <c r="D94" s="75"/>
      <c r="E94" s="134"/>
      <c r="F94" s="135"/>
      <c r="G94" s="135"/>
      <c r="H94" s="135"/>
      <c r="I94" s="135"/>
      <c r="J94" s="134"/>
      <c r="K94" s="135"/>
      <c r="L94" s="222"/>
      <c r="M94" s="222"/>
      <c r="N94" s="222"/>
      <c r="O94" s="222"/>
      <c r="P94" s="222"/>
      <c r="Q94" s="222"/>
      <c r="R94" s="222"/>
      <c r="S94" s="222"/>
      <c r="T94" s="222"/>
      <c r="U94" s="223"/>
      <c r="V94" s="222"/>
      <c r="W94" s="222"/>
      <c r="X94" s="222"/>
      <c r="Y94" s="222"/>
      <c r="Z94" s="222"/>
      <c r="AA94" s="222"/>
      <c r="AB94" s="222"/>
      <c r="AC94" s="222"/>
      <c r="AD94" s="222"/>
      <c r="AE94" s="222"/>
      <c r="AF94" s="520"/>
      <c r="AG94" s="222"/>
      <c r="AH94" s="223"/>
      <c r="AI94" s="222"/>
      <c r="AJ94" s="224"/>
    </row>
    <row r="95" spans="1:123" s="30" customFormat="1" ht="16">
      <c r="A95" s="140"/>
      <c r="B95" s="131" t="s">
        <v>10</v>
      </c>
      <c r="C95" s="29">
        <f>COUNTIFS($U$6:$U$103,"Complete",$A$6:$A$103,"RQ")</f>
        <v>0</v>
      </c>
      <c r="D95" s="76">
        <f>(100*(COUNTIFS($U$6:$U$103,"Complete",$A$6:$A$103,"RQ")))/COUNTIF($A$6:$A$103,"RQ")</f>
        <v>0</v>
      </c>
      <c r="E95" s="134"/>
      <c r="F95" s="135"/>
      <c r="G95" s="135"/>
      <c r="H95" s="135"/>
      <c r="I95" s="135"/>
      <c r="J95" s="134"/>
      <c r="K95" s="135"/>
      <c r="L95" s="222"/>
      <c r="M95" s="222"/>
      <c r="N95" s="222"/>
      <c r="O95" s="222"/>
      <c r="P95" s="222"/>
      <c r="Q95" s="222"/>
      <c r="R95" s="222"/>
      <c r="S95" s="222"/>
      <c r="T95" s="222"/>
      <c r="U95" s="223"/>
      <c r="V95" s="222"/>
      <c r="W95" s="222"/>
      <c r="X95" s="222"/>
      <c r="Y95" s="222"/>
      <c r="Z95" s="222"/>
      <c r="AA95" s="222"/>
      <c r="AB95" s="222"/>
      <c r="AC95" s="222"/>
      <c r="AD95" s="222"/>
      <c r="AE95" s="222"/>
      <c r="AF95" s="520"/>
      <c r="AG95" s="222"/>
      <c r="AH95" s="223"/>
      <c r="AI95" s="222"/>
      <c r="AJ95" s="224"/>
    </row>
    <row r="96" spans="1:123" s="30" customFormat="1" ht="16">
      <c r="A96" s="140"/>
      <c r="B96" s="131" t="s">
        <v>11</v>
      </c>
      <c r="C96" s="29">
        <f>COUNTIFS($U$5:$U$103,"Incomplete",$A$5:$A$103,"RQ")</f>
        <v>4</v>
      </c>
      <c r="D96" s="76">
        <f>(100*(COUNTIFS($U$6:$U$103,"Incomplete",$A$6:$A$103,"RQ")))/COUNTIF($A$6:$A$103,"RQ")</f>
        <v>100</v>
      </c>
      <c r="E96" s="134"/>
      <c r="F96" s="135"/>
      <c r="G96" s="135"/>
      <c r="H96" s="135"/>
      <c r="I96" s="135"/>
      <c r="J96" s="134"/>
      <c r="K96" s="135"/>
      <c r="L96" s="222"/>
      <c r="M96" s="222"/>
      <c r="N96" s="222"/>
      <c r="O96" s="222"/>
      <c r="P96" s="222"/>
      <c r="Q96" s="222"/>
      <c r="R96" s="222"/>
      <c r="S96" s="222"/>
      <c r="T96" s="222"/>
      <c r="U96" s="223"/>
      <c r="V96" s="222"/>
      <c r="W96" s="222"/>
      <c r="X96" s="222"/>
      <c r="Y96" s="222"/>
      <c r="Z96" s="222"/>
      <c r="AA96" s="222"/>
      <c r="AB96" s="222"/>
      <c r="AC96" s="222"/>
      <c r="AD96" s="222"/>
      <c r="AE96" s="222"/>
      <c r="AF96" s="520"/>
      <c r="AG96" s="222"/>
      <c r="AH96" s="223"/>
      <c r="AI96" s="222"/>
      <c r="AJ96" s="224"/>
    </row>
    <row r="97" spans="1:36" s="30" customFormat="1" ht="16">
      <c r="A97" s="140"/>
      <c r="B97" s="131" t="s">
        <v>6</v>
      </c>
      <c r="C97" s="29">
        <f>COUNTIFS($U$5:$U$103,"Pending",$A$5:$A$103,"RQ")</f>
        <v>0</v>
      </c>
      <c r="D97" s="76">
        <f>(100*(COUNTIFS($U$6:$U$103,"Pending",$A$6:$A$103,"RQ")))/COUNTIF($A$6:$A$103,"RQ")</f>
        <v>0</v>
      </c>
      <c r="E97" s="134"/>
      <c r="F97" s="135"/>
      <c r="G97" s="135"/>
      <c r="H97" s="135"/>
      <c r="I97" s="135"/>
      <c r="J97" s="134"/>
      <c r="K97" s="135"/>
      <c r="L97" s="222"/>
      <c r="M97" s="222"/>
      <c r="N97" s="222"/>
      <c r="O97" s="222"/>
      <c r="P97" s="222"/>
      <c r="Q97" s="222"/>
      <c r="R97" s="222"/>
      <c r="S97" s="222"/>
      <c r="T97" s="222"/>
      <c r="U97" s="223"/>
      <c r="V97" s="222"/>
      <c r="W97" s="222"/>
      <c r="X97" s="222"/>
      <c r="Y97" s="222"/>
      <c r="Z97" s="222"/>
      <c r="AA97" s="222"/>
      <c r="AB97" s="222"/>
      <c r="AC97" s="222"/>
      <c r="AD97" s="222"/>
      <c r="AE97" s="222"/>
      <c r="AF97" s="520"/>
      <c r="AG97" s="222"/>
      <c r="AH97" s="223"/>
      <c r="AI97" s="222"/>
      <c r="AJ97" s="224"/>
    </row>
    <row r="98" spans="1:36" s="30" customFormat="1" ht="16">
      <c r="A98" s="140"/>
      <c r="B98" s="131" t="s">
        <v>12</v>
      </c>
      <c r="C98" s="29">
        <f>COUNTIFS($U$6:$U$103,"Not available",$A$6:$A$103,"RQ")</f>
        <v>0</v>
      </c>
      <c r="D98" s="76">
        <f>(100*(COUNTIFS($U$6:$U$103,"Not available",$A$6:$A$103,"RQ")))/COUNTIF($A$6:$A$103,"RQ")</f>
        <v>0</v>
      </c>
      <c r="E98" s="134"/>
      <c r="F98" s="135"/>
      <c r="G98" s="135"/>
      <c r="H98" s="135"/>
      <c r="I98" s="135"/>
      <c r="J98" s="134"/>
      <c r="K98" s="135"/>
      <c r="L98" s="222"/>
      <c r="M98" s="222"/>
      <c r="N98" s="222"/>
      <c r="O98" s="222"/>
      <c r="P98" s="222"/>
      <c r="Q98" s="222"/>
      <c r="R98" s="222"/>
      <c r="S98" s="222"/>
      <c r="T98" s="222"/>
      <c r="U98" s="223"/>
      <c r="V98" s="222"/>
      <c r="W98" s="222"/>
      <c r="X98" s="222"/>
      <c r="Y98" s="222"/>
      <c r="Z98" s="222"/>
      <c r="AA98" s="222"/>
      <c r="AB98" s="222"/>
      <c r="AC98" s="222"/>
      <c r="AD98" s="222"/>
      <c r="AE98" s="222"/>
      <c r="AF98" s="520"/>
      <c r="AG98" s="222"/>
      <c r="AH98" s="223"/>
      <c r="AI98" s="222"/>
      <c r="AJ98" s="224"/>
    </row>
    <row r="99" spans="1:36" s="30" customFormat="1" ht="16">
      <c r="A99" s="140"/>
      <c r="B99" s="131" t="s">
        <v>5</v>
      </c>
      <c r="C99" s="29">
        <f>COUNTIFS($D$6:$D$103,"Not applicable",$A$6:$A$103,"RQ")</f>
        <v>0</v>
      </c>
      <c r="D99" s="76">
        <f>(100*(COUNTIFS($U$6:$U$103,"Not applicable",$A$6:$A$103,"RQ")))/COUNTIF($A$6:$A$103,"RQ")</f>
        <v>0</v>
      </c>
      <c r="E99" s="134"/>
      <c r="F99" s="135"/>
      <c r="G99" s="135"/>
      <c r="H99" s="135"/>
      <c r="I99" s="135"/>
      <c r="J99" s="134"/>
      <c r="K99" s="135"/>
      <c r="L99" s="222"/>
      <c r="M99" s="222"/>
      <c r="N99" s="222"/>
      <c r="O99" s="222"/>
      <c r="P99" s="222"/>
      <c r="Q99" s="222"/>
      <c r="R99" s="222"/>
      <c r="S99" s="222"/>
      <c r="T99" s="222"/>
      <c r="U99" s="223"/>
      <c r="V99" s="222"/>
      <c r="W99" s="222"/>
      <c r="X99" s="222"/>
      <c r="Y99" s="222"/>
      <c r="Z99" s="222"/>
      <c r="AA99" s="222"/>
      <c r="AB99" s="222"/>
      <c r="AC99" s="222"/>
      <c r="AD99" s="222"/>
      <c r="AE99" s="222"/>
      <c r="AF99" s="520"/>
      <c r="AG99" s="222"/>
      <c r="AH99" s="223"/>
      <c r="AI99" s="222"/>
      <c r="AJ99" s="224"/>
    </row>
    <row r="100" spans="1:36" s="30" customFormat="1" ht="16">
      <c r="A100" s="140"/>
      <c r="B100" s="131" t="s">
        <v>7</v>
      </c>
      <c r="C100" s="29">
        <f>COUNTIFS($U$6:$U$103,"Alternative",$A$6:$A$103,"RQ")</f>
        <v>0</v>
      </c>
      <c r="D100" s="76">
        <f>(100*(COUNTIFS($U$6:$U$103,"Alternative",$A$6:$A$103,"RQ")))/COUNTIF($A$6:$A$103,"RQ")</f>
        <v>0</v>
      </c>
      <c r="E100" s="134"/>
      <c r="F100" s="135"/>
      <c r="G100" s="135"/>
      <c r="H100" s="135"/>
      <c r="I100" s="135"/>
      <c r="J100" s="134"/>
      <c r="K100" s="135"/>
      <c r="L100" s="222"/>
      <c r="M100" s="222"/>
      <c r="N100" s="222"/>
      <c r="O100" s="222"/>
      <c r="P100" s="222"/>
      <c r="Q100" s="222"/>
      <c r="R100" s="222"/>
      <c r="S100" s="222"/>
      <c r="T100" s="222"/>
      <c r="U100" s="223"/>
      <c r="V100" s="222"/>
      <c r="W100" s="222"/>
      <c r="X100" s="222"/>
      <c r="Y100" s="222"/>
      <c r="Z100" s="222"/>
      <c r="AA100" s="222"/>
      <c r="AB100" s="222"/>
      <c r="AC100" s="222"/>
      <c r="AD100" s="222"/>
      <c r="AE100" s="222"/>
      <c r="AF100" s="520"/>
      <c r="AG100" s="222"/>
      <c r="AH100" s="223"/>
      <c r="AI100" s="222"/>
      <c r="AJ100" s="224"/>
    </row>
    <row r="101" spans="1:36" s="30" customFormat="1" ht="16">
      <c r="A101" s="140"/>
      <c r="B101" s="130" t="s">
        <v>22</v>
      </c>
      <c r="C101" s="75"/>
      <c r="D101" s="75"/>
      <c r="E101" s="134"/>
      <c r="F101" s="135"/>
      <c r="G101" s="135"/>
      <c r="H101" s="135"/>
      <c r="I101" s="135"/>
      <c r="J101" s="134"/>
      <c r="K101" s="135"/>
      <c r="L101" s="222"/>
      <c r="M101" s="222"/>
      <c r="N101" s="222"/>
      <c r="O101" s="222"/>
      <c r="P101" s="222"/>
      <c r="Q101" s="222"/>
      <c r="R101" s="222"/>
      <c r="S101" s="222"/>
      <c r="T101" s="222"/>
      <c r="U101" s="223"/>
      <c r="V101" s="222"/>
      <c r="W101" s="222"/>
      <c r="X101" s="222"/>
      <c r="Y101" s="222"/>
      <c r="Z101" s="222"/>
      <c r="AA101" s="222"/>
      <c r="AB101" s="222"/>
      <c r="AC101" s="222"/>
      <c r="AD101" s="222"/>
      <c r="AE101" s="222"/>
      <c r="AF101" s="520"/>
      <c r="AG101" s="222"/>
      <c r="AH101" s="223"/>
      <c r="AI101" s="222"/>
      <c r="AJ101" s="224"/>
    </row>
    <row r="102" spans="1:36" s="30" customFormat="1" ht="16">
      <c r="A102" s="140"/>
      <c r="B102" s="131" t="s">
        <v>10</v>
      </c>
      <c r="C102" s="29">
        <f>COUNTIF($U$6:$U$103,"Complete")</f>
        <v>0</v>
      </c>
      <c r="D102" s="76">
        <f t="shared" ref="D102:D107" si="0">(C102/(COUNTIF($A$6:$A$103,"SI")+COUNTIFS($A$6:$A$103,"RQ"))*100)</f>
        <v>0</v>
      </c>
      <c r="E102" s="134"/>
      <c r="F102" s="135"/>
      <c r="G102" s="135"/>
      <c r="H102" s="135"/>
      <c r="I102" s="135"/>
      <c r="J102" s="134"/>
      <c r="K102" s="135"/>
      <c r="L102" s="222"/>
      <c r="M102" s="222"/>
      <c r="N102" s="222"/>
      <c r="O102" s="222"/>
      <c r="P102" s="222"/>
      <c r="Q102" s="222"/>
      <c r="R102" s="222"/>
      <c r="S102" s="222"/>
      <c r="T102" s="222"/>
      <c r="U102" s="223"/>
      <c r="V102" s="222"/>
      <c r="W102" s="222"/>
      <c r="X102" s="222"/>
      <c r="Y102" s="222"/>
      <c r="Z102" s="222"/>
      <c r="AA102" s="222"/>
      <c r="AB102" s="222"/>
      <c r="AC102" s="222"/>
      <c r="AD102" s="222"/>
      <c r="AE102" s="222"/>
      <c r="AF102" s="520"/>
      <c r="AG102" s="222"/>
      <c r="AH102" s="223"/>
      <c r="AI102" s="222"/>
      <c r="AJ102" s="224"/>
    </row>
    <row r="103" spans="1:36" s="30" customFormat="1" ht="16">
      <c r="A103" s="140"/>
      <c r="B103" s="131" t="s">
        <v>11</v>
      </c>
      <c r="C103" s="29">
        <f>COUNTIF($U$6:$U$103,"Incomplete")</f>
        <v>12</v>
      </c>
      <c r="D103" s="76">
        <f t="shared" si="0"/>
        <v>100</v>
      </c>
      <c r="E103" s="134"/>
      <c r="F103" s="135"/>
      <c r="G103" s="135"/>
      <c r="H103" s="135"/>
      <c r="I103" s="135"/>
      <c r="J103" s="134"/>
      <c r="K103" s="135"/>
      <c r="L103" s="222"/>
      <c r="M103" s="222"/>
      <c r="N103" s="222"/>
      <c r="O103" s="222"/>
      <c r="P103" s="222"/>
      <c r="Q103" s="222"/>
      <c r="R103" s="222"/>
      <c r="S103" s="222"/>
      <c r="T103" s="222"/>
      <c r="U103" s="223"/>
      <c r="V103" s="222"/>
      <c r="W103" s="222"/>
      <c r="X103" s="222"/>
      <c r="Y103" s="222"/>
      <c r="Z103" s="222"/>
      <c r="AA103" s="222"/>
      <c r="AB103" s="222"/>
      <c r="AC103" s="222"/>
      <c r="AD103" s="222"/>
      <c r="AE103" s="222"/>
      <c r="AF103" s="520"/>
      <c r="AG103" s="222"/>
      <c r="AH103" s="223"/>
      <c r="AI103" s="222"/>
      <c r="AJ103" s="224"/>
    </row>
    <row r="104" spans="1:36" s="30" customFormat="1" ht="16">
      <c r="A104" s="140"/>
      <c r="B104" s="131" t="s">
        <v>6</v>
      </c>
      <c r="C104" s="29">
        <f>COUNTIF($D$6:$D$103,"Pending")</f>
        <v>0</v>
      </c>
      <c r="D104" s="76">
        <f t="shared" si="0"/>
        <v>0</v>
      </c>
      <c r="E104" s="134"/>
      <c r="F104" s="135"/>
      <c r="G104" s="135"/>
      <c r="H104" s="135"/>
      <c r="I104" s="135"/>
      <c r="J104" s="134"/>
      <c r="K104" s="135"/>
      <c r="L104" s="222"/>
      <c r="M104" s="222"/>
      <c r="N104" s="222"/>
      <c r="O104" s="222"/>
      <c r="P104" s="222"/>
      <c r="Q104" s="222"/>
      <c r="R104" s="222"/>
      <c r="S104" s="222"/>
      <c r="T104" s="222"/>
      <c r="U104" s="223"/>
      <c r="V104" s="222"/>
      <c r="W104" s="222"/>
      <c r="X104" s="222"/>
      <c r="Y104" s="222"/>
      <c r="Z104" s="222"/>
      <c r="AA104" s="222"/>
      <c r="AB104" s="222"/>
      <c r="AC104" s="222"/>
      <c r="AD104" s="222"/>
      <c r="AE104" s="222"/>
      <c r="AF104" s="520"/>
      <c r="AG104" s="222"/>
      <c r="AH104" s="223"/>
      <c r="AI104" s="222"/>
      <c r="AJ104" s="224"/>
    </row>
    <row r="105" spans="1:36" s="30" customFormat="1" ht="16">
      <c r="A105" s="140"/>
      <c r="B105" s="131" t="s">
        <v>12</v>
      </c>
      <c r="C105" s="29">
        <f>COUNTIF($U$6:$U$103,"Not available")</f>
        <v>0</v>
      </c>
      <c r="D105" s="76">
        <f t="shared" si="0"/>
        <v>0</v>
      </c>
      <c r="E105" s="134"/>
      <c r="F105" s="135"/>
      <c r="G105" s="135"/>
      <c r="H105" s="135"/>
      <c r="I105" s="135"/>
      <c r="J105" s="134"/>
      <c r="K105" s="135"/>
      <c r="L105" s="222"/>
      <c r="M105" s="222"/>
      <c r="N105" s="222"/>
      <c r="O105" s="222"/>
      <c r="P105" s="222"/>
      <c r="Q105" s="222"/>
      <c r="R105" s="222"/>
      <c r="S105" s="222"/>
      <c r="T105" s="222"/>
      <c r="U105" s="223"/>
      <c r="V105" s="222"/>
      <c r="W105" s="222"/>
      <c r="X105" s="222"/>
      <c r="Y105" s="222"/>
      <c r="Z105" s="222"/>
      <c r="AA105" s="222"/>
      <c r="AB105" s="222"/>
      <c r="AC105" s="222"/>
      <c r="AD105" s="222"/>
      <c r="AE105" s="222"/>
      <c r="AF105" s="520"/>
      <c r="AG105" s="222"/>
      <c r="AH105" s="223"/>
      <c r="AI105" s="222"/>
      <c r="AJ105" s="224"/>
    </row>
    <row r="106" spans="1:36" s="30" customFormat="1" ht="16">
      <c r="A106" s="140"/>
      <c r="B106" s="131" t="s">
        <v>5</v>
      </c>
      <c r="C106" s="29">
        <f>COUNTIF($D$6:$D$103,"Not applicable")</f>
        <v>0</v>
      </c>
      <c r="D106" s="76">
        <f t="shared" si="0"/>
        <v>0</v>
      </c>
      <c r="E106" s="134"/>
      <c r="F106" s="135"/>
      <c r="G106" s="135"/>
      <c r="H106" s="135"/>
      <c r="I106" s="135"/>
      <c r="J106" s="134"/>
      <c r="K106" s="135"/>
      <c r="L106" s="222"/>
      <c r="M106" s="222"/>
      <c r="N106" s="222"/>
      <c r="O106" s="222"/>
      <c r="P106" s="222"/>
      <c r="Q106" s="222"/>
      <c r="R106" s="222"/>
      <c r="S106" s="222"/>
      <c r="T106" s="222"/>
      <c r="U106" s="223"/>
      <c r="V106" s="222"/>
      <c r="W106" s="222"/>
      <c r="X106" s="222"/>
      <c r="Y106" s="222"/>
      <c r="Z106" s="222"/>
      <c r="AA106" s="222"/>
      <c r="AB106" s="222"/>
      <c r="AC106" s="222"/>
      <c r="AD106" s="222"/>
      <c r="AE106" s="222"/>
      <c r="AF106" s="520"/>
      <c r="AG106" s="222"/>
      <c r="AH106" s="223"/>
      <c r="AI106" s="222"/>
      <c r="AJ106" s="224"/>
    </row>
    <row r="107" spans="1:36" s="30" customFormat="1" ht="16">
      <c r="A107" s="140"/>
      <c r="B107" s="131" t="s">
        <v>7</v>
      </c>
      <c r="C107" s="29">
        <f>COUNTIF($U$6:$U$103,"Alternative")</f>
        <v>0</v>
      </c>
      <c r="D107" s="76">
        <f t="shared" si="0"/>
        <v>0</v>
      </c>
      <c r="E107" s="134"/>
      <c r="F107" s="135"/>
      <c r="G107" s="135"/>
      <c r="H107" s="135"/>
      <c r="I107" s="135"/>
      <c r="J107" s="134"/>
      <c r="K107" s="135"/>
      <c r="L107" s="222"/>
      <c r="M107" s="222"/>
      <c r="N107" s="222"/>
      <c r="O107" s="222"/>
      <c r="P107" s="222"/>
      <c r="Q107" s="222"/>
      <c r="R107" s="222"/>
      <c r="S107" s="222"/>
      <c r="T107" s="222"/>
      <c r="U107" s="223"/>
      <c r="V107" s="222"/>
      <c r="W107" s="222"/>
      <c r="X107" s="222"/>
      <c r="Y107" s="222"/>
      <c r="Z107" s="222"/>
      <c r="AA107" s="222"/>
      <c r="AB107" s="222"/>
      <c r="AC107" s="222"/>
      <c r="AD107" s="222"/>
      <c r="AE107" s="222"/>
      <c r="AF107" s="520"/>
      <c r="AG107" s="222"/>
      <c r="AH107" s="223"/>
      <c r="AI107" s="222"/>
      <c r="AJ107" s="224"/>
    </row>
    <row r="108" spans="1:36" s="30" customFormat="1" ht="16">
      <c r="A108" s="140"/>
      <c r="B108" s="132"/>
      <c r="C108" s="108"/>
      <c r="D108" s="108"/>
      <c r="E108" s="134"/>
      <c r="F108" s="135"/>
      <c r="G108" s="135"/>
      <c r="H108" s="135"/>
      <c r="I108" s="135"/>
      <c r="J108" s="134"/>
      <c r="K108" s="135"/>
      <c r="L108" s="222"/>
      <c r="M108" s="222"/>
      <c r="N108" s="222"/>
      <c r="O108" s="222"/>
      <c r="P108" s="222"/>
      <c r="Q108" s="222"/>
      <c r="R108" s="222"/>
      <c r="S108" s="222"/>
      <c r="T108" s="222"/>
      <c r="U108" s="223"/>
      <c r="V108" s="222"/>
      <c r="W108" s="222"/>
      <c r="X108" s="222"/>
      <c r="Y108" s="222"/>
      <c r="Z108" s="222"/>
      <c r="AA108" s="222"/>
      <c r="AB108" s="222"/>
      <c r="AC108" s="222"/>
      <c r="AD108" s="222"/>
      <c r="AE108" s="222"/>
      <c r="AF108" s="520"/>
      <c r="AG108" s="222"/>
      <c r="AH108" s="223"/>
      <c r="AI108" s="222"/>
      <c r="AJ108" s="224"/>
    </row>
    <row r="110" spans="1:36" s="30" customFormat="1" ht="16">
      <c r="A110" s="140"/>
      <c r="B110" s="128" t="s">
        <v>40</v>
      </c>
      <c r="C110" s="31"/>
      <c r="D110" s="31"/>
      <c r="E110" s="134"/>
      <c r="F110" s="135"/>
      <c r="G110" s="135"/>
      <c r="H110" s="135"/>
      <c r="I110" s="135"/>
      <c r="J110" s="134"/>
      <c r="K110" s="135"/>
      <c r="L110" s="222"/>
      <c r="M110" s="222"/>
      <c r="N110" s="222"/>
      <c r="O110" s="222"/>
      <c r="P110" s="222"/>
      <c r="Q110" s="222"/>
      <c r="R110" s="222"/>
      <c r="S110" s="222"/>
      <c r="T110" s="222"/>
      <c r="U110" s="223"/>
      <c r="V110" s="222"/>
      <c r="W110" s="222"/>
      <c r="X110" s="222"/>
      <c r="Y110" s="222"/>
      <c r="Z110" s="222"/>
      <c r="AA110" s="222"/>
      <c r="AB110" s="222"/>
      <c r="AC110" s="222"/>
      <c r="AD110" s="222"/>
      <c r="AE110" s="222"/>
      <c r="AF110" s="520"/>
      <c r="AG110" s="222"/>
      <c r="AH110" s="223"/>
      <c r="AI110" s="222"/>
      <c r="AJ110" s="224"/>
    </row>
    <row r="111" spans="1:36" s="30" customFormat="1" ht="16">
      <c r="A111" s="140"/>
      <c r="B111" s="129" t="s">
        <v>0</v>
      </c>
      <c r="C111" s="73" t="s">
        <v>20</v>
      </c>
      <c r="D111" s="74" t="s">
        <v>17</v>
      </c>
      <c r="E111" s="134"/>
      <c r="F111" s="135"/>
      <c r="G111" s="135"/>
      <c r="H111" s="135"/>
      <c r="I111" s="135"/>
      <c r="J111" s="134"/>
      <c r="K111" s="135"/>
      <c r="L111" s="222"/>
      <c r="M111" s="222"/>
      <c r="N111" s="222"/>
      <c r="O111" s="222"/>
      <c r="P111" s="222"/>
      <c r="Q111" s="222"/>
      <c r="R111" s="222"/>
      <c r="S111" s="222"/>
      <c r="T111" s="222"/>
      <c r="U111" s="223"/>
      <c r="V111" s="222"/>
      <c r="W111" s="222"/>
      <c r="X111" s="222"/>
      <c r="Y111" s="222"/>
      <c r="Z111" s="222"/>
      <c r="AA111" s="222"/>
      <c r="AB111" s="222"/>
      <c r="AC111" s="222"/>
      <c r="AD111" s="222"/>
      <c r="AE111" s="222"/>
      <c r="AF111" s="520"/>
      <c r="AG111" s="222"/>
      <c r="AH111" s="223"/>
      <c r="AI111" s="222"/>
      <c r="AJ111" s="224"/>
    </row>
    <row r="112" spans="1:36" s="30" customFormat="1" ht="16">
      <c r="A112" s="140"/>
      <c r="B112" s="130" t="s">
        <v>18</v>
      </c>
      <c r="C112" s="75"/>
      <c r="D112" s="77"/>
      <c r="E112" s="134"/>
      <c r="F112" s="135"/>
      <c r="G112" s="135"/>
      <c r="H112" s="135"/>
      <c r="I112" s="135"/>
      <c r="J112" s="134"/>
      <c r="K112" s="135"/>
      <c r="L112" s="222"/>
      <c r="M112" s="222"/>
      <c r="N112" s="222"/>
      <c r="O112" s="222"/>
      <c r="P112" s="222"/>
      <c r="Q112" s="222"/>
      <c r="R112" s="222"/>
      <c r="S112" s="222"/>
      <c r="T112" s="222"/>
      <c r="U112" s="223"/>
      <c r="V112" s="222"/>
      <c r="W112" s="222"/>
      <c r="X112" s="222"/>
      <c r="Y112" s="222"/>
      <c r="Z112" s="222"/>
      <c r="AA112" s="222"/>
      <c r="AB112" s="222"/>
      <c r="AC112" s="222"/>
      <c r="AD112" s="222"/>
      <c r="AE112" s="222"/>
      <c r="AF112" s="520"/>
      <c r="AG112" s="222"/>
      <c r="AH112" s="223"/>
      <c r="AI112" s="222"/>
      <c r="AJ112" s="224"/>
    </row>
    <row r="113" spans="1:38" s="30" customFormat="1" ht="16">
      <c r="A113" s="140"/>
      <c r="B113" s="133" t="s">
        <v>41</v>
      </c>
      <c r="C113" s="29">
        <f>COUNTIFS($AH$5:$AH$103,"Green",$A$5:$A$103,"SI")</f>
        <v>0</v>
      </c>
      <c r="D113" s="78">
        <f>(100*(COUNTIFS($AH$6:$AH$103,"Green",$A$6:$A$103,"SI")))/COUNTIF($A$6:$A$103,"SI")</f>
        <v>0</v>
      </c>
      <c r="E113" s="134"/>
      <c r="F113" s="135"/>
      <c r="G113" s="135"/>
      <c r="H113" s="135"/>
      <c r="I113" s="135"/>
      <c r="J113" s="134"/>
      <c r="K113" s="135"/>
      <c r="L113" s="222"/>
      <c r="M113" s="222"/>
      <c r="N113" s="222"/>
      <c r="O113" s="222"/>
      <c r="P113" s="222"/>
      <c r="Q113" s="222"/>
      <c r="R113" s="222"/>
      <c r="S113" s="222"/>
      <c r="T113" s="222"/>
      <c r="U113" s="223"/>
      <c r="V113" s="222"/>
      <c r="W113" s="222"/>
      <c r="X113" s="222"/>
      <c r="Y113" s="222"/>
      <c r="Z113" s="222"/>
      <c r="AA113" s="222"/>
      <c r="AB113" s="222"/>
      <c r="AC113" s="222"/>
      <c r="AD113" s="222"/>
      <c r="AE113" s="222"/>
      <c r="AF113" s="520"/>
      <c r="AG113" s="222"/>
      <c r="AH113" s="223"/>
      <c r="AI113" s="222"/>
      <c r="AJ113" s="224"/>
    </row>
    <row r="114" spans="1:38" s="30" customFormat="1" ht="16">
      <c r="A114" s="140"/>
      <c r="B114" s="133" t="s">
        <v>42</v>
      </c>
      <c r="C114" s="29">
        <f>COUNTIFS($AH$5:$AH$103,"Yellow",$A$5:$A$103,"SI")</f>
        <v>0</v>
      </c>
      <c r="D114" s="78">
        <f>(100*(COUNTIFS($AH$6:$AH$103,"Yellow",$A$6:$A$103,"SI")))/COUNTIF($A$6:$A$103,"SI")</f>
        <v>0</v>
      </c>
      <c r="E114" s="134"/>
      <c r="F114" s="135"/>
      <c r="G114" s="135"/>
      <c r="H114" s="135"/>
      <c r="I114" s="135"/>
      <c r="J114" s="134"/>
      <c r="K114" s="135"/>
      <c r="L114" s="222"/>
      <c r="M114" s="222"/>
      <c r="N114" s="222"/>
      <c r="O114" s="222"/>
      <c r="P114" s="222"/>
      <c r="Q114" s="222"/>
      <c r="R114" s="222"/>
      <c r="S114" s="222"/>
      <c r="T114" s="222"/>
      <c r="U114" s="223"/>
      <c r="V114" s="222"/>
      <c r="W114" s="222"/>
      <c r="X114" s="222"/>
      <c r="Y114" s="222"/>
      <c r="Z114" s="222"/>
      <c r="AA114" s="222"/>
      <c r="AB114" s="222"/>
      <c r="AC114" s="222"/>
      <c r="AD114" s="222"/>
      <c r="AE114" s="222"/>
      <c r="AF114" s="520"/>
      <c r="AG114" s="222"/>
      <c r="AH114" s="223"/>
      <c r="AI114" s="222"/>
      <c r="AJ114" s="224"/>
    </row>
    <row r="115" spans="1:38" s="30" customFormat="1" ht="16">
      <c r="A115" s="140"/>
      <c r="B115" s="133" t="s">
        <v>43</v>
      </c>
      <c r="C115" s="29">
        <f>COUNTIFS($AH$5:$AH$103,"Orange",$A$5:$A$103,"SI")</f>
        <v>0</v>
      </c>
      <c r="D115" s="78">
        <f>(100*(COUNTIFS($AH$6:$AH$103,"Orange",$A$6:$A$103,"SI")))/COUNTIF($A$6:$A$103,"SI")</f>
        <v>0</v>
      </c>
      <c r="E115" s="134"/>
      <c r="F115" s="135"/>
      <c r="G115" s="135"/>
      <c r="H115" s="135"/>
      <c r="I115" s="135"/>
      <c r="J115" s="134"/>
      <c r="K115" s="135"/>
      <c r="L115" s="222"/>
      <c r="M115" s="222"/>
      <c r="N115" s="222"/>
      <c r="O115" s="222"/>
      <c r="P115" s="222"/>
      <c r="Q115" s="222"/>
      <c r="R115" s="222"/>
      <c r="S115" s="222"/>
      <c r="T115" s="222"/>
      <c r="U115" s="223"/>
      <c r="V115" s="222"/>
      <c r="W115" s="222"/>
      <c r="X115" s="222"/>
      <c r="Y115" s="222"/>
      <c r="Z115" s="222"/>
      <c r="AA115" s="222"/>
      <c r="AB115" s="222"/>
      <c r="AC115" s="222"/>
      <c r="AD115" s="222"/>
      <c r="AE115" s="222"/>
      <c r="AF115" s="520"/>
      <c r="AG115" s="222"/>
      <c r="AH115" s="223"/>
      <c r="AI115" s="222"/>
      <c r="AJ115" s="224"/>
    </row>
    <row r="116" spans="1:38" s="30" customFormat="1" ht="16">
      <c r="A116" s="140"/>
      <c r="B116" s="133" t="s">
        <v>44</v>
      </c>
      <c r="C116" s="29">
        <f>COUNTIFS($AH$5:$AH$103,"Red",$A$5:$A$103,"SI")</f>
        <v>2</v>
      </c>
      <c r="D116" s="78">
        <f>(100*(COUNTIFS($AH$6:$AH$103,"Red",$A$6:$A$103,"SI")))/COUNTIF($A$6:$A$103,"SI")</f>
        <v>25</v>
      </c>
      <c r="E116" s="134"/>
      <c r="F116" s="135"/>
      <c r="G116" s="135"/>
      <c r="H116" s="135"/>
      <c r="I116" s="135"/>
      <c r="J116" s="134"/>
      <c r="K116" s="135"/>
      <c r="L116" s="222"/>
      <c r="M116" s="222"/>
      <c r="N116" s="222"/>
      <c r="O116" s="222"/>
      <c r="P116" s="222"/>
      <c r="Q116" s="222"/>
      <c r="R116" s="222"/>
      <c r="S116" s="222"/>
      <c r="T116" s="222"/>
      <c r="U116" s="223"/>
      <c r="V116" s="222"/>
      <c r="W116" s="222"/>
      <c r="X116" s="222"/>
      <c r="Y116" s="222"/>
      <c r="Z116" s="222"/>
      <c r="AA116" s="222"/>
      <c r="AB116" s="222"/>
      <c r="AC116" s="222"/>
      <c r="AD116" s="222"/>
      <c r="AE116" s="222"/>
      <c r="AF116" s="520"/>
      <c r="AG116" s="222"/>
      <c r="AH116" s="223"/>
      <c r="AI116" s="222"/>
      <c r="AJ116" s="224"/>
    </row>
    <row r="117" spans="1:38" s="30" customFormat="1" ht="16">
      <c r="A117" s="140"/>
      <c r="B117" s="133" t="s">
        <v>65</v>
      </c>
      <c r="C117" s="29">
        <f>COUNTIFS($AH$5:$AH$103,"Qualitative",$A$5:$A$103,"SI")</f>
        <v>0</v>
      </c>
      <c r="D117" s="78">
        <f>(100*(COUNTIFS($AH$6:$AH$103,"Qualitative",$A$6:$A$103,"SI")))/COUNTIF($A$6:$A$103,"SI")</f>
        <v>0</v>
      </c>
      <c r="E117" s="134"/>
      <c r="F117" s="135"/>
      <c r="G117" s="135"/>
      <c r="H117" s="135"/>
      <c r="I117" s="135"/>
      <c r="J117" s="134"/>
      <c r="K117" s="135"/>
      <c r="L117" s="222"/>
      <c r="M117" s="222"/>
      <c r="N117" s="222"/>
      <c r="O117" s="222"/>
      <c r="P117" s="222"/>
      <c r="Q117" s="222"/>
      <c r="R117" s="222"/>
      <c r="S117" s="222"/>
      <c r="T117" s="222"/>
      <c r="U117" s="223"/>
      <c r="V117" s="222"/>
      <c r="W117" s="222"/>
      <c r="X117" s="222"/>
      <c r="Y117" s="222"/>
      <c r="Z117" s="222"/>
      <c r="AA117" s="222"/>
      <c r="AB117" s="222"/>
      <c r="AC117" s="222"/>
      <c r="AD117" s="222"/>
      <c r="AE117" s="222"/>
      <c r="AF117" s="520"/>
      <c r="AG117" s="222"/>
      <c r="AH117" s="223"/>
      <c r="AI117" s="222"/>
      <c r="AJ117" s="224"/>
    </row>
    <row r="118" spans="1:38" s="30" customFormat="1" ht="16">
      <c r="A118" s="140"/>
      <c r="B118" s="133" t="s">
        <v>45</v>
      </c>
      <c r="C118" s="29">
        <f>COUNTIFS($AH$5:$AH$103,"Not Available",$A$5:$A$103,"SI")</f>
        <v>0</v>
      </c>
      <c r="D118" s="78">
        <f>(100*(COUNTIFS($AH$6:$AH$103,"Not Available",$A$6:$A$103,"SI")))/COUNTIF($A$6:$A$103,"SI")</f>
        <v>0</v>
      </c>
      <c r="E118" s="134"/>
      <c r="F118" s="135"/>
      <c r="G118" s="135"/>
      <c r="H118" s="135"/>
      <c r="I118" s="135"/>
      <c r="J118" s="134"/>
      <c r="K118" s="135"/>
      <c r="L118" s="222"/>
      <c r="M118" s="222"/>
      <c r="N118" s="222"/>
      <c r="O118" s="222"/>
      <c r="P118" s="222"/>
      <c r="Q118" s="222"/>
      <c r="R118" s="222"/>
      <c r="S118" s="222"/>
      <c r="T118" s="222"/>
      <c r="U118" s="223"/>
      <c r="V118" s="222"/>
      <c r="W118" s="222"/>
      <c r="X118" s="222"/>
      <c r="Y118" s="222"/>
      <c r="Z118" s="222"/>
      <c r="AA118" s="222"/>
      <c r="AB118" s="222"/>
      <c r="AC118" s="222"/>
      <c r="AD118" s="222"/>
      <c r="AE118" s="222"/>
      <c r="AF118" s="520"/>
      <c r="AG118" s="222"/>
      <c r="AH118" s="223"/>
      <c r="AI118" s="222"/>
      <c r="AJ118" s="224"/>
    </row>
    <row r="119" spans="1:38" s="30" customFormat="1" ht="16">
      <c r="A119" s="140"/>
      <c r="B119" s="133" t="s">
        <v>46</v>
      </c>
      <c r="C119" s="29">
        <f>COUNTIFS($AH$5:$AH$103,"Not Applicable",$A$5:$A$103,"SI")</f>
        <v>0</v>
      </c>
      <c r="D119" s="78">
        <f>(100*(COUNTIFS($AH$6:$AH$103,"Not Applicable",$A$6:$A$103,"SI")))/COUNTIF($A$6:$A$103,"SI")</f>
        <v>0</v>
      </c>
      <c r="E119" s="134"/>
      <c r="F119" s="135"/>
      <c r="G119" s="135"/>
      <c r="H119" s="135"/>
      <c r="I119" s="135"/>
      <c r="J119" s="134"/>
      <c r="K119" s="135"/>
      <c r="L119" s="222"/>
      <c r="M119" s="222"/>
      <c r="N119" s="222"/>
      <c r="O119" s="222"/>
      <c r="P119" s="222"/>
      <c r="Q119" s="222"/>
      <c r="R119" s="222"/>
      <c r="S119" s="222"/>
      <c r="T119" s="222"/>
      <c r="U119" s="223"/>
      <c r="V119" s="222"/>
      <c r="W119" s="222"/>
      <c r="X119" s="222"/>
      <c r="Y119" s="222"/>
      <c r="Z119" s="222"/>
      <c r="AA119" s="222"/>
      <c r="AB119" s="222"/>
      <c r="AC119" s="222"/>
      <c r="AD119" s="222"/>
      <c r="AE119" s="222"/>
      <c r="AF119" s="520"/>
      <c r="AG119" s="222"/>
      <c r="AH119" s="223"/>
      <c r="AI119" s="222"/>
      <c r="AJ119" s="224"/>
    </row>
    <row r="120" spans="1:38" s="30" customFormat="1" ht="16">
      <c r="A120" s="140"/>
      <c r="B120" s="132"/>
      <c r="C120" s="31"/>
      <c r="D120" s="31"/>
      <c r="E120" s="134"/>
      <c r="F120" s="135"/>
      <c r="G120" s="135"/>
      <c r="H120" s="135"/>
      <c r="I120" s="135"/>
      <c r="J120" s="134"/>
      <c r="K120" s="135"/>
      <c r="L120" s="222"/>
      <c r="M120" s="222"/>
      <c r="N120" s="222"/>
      <c r="O120" s="222"/>
      <c r="P120" s="222"/>
      <c r="Q120" s="222"/>
      <c r="R120" s="222"/>
      <c r="S120" s="222"/>
      <c r="T120" s="222"/>
      <c r="U120" s="223"/>
      <c r="V120" s="222"/>
      <c r="W120" s="222"/>
      <c r="X120" s="222"/>
      <c r="Y120" s="222"/>
      <c r="Z120" s="222"/>
      <c r="AA120" s="222"/>
      <c r="AB120" s="222"/>
      <c r="AC120" s="222"/>
      <c r="AD120" s="222"/>
      <c r="AE120" s="222"/>
      <c r="AF120" s="520"/>
      <c r="AG120" s="222"/>
      <c r="AH120" s="223"/>
      <c r="AI120" s="222"/>
      <c r="AJ120" s="224"/>
    </row>
    <row r="122" spans="1:38" ht="15" customHeight="1">
      <c r="B122" s="85"/>
      <c r="C122" s="80"/>
      <c r="D122" s="81"/>
      <c r="E122" s="79"/>
      <c r="F122" s="79"/>
      <c r="G122" s="79"/>
      <c r="H122" s="79"/>
      <c r="I122" s="79"/>
      <c r="J122" s="361"/>
      <c r="K122" s="79"/>
      <c r="L122" s="214"/>
      <c r="M122" s="215"/>
      <c r="N122" s="216"/>
      <c r="O122" s="216"/>
      <c r="P122" s="214"/>
      <c r="Q122" s="217"/>
      <c r="R122" s="217"/>
      <c r="S122" s="217"/>
      <c r="T122" s="217"/>
      <c r="U122" s="218"/>
      <c r="V122" s="217"/>
      <c r="W122" s="217"/>
      <c r="X122" s="217"/>
      <c r="Y122" s="217"/>
      <c r="Z122" s="217"/>
      <c r="AA122" s="217"/>
      <c r="AB122" s="217"/>
      <c r="AC122" s="217"/>
      <c r="AD122" s="217"/>
      <c r="AE122" s="217"/>
      <c r="AF122" s="518"/>
      <c r="AG122" s="217"/>
      <c r="AH122" s="218"/>
      <c r="AI122" s="217"/>
      <c r="AJ122" s="217"/>
    </row>
    <row r="123" spans="1:38" ht="15" customHeight="1">
      <c r="B123" s="85"/>
      <c r="C123" s="99"/>
      <c r="D123" s="100"/>
      <c r="E123" s="101"/>
      <c r="F123" s="101"/>
      <c r="G123" s="101"/>
      <c r="H123" s="101"/>
      <c r="I123" s="101"/>
      <c r="J123" s="362"/>
      <c r="K123" s="85"/>
      <c r="L123" s="214"/>
      <c r="M123" s="215"/>
      <c r="N123" s="216"/>
      <c r="O123" s="216"/>
      <c r="P123" s="214"/>
      <c r="Q123" s="217"/>
      <c r="R123" s="217"/>
      <c r="S123" s="217"/>
      <c r="T123" s="217"/>
      <c r="U123" s="218"/>
      <c r="V123" s="217"/>
      <c r="W123" s="217"/>
      <c r="X123" s="217"/>
      <c r="Y123" s="217"/>
      <c r="Z123" s="217"/>
      <c r="AA123" s="217"/>
      <c r="AB123" s="217"/>
      <c r="AC123" s="217"/>
      <c r="AD123" s="217"/>
      <c r="AE123" s="217"/>
      <c r="AF123" s="518"/>
      <c r="AG123" s="217"/>
      <c r="AH123" s="218"/>
      <c r="AI123" s="217"/>
      <c r="AJ123" s="217"/>
    </row>
    <row r="124" spans="1:38" ht="15" customHeight="1">
      <c r="B124" s="82"/>
      <c r="C124" s="83"/>
      <c r="D124" s="84"/>
      <c r="E124" s="32"/>
      <c r="F124" s="32"/>
      <c r="G124" s="32"/>
      <c r="H124" s="32"/>
      <c r="I124" s="32"/>
      <c r="J124" s="363"/>
      <c r="K124" s="82"/>
      <c r="L124" s="214"/>
      <c r="M124" s="215"/>
      <c r="N124" s="216"/>
      <c r="O124" s="216"/>
      <c r="P124" s="214"/>
      <c r="Q124" s="217"/>
      <c r="R124" s="217"/>
      <c r="S124" s="217"/>
      <c r="T124" s="217"/>
      <c r="U124" s="218"/>
      <c r="V124" s="217"/>
      <c r="W124" s="217"/>
      <c r="X124" s="217"/>
      <c r="Y124" s="217"/>
      <c r="Z124" s="217"/>
      <c r="AA124" s="217"/>
      <c r="AB124" s="217"/>
      <c r="AC124" s="217"/>
      <c r="AD124" s="217"/>
      <c r="AE124" s="217"/>
      <c r="AF124" s="518"/>
      <c r="AG124" s="217"/>
      <c r="AH124" s="218"/>
      <c r="AI124" s="217"/>
      <c r="AJ124" s="217"/>
    </row>
    <row r="125" spans="1:38" s="53" customFormat="1">
      <c r="A125" s="236"/>
      <c r="B125" s="30"/>
      <c r="C125" s="30"/>
      <c r="D125" s="30"/>
      <c r="E125" s="65"/>
      <c r="F125" s="30"/>
      <c r="G125" s="30"/>
      <c r="H125" s="30"/>
      <c r="I125" s="30"/>
      <c r="J125" s="65"/>
      <c r="K125" s="30"/>
      <c r="L125" s="220"/>
      <c r="M125" s="220"/>
      <c r="N125" s="220"/>
      <c r="O125" s="220"/>
      <c r="P125" s="220"/>
      <c r="Q125" s="220"/>
      <c r="R125" s="220"/>
      <c r="S125" s="220"/>
      <c r="T125" s="220"/>
      <c r="U125" s="221"/>
      <c r="V125" s="220"/>
      <c r="W125" s="220"/>
      <c r="X125" s="220"/>
      <c r="Y125" s="220"/>
      <c r="Z125" s="220"/>
      <c r="AA125" s="220"/>
      <c r="AB125" s="220"/>
      <c r="AC125" s="220"/>
      <c r="AD125" s="220"/>
      <c r="AE125" s="220"/>
      <c r="AF125" s="519"/>
      <c r="AG125" s="220"/>
      <c r="AH125" s="221"/>
      <c r="AI125" s="220"/>
      <c r="AJ125" s="220"/>
      <c r="AK125" s="30"/>
      <c r="AL125" s="30"/>
    </row>
    <row r="1048235" spans="1:38" s="66" customFormat="1" ht="17" customHeight="1">
      <c r="A1048235" s="141"/>
      <c r="B1048235" s="30"/>
      <c r="C1048235" s="30"/>
      <c r="D1048235" s="30"/>
      <c r="E1048235" s="65"/>
      <c r="F1048235" s="30"/>
      <c r="G1048235" s="30"/>
      <c r="H1048235" s="30"/>
      <c r="I1048235" s="30"/>
      <c r="J1048235" s="65"/>
      <c r="K1048235" s="30"/>
      <c r="L1048235" s="220"/>
      <c r="M1048235" s="220"/>
      <c r="N1048235" s="220"/>
      <c r="O1048235" s="220"/>
      <c r="P1048235" s="220"/>
      <c r="Q1048235" s="220"/>
      <c r="R1048235" s="220"/>
      <c r="S1048235" s="220"/>
      <c r="T1048235" s="220"/>
      <c r="U1048235" s="221"/>
      <c r="V1048235" s="220"/>
      <c r="W1048235" s="220"/>
      <c r="X1048235" s="220"/>
      <c r="Y1048235" s="220"/>
      <c r="Z1048235" s="220"/>
      <c r="AA1048235" s="220"/>
      <c r="AB1048235" s="220"/>
      <c r="AC1048235" s="220"/>
      <c r="AD1048235" s="220"/>
      <c r="AE1048235" s="220"/>
      <c r="AF1048235" s="519"/>
      <c r="AG1048235" s="220"/>
      <c r="AH1048235" s="221"/>
      <c r="AI1048235" s="220"/>
      <c r="AJ1048235" s="220"/>
      <c r="AK1048235" s="30"/>
      <c r="AL1048235" s="30"/>
    </row>
  </sheetData>
  <autoFilter ref="A1:AJ79" xr:uid="{00000000-0009-0000-0000-000001000000}"/>
  <mergeCells count="151">
    <mergeCell ref="E6:E10"/>
    <mergeCell ref="E17:E42"/>
    <mergeCell ref="E66:E73"/>
    <mergeCell ref="AH66:AH73"/>
    <mergeCell ref="P37:Q37"/>
    <mergeCell ref="P38:Q38"/>
    <mergeCell ref="P39:Q39"/>
    <mergeCell ref="P40:Q40"/>
    <mergeCell ref="P41:Q41"/>
    <mergeCell ref="M17:Q17"/>
    <mergeCell ref="L18:L20"/>
    <mergeCell ref="L21:L23"/>
    <mergeCell ref="L24:L26"/>
    <mergeCell ref="L27:L29"/>
    <mergeCell ref="L30:L32"/>
    <mergeCell ref="L33:L35"/>
    <mergeCell ref="L36:L38"/>
    <mergeCell ref="L39:L41"/>
    <mergeCell ref="M12:O12"/>
    <mergeCell ref="M13:O13"/>
    <mergeCell ref="M14:O14"/>
    <mergeCell ref="T6:T14"/>
    <mergeCell ref="P18:Q18"/>
    <mergeCell ref="P19:Q19"/>
    <mergeCell ref="K59:K61"/>
    <mergeCell ref="P20:Q20"/>
    <mergeCell ref="P21:Q21"/>
    <mergeCell ref="R17:T41"/>
    <mergeCell ref="M64:N64"/>
    <mergeCell ref="O64:P64"/>
    <mergeCell ref="Q64:R64"/>
    <mergeCell ref="S64:T64"/>
    <mergeCell ref="C66:C73"/>
    <mergeCell ref="D66:D73"/>
    <mergeCell ref="F66:F73"/>
    <mergeCell ref="H66:H73"/>
    <mergeCell ref="I66:I73"/>
    <mergeCell ref="M66:T66"/>
    <mergeCell ref="S63:T63"/>
    <mergeCell ref="M47:T47"/>
    <mergeCell ref="M48:T48"/>
    <mergeCell ref="M57:T57"/>
    <mergeCell ref="M58:T58"/>
    <mergeCell ref="M59:T59"/>
    <mergeCell ref="M44:T44"/>
    <mergeCell ref="M46:T46"/>
    <mergeCell ref="M63:N63"/>
    <mergeCell ref="M60:T60"/>
    <mergeCell ref="I6:I13"/>
    <mergeCell ref="D47:D51"/>
    <mergeCell ref="F47:F51"/>
    <mergeCell ref="I47:I51"/>
    <mergeCell ref="K39:K41"/>
    <mergeCell ref="M43:T43"/>
    <mergeCell ref="K30:K32"/>
    <mergeCell ref="K33:K35"/>
    <mergeCell ref="K36:K38"/>
    <mergeCell ref="D17:D21"/>
    <mergeCell ref="K18:K20"/>
    <mergeCell ref="K21:K23"/>
    <mergeCell ref="K24:K26"/>
    <mergeCell ref="P22:Q22"/>
    <mergeCell ref="P23:Q23"/>
    <mergeCell ref="P24:Q24"/>
    <mergeCell ref="P25:Q25"/>
    <mergeCell ref="P26:Q26"/>
    <mergeCell ref="P27:Q27"/>
    <mergeCell ref="P28:Q28"/>
    <mergeCell ref="P29:Q29"/>
    <mergeCell ref="P30:Q30"/>
    <mergeCell ref="P31:Q31"/>
    <mergeCell ref="P32:Q32"/>
    <mergeCell ref="C11:C14"/>
    <mergeCell ref="D11:D14"/>
    <mergeCell ref="P8:Q8"/>
    <mergeCell ref="P9:Q9"/>
    <mergeCell ref="P12:Q12"/>
    <mergeCell ref="P13:Q13"/>
    <mergeCell ref="P14:Q14"/>
    <mergeCell ref="P6:Q6"/>
    <mergeCell ref="R6:S6"/>
    <mergeCell ref="P7:Q7"/>
    <mergeCell ref="R7:S7"/>
    <mergeCell ref="R8:S8"/>
    <mergeCell ref="R9:S9"/>
    <mergeCell ref="R10:S10"/>
    <mergeCell ref="R11:S11"/>
    <mergeCell ref="R12:S12"/>
    <mergeCell ref="R13:S13"/>
    <mergeCell ref="R14:S14"/>
    <mergeCell ref="M6:O6"/>
    <mergeCell ref="M7:O7"/>
    <mergeCell ref="M8:O8"/>
    <mergeCell ref="M9:O9"/>
    <mergeCell ref="M10:O10"/>
    <mergeCell ref="M11:O11"/>
    <mergeCell ref="L77:T77"/>
    <mergeCell ref="L79:T79"/>
    <mergeCell ref="M74:T74"/>
    <mergeCell ref="M75:T75"/>
    <mergeCell ref="M69:T69"/>
    <mergeCell ref="M70:T70"/>
    <mergeCell ref="U66:U73"/>
    <mergeCell ref="M67:T67"/>
    <mergeCell ref="M68:T68"/>
    <mergeCell ref="B2:B3"/>
    <mergeCell ref="C2:D3"/>
    <mergeCell ref="E2:K2"/>
    <mergeCell ref="L2:T2"/>
    <mergeCell ref="U2:U3"/>
    <mergeCell ref="V2:AC2"/>
    <mergeCell ref="F6:F7"/>
    <mergeCell ref="M50:T50"/>
    <mergeCell ref="M51:T51"/>
    <mergeCell ref="M49:T49"/>
    <mergeCell ref="K27:K29"/>
    <mergeCell ref="M42:T42"/>
    <mergeCell ref="M16:T16"/>
    <mergeCell ref="P10:Q10"/>
    <mergeCell ref="P11:Q11"/>
    <mergeCell ref="M15:T15"/>
    <mergeCell ref="U6:U10"/>
    <mergeCell ref="F17:F21"/>
    <mergeCell ref="I17:I21"/>
    <mergeCell ref="U11:U15"/>
    <mergeCell ref="U17:U42"/>
    <mergeCell ref="U47:U61"/>
    <mergeCell ref="K47:K53"/>
    <mergeCell ref="K54:K58"/>
    <mergeCell ref="M65:T65"/>
    <mergeCell ref="U63:U65"/>
    <mergeCell ref="AJ2:AJ3"/>
    <mergeCell ref="M3:T3"/>
    <mergeCell ref="AD2:AD3"/>
    <mergeCell ref="AE2:AE3"/>
    <mergeCell ref="AF2:AF3"/>
    <mergeCell ref="AG2:AG3"/>
    <mergeCell ref="AH2:AH3"/>
    <mergeCell ref="AI2:AI3"/>
    <mergeCell ref="M52:T52"/>
    <mergeCell ref="M53:T53"/>
    <mergeCell ref="M54:T54"/>
    <mergeCell ref="M55:T55"/>
    <mergeCell ref="M56:T56"/>
    <mergeCell ref="O63:P63"/>
    <mergeCell ref="Q63:R63"/>
    <mergeCell ref="P33:Q33"/>
    <mergeCell ref="P34:Q34"/>
    <mergeCell ref="P35:Q35"/>
    <mergeCell ref="P36:Q36"/>
    <mergeCell ref="M61:T61"/>
  </mergeCells>
  <conditionalFormatting sqref="C86">
    <cfRule type="containsText" dxfId="1309" priority="379" operator="containsText" text="Alternative">
      <formula>NOT(ISERROR(SEARCH("Alternative",C86)))</formula>
    </cfRule>
    <cfRule type="containsText" dxfId="1308" priority="381" operator="containsText" text="Not available">
      <formula>NOT(ISERROR(SEARCH("Not available",C86)))</formula>
    </cfRule>
    <cfRule type="containsText" dxfId="1307" priority="382" operator="containsText" text="Incomplete">
      <formula>NOT(ISERROR(SEARCH("Incomplete",C86)))</formula>
    </cfRule>
    <cfRule type="containsText" dxfId="1306" priority="383" operator="containsText" text="Complete">
      <formula>NOT(ISERROR(SEARCH("Complete",C86)))</formula>
    </cfRule>
  </conditionalFormatting>
  <conditionalFormatting sqref="B86:C86 B87">
    <cfRule type="containsText" dxfId="1305" priority="380" operator="containsText" text="Pending">
      <formula>NOT(ISERROR(SEARCH("Pending",B86)))</formula>
    </cfRule>
  </conditionalFormatting>
  <conditionalFormatting sqref="C85">
    <cfRule type="containsText" dxfId="1304" priority="374" operator="containsText" text="Alternative">
      <formula>NOT(ISERROR(SEARCH("Alternative",C85)))</formula>
    </cfRule>
    <cfRule type="containsText" dxfId="1303" priority="376" operator="containsText" text="Not available">
      <formula>NOT(ISERROR(SEARCH("Not available",C85)))</formula>
    </cfRule>
    <cfRule type="containsText" dxfId="1302" priority="377" operator="containsText" text="Incomplete">
      <formula>NOT(ISERROR(SEARCH("Incomplete",C85)))</formula>
    </cfRule>
    <cfRule type="containsText" dxfId="1301" priority="378" operator="containsText" text="Complete">
      <formula>NOT(ISERROR(SEARCH("Complete",C85)))</formula>
    </cfRule>
  </conditionalFormatting>
  <conditionalFormatting sqref="C85">
    <cfRule type="containsText" dxfId="1300" priority="375" operator="containsText" text="Pending">
      <formula>NOT(ISERROR(SEARCH("Pending",C85)))</formula>
    </cfRule>
  </conditionalFormatting>
  <conditionalFormatting sqref="B108">
    <cfRule type="containsText" dxfId="1299" priority="373" operator="containsText" text="Pending">
      <formula>NOT(ISERROR(SEARCH("Pending",B108)))</formula>
    </cfRule>
  </conditionalFormatting>
  <conditionalFormatting sqref="B94">
    <cfRule type="containsText" dxfId="1298" priority="372" operator="containsText" text="Pending">
      <formula>NOT(ISERROR(SEARCH("Pending",B94)))</formula>
    </cfRule>
  </conditionalFormatting>
  <conditionalFormatting sqref="B101">
    <cfRule type="containsText" dxfId="1297" priority="371" operator="containsText" text="Pending">
      <formula>NOT(ISERROR(SEARCH("Pending",B101)))</formula>
    </cfRule>
  </conditionalFormatting>
  <conditionalFormatting sqref="B88:B93">
    <cfRule type="containsText" dxfId="1296" priority="370" operator="containsText" text="Complete">
      <formula>NOT(ISERROR(SEARCH("Complete",B88)))</formula>
    </cfRule>
  </conditionalFormatting>
  <conditionalFormatting sqref="B88:B93">
    <cfRule type="containsText" dxfId="1295" priority="365" operator="containsText" text="Not applicable">
      <formula>NOT(ISERROR(SEARCH("Not applicable",B88)))</formula>
    </cfRule>
    <cfRule type="containsText" dxfId="1294" priority="366" operator="containsText" text="Pending">
      <formula>NOT(ISERROR(SEARCH("Pending",B88)))</formula>
    </cfRule>
    <cfRule type="containsText" dxfId="1293" priority="367" operator="containsText" text="Alternative">
      <formula>NOT(ISERROR(SEARCH("Alternative",B88)))</formula>
    </cfRule>
    <cfRule type="containsText" dxfId="1292" priority="368" operator="containsText" text="Not Available">
      <formula>NOT(ISERROR(SEARCH("Not Available",B88)))</formula>
    </cfRule>
    <cfRule type="containsText" dxfId="1291" priority="369" operator="containsText" text="Incomplete">
      <formula>NOT(ISERROR(SEARCH("Incomplete",B88)))</formula>
    </cfRule>
  </conditionalFormatting>
  <conditionalFormatting sqref="B95:B100">
    <cfRule type="containsText" dxfId="1290" priority="364" operator="containsText" text="Complete">
      <formula>NOT(ISERROR(SEARCH("Complete",B95)))</formula>
    </cfRule>
  </conditionalFormatting>
  <conditionalFormatting sqref="B95:B100">
    <cfRule type="containsText" dxfId="1289" priority="359" operator="containsText" text="Not applicable">
      <formula>NOT(ISERROR(SEARCH("Not applicable",B95)))</formula>
    </cfRule>
    <cfRule type="containsText" dxfId="1288" priority="360" operator="containsText" text="Pending">
      <formula>NOT(ISERROR(SEARCH("Pending",B95)))</formula>
    </cfRule>
    <cfRule type="containsText" dxfId="1287" priority="361" operator="containsText" text="Alternative">
      <formula>NOT(ISERROR(SEARCH("Alternative",B95)))</formula>
    </cfRule>
    <cfRule type="containsText" dxfId="1286" priority="362" operator="containsText" text="Not Available">
      <formula>NOT(ISERROR(SEARCH("Not Available",B95)))</formula>
    </cfRule>
    <cfRule type="containsText" dxfId="1285" priority="363" operator="containsText" text="Incomplete">
      <formula>NOT(ISERROR(SEARCH("Incomplete",B95)))</formula>
    </cfRule>
  </conditionalFormatting>
  <conditionalFormatting sqref="B102:B107">
    <cfRule type="containsText" dxfId="1284" priority="358" operator="containsText" text="Complete">
      <formula>NOT(ISERROR(SEARCH("Complete",B102)))</formula>
    </cfRule>
  </conditionalFormatting>
  <conditionalFormatting sqref="B102:B107">
    <cfRule type="containsText" dxfId="1283" priority="353" operator="containsText" text="Not applicable">
      <formula>NOT(ISERROR(SEARCH("Not applicable",B102)))</formula>
    </cfRule>
    <cfRule type="containsText" dxfId="1282" priority="354" operator="containsText" text="Pending">
      <formula>NOT(ISERROR(SEARCH("Pending",B102)))</formula>
    </cfRule>
    <cfRule type="containsText" dxfId="1281" priority="355" operator="containsText" text="Alternative">
      <formula>NOT(ISERROR(SEARCH("Alternative",B102)))</formula>
    </cfRule>
    <cfRule type="containsText" dxfId="1280" priority="356" operator="containsText" text="Not Available">
      <formula>NOT(ISERROR(SEARCH("Not Available",B102)))</formula>
    </cfRule>
    <cfRule type="containsText" dxfId="1279" priority="357" operator="containsText" text="Incomplete">
      <formula>NOT(ISERROR(SEARCH("Incomplete",B102)))</formula>
    </cfRule>
  </conditionalFormatting>
  <conditionalFormatting sqref="D86">
    <cfRule type="containsText" dxfId="1278" priority="348" operator="containsText" text="Alternative">
      <formula>NOT(ISERROR(SEARCH("Alternative",D86)))</formula>
    </cfRule>
    <cfRule type="containsText" dxfId="1277" priority="350" operator="containsText" text="Not available">
      <formula>NOT(ISERROR(SEARCH("Not available",D86)))</formula>
    </cfRule>
    <cfRule type="containsText" dxfId="1276" priority="351" operator="containsText" text="Incomplete">
      <formula>NOT(ISERROR(SEARCH("Incomplete",D86)))</formula>
    </cfRule>
    <cfRule type="containsText" dxfId="1275" priority="352" operator="containsText" text="Complete">
      <formula>NOT(ISERROR(SEARCH("Complete",D86)))</formula>
    </cfRule>
  </conditionalFormatting>
  <conditionalFormatting sqref="D86">
    <cfRule type="containsText" dxfId="1274" priority="349" operator="containsText" text="Pending">
      <formula>NOT(ISERROR(SEARCH("Pending",D86)))</formula>
    </cfRule>
  </conditionalFormatting>
  <conditionalFormatting sqref="B111">
    <cfRule type="containsText" dxfId="1273" priority="347" operator="containsText" text="Pending">
      <formula>NOT(ISERROR(SEARCH("Pending",B111)))</formula>
    </cfRule>
  </conditionalFormatting>
  <conditionalFormatting sqref="B112">
    <cfRule type="containsText" dxfId="1272" priority="346" operator="containsText" text="Pending">
      <formula>NOT(ISERROR(SEARCH("Pending",B112)))</formula>
    </cfRule>
  </conditionalFormatting>
  <conditionalFormatting sqref="C120">
    <cfRule type="containsText" dxfId="1271" priority="341" operator="containsText" text="Alternative">
      <formula>NOT(ISERROR(SEARCH("Alternative",C120)))</formula>
    </cfRule>
    <cfRule type="containsText" dxfId="1270" priority="343" operator="containsText" text="Not available">
      <formula>NOT(ISERROR(SEARCH("Not available",C120)))</formula>
    </cfRule>
    <cfRule type="containsText" dxfId="1269" priority="344" operator="containsText" text="Incomplete">
      <formula>NOT(ISERROR(SEARCH("Incomplete",C120)))</formula>
    </cfRule>
    <cfRule type="containsText" dxfId="1268" priority="345" operator="containsText" text="Complete">
      <formula>NOT(ISERROR(SEARCH("Complete",C120)))</formula>
    </cfRule>
  </conditionalFormatting>
  <conditionalFormatting sqref="B120:C120">
    <cfRule type="containsText" dxfId="1267" priority="342" operator="containsText" text="Pending">
      <formula>NOT(ISERROR(SEARCH("Pending",B120)))</formula>
    </cfRule>
  </conditionalFormatting>
  <conditionalFormatting sqref="B113">
    <cfRule type="containsText" dxfId="1266" priority="336" operator="containsText" text="No Benchmark">
      <formula>NOT(ISERROR(SEARCH("No Benchmark",B113)))</formula>
    </cfRule>
    <cfRule type="containsText" dxfId="1265" priority="337" operator="containsText" text="Red">
      <formula>NOT(ISERROR(SEARCH("Red",B113)))</formula>
    </cfRule>
    <cfRule type="containsText" dxfId="1264" priority="338" operator="containsText" text="Orange">
      <formula>NOT(ISERROR(SEARCH("Orange",B113)))</formula>
    </cfRule>
    <cfRule type="containsText" dxfId="1263" priority="339" operator="containsText" text="Yellow">
      <formula>NOT(ISERROR(SEARCH("Yellow",B113)))</formula>
    </cfRule>
    <cfRule type="containsText" dxfId="1262" priority="340" operator="containsText" text="Green">
      <formula>NOT(ISERROR(SEARCH("Green",B113)))</formula>
    </cfRule>
  </conditionalFormatting>
  <conditionalFormatting sqref="B114">
    <cfRule type="containsText" dxfId="1261" priority="331" operator="containsText" text="No Benchmark">
      <formula>NOT(ISERROR(SEARCH("No Benchmark",B114)))</formula>
    </cfRule>
    <cfRule type="containsText" dxfId="1260" priority="332" operator="containsText" text="Red">
      <formula>NOT(ISERROR(SEARCH("Red",B114)))</formula>
    </cfRule>
    <cfRule type="containsText" dxfId="1259" priority="333" operator="containsText" text="Orange">
      <formula>NOT(ISERROR(SEARCH("Orange",B114)))</formula>
    </cfRule>
    <cfRule type="containsText" dxfId="1258" priority="334" operator="containsText" text="Yellow">
      <formula>NOT(ISERROR(SEARCH("Yellow",B114)))</formula>
    </cfRule>
    <cfRule type="containsText" dxfId="1257" priority="335" operator="containsText" text="Green">
      <formula>NOT(ISERROR(SEARCH("Green",B114)))</formula>
    </cfRule>
  </conditionalFormatting>
  <conditionalFormatting sqref="B115">
    <cfRule type="containsText" dxfId="1256" priority="326" operator="containsText" text="No Benchmark">
      <formula>NOT(ISERROR(SEARCH("No Benchmark",B115)))</formula>
    </cfRule>
    <cfRule type="containsText" dxfId="1255" priority="327" operator="containsText" text="Red">
      <formula>NOT(ISERROR(SEARCH("Red",B115)))</formula>
    </cfRule>
    <cfRule type="containsText" dxfId="1254" priority="328" operator="containsText" text="Orange">
      <formula>NOT(ISERROR(SEARCH("Orange",B115)))</formula>
    </cfRule>
    <cfRule type="containsText" dxfId="1253" priority="329" operator="containsText" text="Yellow">
      <formula>NOT(ISERROR(SEARCH("Yellow",B115)))</formula>
    </cfRule>
    <cfRule type="containsText" dxfId="1252" priority="330" operator="containsText" text="Green">
      <formula>NOT(ISERROR(SEARCH("Green",B115)))</formula>
    </cfRule>
  </conditionalFormatting>
  <conditionalFormatting sqref="B116">
    <cfRule type="containsText" dxfId="1251" priority="321" operator="containsText" text="No Benchmark">
      <formula>NOT(ISERROR(SEARCH("No Benchmark",B116)))</formula>
    </cfRule>
    <cfRule type="containsText" dxfId="1250" priority="322" operator="containsText" text="Red">
      <formula>NOT(ISERROR(SEARCH("Red",B116)))</formula>
    </cfRule>
    <cfRule type="containsText" dxfId="1249" priority="323" operator="containsText" text="Orange">
      <formula>NOT(ISERROR(SEARCH("Orange",B116)))</formula>
    </cfRule>
    <cfRule type="containsText" dxfId="1248" priority="324" operator="containsText" text="Yellow">
      <formula>NOT(ISERROR(SEARCH("Yellow",B116)))</formula>
    </cfRule>
    <cfRule type="containsText" dxfId="1247" priority="325" operator="containsText" text="Green">
      <formula>NOT(ISERROR(SEARCH("Green",B116)))</formula>
    </cfRule>
  </conditionalFormatting>
  <conditionalFormatting sqref="B117">
    <cfRule type="containsText" dxfId="1246" priority="316" operator="containsText" text="Qualitative">
      <formula>NOT(ISERROR(SEARCH("Qualitative",B117)))</formula>
    </cfRule>
    <cfRule type="containsText" dxfId="1245" priority="317" operator="containsText" text="Red">
      <formula>NOT(ISERROR(SEARCH("Red",B117)))</formula>
    </cfRule>
    <cfRule type="containsText" dxfId="1244" priority="318" operator="containsText" text="Orange">
      <formula>NOT(ISERROR(SEARCH("Orange",B117)))</formula>
    </cfRule>
    <cfRule type="containsText" dxfId="1243" priority="319" operator="containsText" text="Yellow">
      <formula>NOT(ISERROR(SEARCH("Yellow",B117)))</formula>
    </cfRule>
    <cfRule type="containsText" dxfId="1242" priority="320" operator="containsText" text="Green">
      <formula>NOT(ISERROR(SEARCH("Green",B117)))</formula>
    </cfRule>
  </conditionalFormatting>
  <conditionalFormatting sqref="B118">
    <cfRule type="containsText" dxfId="1241" priority="311" operator="containsText" text="No Benchmark">
      <formula>NOT(ISERROR(SEARCH("No Benchmark",B118)))</formula>
    </cfRule>
    <cfRule type="containsText" dxfId="1240" priority="312" operator="containsText" text="Red">
      <formula>NOT(ISERROR(SEARCH("Red",B118)))</formula>
    </cfRule>
    <cfRule type="containsText" dxfId="1239" priority="313" operator="containsText" text="Orange">
      <formula>NOT(ISERROR(SEARCH("Orange",B118)))</formula>
    </cfRule>
    <cfRule type="containsText" dxfId="1238" priority="314" operator="containsText" text="Yellow">
      <formula>NOT(ISERROR(SEARCH("Yellow",B118)))</formula>
    </cfRule>
    <cfRule type="containsText" dxfId="1237" priority="315" operator="containsText" text="Green">
      <formula>NOT(ISERROR(SEARCH("Green",B118)))</formula>
    </cfRule>
  </conditionalFormatting>
  <conditionalFormatting sqref="B119">
    <cfRule type="containsText" dxfId="1236" priority="306" operator="containsText" text="No Benchmark">
      <formula>NOT(ISERROR(SEARCH("No Benchmark",B119)))</formula>
    </cfRule>
    <cfRule type="containsText" dxfId="1235" priority="307" operator="containsText" text="Red">
      <formula>NOT(ISERROR(SEARCH("Red",B119)))</formula>
    </cfRule>
    <cfRule type="containsText" dxfId="1234" priority="308" operator="containsText" text="Orange">
      <formula>NOT(ISERROR(SEARCH("Orange",B119)))</formula>
    </cfRule>
    <cfRule type="containsText" dxfId="1233" priority="309" operator="containsText" text="Yellow">
      <formula>NOT(ISERROR(SEARCH("Yellow",B119)))</formula>
    </cfRule>
    <cfRule type="containsText" dxfId="1232" priority="310" operator="containsText" text="Green">
      <formula>NOT(ISERROR(SEARCH("Green",B119)))</formula>
    </cfRule>
  </conditionalFormatting>
  <conditionalFormatting sqref="U6">
    <cfRule type="containsText" dxfId="1231" priority="227" operator="containsText" text="Complete">
      <formula>NOT(ISERROR(SEARCH("Complete",U6)))</formula>
    </cfRule>
  </conditionalFormatting>
  <conditionalFormatting sqref="U6">
    <cfRule type="containsText" dxfId="1230" priority="222" operator="containsText" text="Not applicable">
      <formula>NOT(ISERROR(SEARCH("Not applicable",U6)))</formula>
    </cfRule>
    <cfRule type="containsText" dxfId="1229" priority="223" operator="containsText" text="Pending">
      <formula>NOT(ISERROR(SEARCH("Pending",U6)))</formula>
    </cfRule>
    <cfRule type="containsText" dxfId="1228" priority="224" operator="containsText" text="Alternative">
      <formula>NOT(ISERROR(SEARCH("Alternative",U6)))</formula>
    </cfRule>
    <cfRule type="containsText" dxfId="1227" priority="225" operator="containsText" text="Not Available">
      <formula>NOT(ISERROR(SEARCH("Not Available",U6)))</formula>
    </cfRule>
    <cfRule type="containsText" dxfId="1226" priority="226" operator="containsText" text="Incomplete">
      <formula>NOT(ISERROR(SEARCH("Incomplete",U6)))</formula>
    </cfRule>
  </conditionalFormatting>
  <conditionalFormatting sqref="U11">
    <cfRule type="containsText" dxfId="1225" priority="105" operator="containsText" text="Complete">
      <formula>NOT(ISERROR(SEARCH("Complete",U11)))</formula>
    </cfRule>
  </conditionalFormatting>
  <conditionalFormatting sqref="U11">
    <cfRule type="containsText" dxfId="1224" priority="100" operator="containsText" text="Not applicable">
      <formula>NOT(ISERROR(SEARCH("Not applicable",U11)))</formula>
    </cfRule>
    <cfRule type="containsText" dxfId="1223" priority="101" operator="containsText" text="Pending">
      <formula>NOT(ISERROR(SEARCH("Pending",U11)))</formula>
    </cfRule>
    <cfRule type="containsText" dxfId="1222" priority="102" operator="containsText" text="Alternative">
      <formula>NOT(ISERROR(SEARCH("Alternative",U11)))</formula>
    </cfRule>
    <cfRule type="containsText" dxfId="1221" priority="103" operator="containsText" text="Not Available">
      <formula>NOT(ISERROR(SEARCH("Not Available",U11)))</formula>
    </cfRule>
    <cfRule type="containsText" dxfId="1220" priority="104" operator="containsText" text="Incomplete">
      <formula>NOT(ISERROR(SEARCH("Incomplete",U11)))</formula>
    </cfRule>
  </conditionalFormatting>
  <conditionalFormatting sqref="U16">
    <cfRule type="containsText" dxfId="1219" priority="99" operator="containsText" text="Complete">
      <formula>NOT(ISERROR(SEARCH("Complete",U16)))</formula>
    </cfRule>
  </conditionalFormatting>
  <conditionalFormatting sqref="U16">
    <cfRule type="containsText" dxfId="1218" priority="94" operator="containsText" text="Not applicable">
      <formula>NOT(ISERROR(SEARCH("Not applicable",U16)))</formula>
    </cfRule>
    <cfRule type="containsText" dxfId="1217" priority="95" operator="containsText" text="Pending">
      <formula>NOT(ISERROR(SEARCH("Pending",U16)))</formula>
    </cfRule>
    <cfRule type="containsText" dxfId="1216" priority="96" operator="containsText" text="Alternative">
      <formula>NOT(ISERROR(SEARCH("Alternative",U16)))</formula>
    </cfRule>
    <cfRule type="containsText" dxfId="1215" priority="97" operator="containsText" text="Not Available">
      <formula>NOT(ISERROR(SEARCH("Not Available",U16)))</formula>
    </cfRule>
    <cfRule type="containsText" dxfId="1214" priority="98" operator="containsText" text="Incomplete">
      <formula>NOT(ISERROR(SEARCH("Incomplete",U16)))</formula>
    </cfRule>
  </conditionalFormatting>
  <conditionalFormatting sqref="U17">
    <cfRule type="containsText" dxfId="1213" priority="93" operator="containsText" text="Complete">
      <formula>NOT(ISERROR(SEARCH("Complete",U17)))</formula>
    </cfRule>
  </conditionalFormatting>
  <conditionalFormatting sqref="U17">
    <cfRule type="containsText" dxfId="1212" priority="88" operator="containsText" text="Not applicable">
      <formula>NOT(ISERROR(SEARCH("Not applicable",U17)))</formula>
    </cfRule>
    <cfRule type="containsText" dxfId="1211" priority="89" operator="containsText" text="Pending">
      <formula>NOT(ISERROR(SEARCH("Pending",U17)))</formula>
    </cfRule>
    <cfRule type="containsText" dxfId="1210" priority="90" operator="containsText" text="Alternative">
      <formula>NOT(ISERROR(SEARCH("Alternative",U17)))</formula>
    </cfRule>
    <cfRule type="containsText" dxfId="1209" priority="91" operator="containsText" text="Not Available">
      <formula>NOT(ISERROR(SEARCH("Not Available",U17)))</formula>
    </cfRule>
    <cfRule type="containsText" dxfId="1208" priority="92" operator="containsText" text="Incomplete">
      <formula>NOT(ISERROR(SEARCH("Incomplete",U17)))</formula>
    </cfRule>
  </conditionalFormatting>
  <conditionalFormatting sqref="U47">
    <cfRule type="containsText" dxfId="1207" priority="60" operator="containsText" text="Complete">
      <formula>NOT(ISERROR(SEARCH("Complete",U47)))</formula>
    </cfRule>
  </conditionalFormatting>
  <conditionalFormatting sqref="U47">
    <cfRule type="containsText" dxfId="1206" priority="55" operator="containsText" text="Not applicable">
      <formula>NOT(ISERROR(SEARCH("Not applicable",U47)))</formula>
    </cfRule>
    <cfRule type="containsText" dxfId="1205" priority="56" operator="containsText" text="Pending">
      <formula>NOT(ISERROR(SEARCH("Pending",U47)))</formula>
    </cfRule>
    <cfRule type="containsText" dxfId="1204" priority="57" operator="containsText" text="Alternative">
      <formula>NOT(ISERROR(SEARCH("Alternative",U47)))</formula>
    </cfRule>
    <cfRule type="containsText" dxfId="1203" priority="58" operator="containsText" text="Not Available">
      <formula>NOT(ISERROR(SEARCH("Not Available",U47)))</formula>
    </cfRule>
    <cfRule type="containsText" dxfId="1202" priority="59" operator="containsText" text="Incomplete">
      <formula>NOT(ISERROR(SEARCH("Incomplete",U47)))</formula>
    </cfRule>
  </conditionalFormatting>
  <conditionalFormatting sqref="U43">
    <cfRule type="containsText" dxfId="1201" priority="87" operator="containsText" text="Complete">
      <formula>NOT(ISERROR(SEARCH("Complete",U43)))</formula>
    </cfRule>
  </conditionalFormatting>
  <conditionalFormatting sqref="U43">
    <cfRule type="containsText" dxfId="1200" priority="82" operator="containsText" text="Not applicable">
      <formula>NOT(ISERROR(SEARCH("Not applicable",U43)))</formula>
    </cfRule>
    <cfRule type="containsText" dxfId="1199" priority="83" operator="containsText" text="Pending">
      <formula>NOT(ISERROR(SEARCH("Pending",U43)))</formula>
    </cfRule>
    <cfRule type="containsText" dxfId="1198" priority="84" operator="containsText" text="Alternative">
      <formula>NOT(ISERROR(SEARCH("Alternative",U43)))</formula>
    </cfRule>
    <cfRule type="containsText" dxfId="1197" priority="85" operator="containsText" text="Not Available">
      <formula>NOT(ISERROR(SEARCH("Not Available",U43)))</formula>
    </cfRule>
    <cfRule type="containsText" dxfId="1196" priority="86" operator="containsText" text="Incomplete">
      <formula>NOT(ISERROR(SEARCH("Incomplete",U43)))</formula>
    </cfRule>
  </conditionalFormatting>
  <conditionalFormatting sqref="AF43">
    <cfRule type="containsText" dxfId="1195" priority="81" operator="containsText" text="0">
      <formula>NOT(ISERROR(SEARCH("0",AF43)))</formula>
    </cfRule>
  </conditionalFormatting>
  <conditionalFormatting sqref="U44">
    <cfRule type="containsText" dxfId="1194" priority="80" operator="containsText" text="Complete">
      <formula>NOT(ISERROR(SEARCH("Complete",U44)))</formula>
    </cfRule>
  </conditionalFormatting>
  <conditionalFormatting sqref="U44">
    <cfRule type="containsText" dxfId="1193" priority="75" operator="containsText" text="Not applicable">
      <formula>NOT(ISERROR(SEARCH("Not applicable",U44)))</formula>
    </cfRule>
    <cfRule type="containsText" dxfId="1192" priority="76" operator="containsText" text="Pending">
      <formula>NOT(ISERROR(SEARCH("Pending",U44)))</formula>
    </cfRule>
    <cfRule type="containsText" dxfId="1191" priority="77" operator="containsText" text="Alternative">
      <formula>NOT(ISERROR(SEARCH("Alternative",U44)))</formula>
    </cfRule>
    <cfRule type="containsText" dxfId="1190" priority="78" operator="containsText" text="Not Available">
      <formula>NOT(ISERROR(SEARCH("Not Available",U44)))</formula>
    </cfRule>
    <cfRule type="containsText" dxfId="1189" priority="79" operator="containsText" text="Incomplete">
      <formula>NOT(ISERROR(SEARCH("Incomplete",U44)))</formula>
    </cfRule>
  </conditionalFormatting>
  <conditionalFormatting sqref="AF44">
    <cfRule type="containsText" dxfId="1188" priority="74" operator="containsText" text="0">
      <formula>NOT(ISERROR(SEARCH("0",AF44)))</formula>
    </cfRule>
  </conditionalFormatting>
  <conditionalFormatting sqref="U46">
    <cfRule type="containsText" dxfId="1187" priority="73" operator="containsText" text="Complete">
      <formula>NOT(ISERROR(SEARCH("Complete",U46)))</formula>
    </cfRule>
  </conditionalFormatting>
  <conditionalFormatting sqref="U46">
    <cfRule type="containsText" dxfId="1186" priority="68" operator="containsText" text="Not applicable">
      <formula>NOT(ISERROR(SEARCH("Not applicable",U46)))</formula>
    </cfRule>
    <cfRule type="containsText" dxfId="1185" priority="69" operator="containsText" text="Pending">
      <formula>NOT(ISERROR(SEARCH("Pending",U46)))</formula>
    </cfRule>
    <cfRule type="containsText" dxfId="1184" priority="70" operator="containsText" text="Alternative">
      <formula>NOT(ISERROR(SEARCH("Alternative",U46)))</formula>
    </cfRule>
    <cfRule type="containsText" dxfId="1183" priority="71" operator="containsText" text="Not Available">
      <formula>NOT(ISERROR(SEARCH("Not Available",U46)))</formula>
    </cfRule>
    <cfRule type="containsText" dxfId="1182" priority="72" operator="containsText" text="Incomplete">
      <formula>NOT(ISERROR(SEARCH("Incomplete",U46)))</formula>
    </cfRule>
  </conditionalFormatting>
  <conditionalFormatting sqref="AF46">
    <cfRule type="containsText" dxfId="1181" priority="67" operator="containsText" text="0">
      <formula>NOT(ISERROR(SEARCH("0",AF46)))</formula>
    </cfRule>
  </conditionalFormatting>
  <conditionalFormatting sqref="U63">
    <cfRule type="containsText" dxfId="1180" priority="54" operator="containsText" text="Complete">
      <formula>NOT(ISERROR(SEARCH("Complete",U63)))</formula>
    </cfRule>
  </conditionalFormatting>
  <conditionalFormatting sqref="U63">
    <cfRule type="containsText" dxfId="1179" priority="49" operator="containsText" text="Not applicable">
      <formula>NOT(ISERROR(SEARCH("Not applicable",U63)))</formula>
    </cfRule>
    <cfRule type="containsText" dxfId="1178" priority="50" operator="containsText" text="Pending">
      <formula>NOT(ISERROR(SEARCH("Pending",U63)))</formula>
    </cfRule>
    <cfRule type="containsText" dxfId="1177" priority="51" operator="containsText" text="Alternative">
      <formula>NOT(ISERROR(SEARCH("Alternative",U63)))</formula>
    </cfRule>
    <cfRule type="containsText" dxfId="1176" priority="52" operator="containsText" text="Not Available">
      <formula>NOT(ISERROR(SEARCH("Not Available",U63)))</formula>
    </cfRule>
    <cfRule type="containsText" dxfId="1175" priority="53" operator="containsText" text="Incomplete">
      <formula>NOT(ISERROR(SEARCH("Incomplete",U63)))</formula>
    </cfRule>
  </conditionalFormatting>
  <conditionalFormatting sqref="U66">
    <cfRule type="containsText" dxfId="1174" priority="48" operator="containsText" text="Complete">
      <formula>NOT(ISERROR(SEARCH("Complete",U66)))</formula>
    </cfRule>
  </conditionalFormatting>
  <conditionalFormatting sqref="U66">
    <cfRule type="containsText" dxfId="1173" priority="43" operator="containsText" text="Not applicable">
      <formula>NOT(ISERROR(SEARCH("Not applicable",U66)))</formula>
    </cfRule>
    <cfRule type="containsText" dxfId="1172" priority="44" operator="containsText" text="Pending">
      <formula>NOT(ISERROR(SEARCH("Pending",U66)))</formula>
    </cfRule>
    <cfRule type="containsText" dxfId="1171" priority="45" operator="containsText" text="Alternative">
      <formula>NOT(ISERROR(SEARCH("Alternative",U66)))</formula>
    </cfRule>
    <cfRule type="containsText" dxfId="1170" priority="46" operator="containsText" text="Not Available">
      <formula>NOT(ISERROR(SEARCH("Not Available",U66)))</formula>
    </cfRule>
    <cfRule type="containsText" dxfId="1169" priority="47" operator="containsText" text="Incomplete">
      <formula>NOT(ISERROR(SEARCH("Incomplete",U66)))</formula>
    </cfRule>
  </conditionalFormatting>
  <conditionalFormatting sqref="U74">
    <cfRule type="containsText" dxfId="1168" priority="42" operator="containsText" text="Complete">
      <formula>NOT(ISERROR(SEARCH("Complete",U74)))</formula>
    </cfRule>
  </conditionalFormatting>
  <conditionalFormatting sqref="U74">
    <cfRule type="containsText" dxfId="1167" priority="37" operator="containsText" text="Not applicable">
      <formula>NOT(ISERROR(SEARCH("Not applicable",U74)))</formula>
    </cfRule>
    <cfRule type="containsText" dxfId="1166" priority="38" operator="containsText" text="Pending">
      <formula>NOT(ISERROR(SEARCH("Pending",U74)))</formula>
    </cfRule>
    <cfRule type="containsText" dxfId="1165" priority="39" operator="containsText" text="Alternative">
      <formula>NOT(ISERROR(SEARCH("Alternative",U74)))</formula>
    </cfRule>
    <cfRule type="containsText" dxfId="1164" priority="40" operator="containsText" text="Not Available">
      <formula>NOT(ISERROR(SEARCH("Not Available",U74)))</formula>
    </cfRule>
    <cfRule type="containsText" dxfId="1163" priority="41" operator="containsText" text="Incomplete">
      <formula>NOT(ISERROR(SEARCH("Incomplete",U74)))</formula>
    </cfRule>
  </conditionalFormatting>
  <conditionalFormatting sqref="U75">
    <cfRule type="containsText" dxfId="1162" priority="36" operator="containsText" text="Complete">
      <formula>NOT(ISERROR(SEARCH("Complete",U75)))</formula>
    </cfRule>
  </conditionalFormatting>
  <conditionalFormatting sqref="U75">
    <cfRule type="containsText" dxfId="1161" priority="31" operator="containsText" text="Not applicable">
      <formula>NOT(ISERROR(SEARCH("Not applicable",U75)))</formula>
    </cfRule>
    <cfRule type="containsText" dxfId="1160" priority="32" operator="containsText" text="Pending">
      <formula>NOT(ISERROR(SEARCH("Pending",U75)))</formula>
    </cfRule>
    <cfRule type="containsText" dxfId="1159" priority="33" operator="containsText" text="Alternative">
      <formula>NOT(ISERROR(SEARCH("Alternative",U75)))</formula>
    </cfRule>
    <cfRule type="containsText" dxfId="1158" priority="34" operator="containsText" text="Not Available">
      <formula>NOT(ISERROR(SEARCH("Not Available",U75)))</formula>
    </cfRule>
    <cfRule type="containsText" dxfId="1157" priority="35" operator="containsText" text="Incomplete">
      <formula>NOT(ISERROR(SEARCH("Incomplete",U75)))</formula>
    </cfRule>
  </conditionalFormatting>
  <conditionalFormatting sqref="C108">
    <cfRule type="containsText" dxfId="1156" priority="26" operator="containsText" text="Alternative">
      <formula>NOT(ISERROR(SEARCH("Alternative",C108)))</formula>
    </cfRule>
    <cfRule type="containsText" dxfId="1155" priority="28" operator="containsText" text="Not available">
      <formula>NOT(ISERROR(SEARCH("Not available",C108)))</formula>
    </cfRule>
    <cfRule type="containsText" dxfId="1154" priority="29" operator="containsText" text="Incomplete">
      <formula>NOT(ISERROR(SEARCH("Incomplete",C108)))</formula>
    </cfRule>
    <cfRule type="containsText" dxfId="1153" priority="30" operator="containsText" text="Complete">
      <formula>NOT(ISERROR(SEARCH("Complete",C108)))</formula>
    </cfRule>
  </conditionalFormatting>
  <conditionalFormatting sqref="C108">
    <cfRule type="containsText" dxfId="1152" priority="27" operator="containsText" text="Pending">
      <formula>NOT(ISERROR(SEARCH("Pending",C108)))</formula>
    </cfRule>
  </conditionalFormatting>
  <conditionalFormatting sqref="C110">
    <cfRule type="containsText" dxfId="1151" priority="21" operator="containsText" text="Alternative">
      <formula>NOT(ISERROR(SEARCH("Alternative",C110)))</formula>
    </cfRule>
    <cfRule type="containsText" dxfId="1150" priority="23" operator="containsText" text="Not available">
      <formula>NOT(ISERROR(SEARCH("Not available",C110)))</formula>
    </cfRule>
    <cfRule type="containsText" dxfId="1149" priority="24" operator="containsText" text="Incomplete">
      <formula>NOT(ISERROR(SEARCH("Incomplete",C110)))</formula>
    </cfRule>
    <cfRule type="containsText" dxfId="1148" priority="25" operator="containsText" text="Complete">
      <formula>NOT(ISERROR(SEARCH("Complete",C110)))</formula>
    </cfRule>
  </conditionalFormatting>
  <conditionalFormatting sqref="C110">
    <cfRule type="containsText" dxfId="1147" priority="22" operator="containsText" text="Pending">
      <formula>NOT(ISERROR(SEARCH("Pending",C110)))</formula>
    </cfRule>
  </conditionalFormatting>
  <conditionalFormatting sqref="C111">
    <cfRule type="containsText" dxfId="1146" priority="20" operator="containsText" text="Pending">
      <formula>NOT(ISERROR(SEARCH("Pending",C111)))</formula>
    </cfRule>
  </conditionalFormatting>
  <conditionalFormatting sqref="C111">
    <cfRule type="containsText" dxfId="1145" priority="16" operator="containsText" text="Alternative">
      <formula>NOT(ISERROR(SEARCH("Alternative",C111)))</formula>
    </cfRule>
    <cfRule type="containsText" dxfId="1144" priority="17" operator="containsText" text="Not available">
      <formula>NOT(ISERROR(SEARCH("Not available",C111)))</formula>
    </cfRule>
    <cfRule type="containsText" dxfId="1143" priority="18" operator="containsText" text="Incomplete">
      <formula>NOT(ISERROR(SEARCH("Incomplete",C111)))</formula>
    </cfRule>
    <cfRule type="containsText" dxfId="1142" priority="19" operator="containsText" text="Complete">
      <formula>NOT(ISERROR(SEARCH("Complete",C111)))</formula>
    </cfRule>
  </conditionalFormatting>
  <conditionalFormatting sqref="D111">
    <cfRule type="containsText" dxfId="1141" priority="11" operator="containsText" text="Alternative">
      <formula>NOT(ISERROR(SEARCH("Alternative",D111)))</formula>
    </cfRule>
    <cfRule type="containsText" dxfId="1140" priority="13" operator="containsText" text="Not available">
      <formula>NOT(ISERROR(SEARCH("Not available",D111)))</formula>
    </cfRule>
    <cfRule type="containsText" dxfId="1139" priority="14" operator="containsText" text="Incomplete">
      <formula>NOT(ISERROR(SEARCH("Incomplete",D111)))</formula>
    </cfRule>
    <cfRule type="containsText" dxfId="1138" priority="15" operator="containsText" text="Complete">
      <formula>NOT(ISERROR(SEARCH("Complete",D111)))</formula>
    </cfRule>
  </conditionalFormatting>
  <conditionalFormatting sqref="D111">
    <cfRule type="containsText" dxfId="1137" priority="12" operator="containsText" text="Pending">
      <formula>NOT(ISERROR(SEARCH("Pending",D111)))</formula>
    </cfRule>
  </conditionalFormatting>
  <conditionalFormatting sqref="AH43">
    <cfRule type="containsText" dxfId="1136" priority="6" operator="containsText" text="Qualitative">
      <formula>NOT(ISERROR(SEARCH("Qualitative",AH43)))</formula>
    </cfRule>
    <cfRule type="containsText" dxfId="1135" priority="7" operator="containsText" text="Red">
      <formula>NOT(ISERROR(SEARCH("Red",AH43)))</formula>
    </cfRule>
    <cfRule type="containsText" dxfId="1134" priority="8" operator="containsText" text="Orange">
      <formula>NOT(ISERROR(SEARCH("Orange",AH43)))</formula>
    </cfRule>
    <cfRule type="containsText" dxfId="1133" priority="9" operator="containsText" text="Yellow">
      <formula>NOT(ISERROR(SEARCH("Yellow",AH43)))</formula>
    </cfRule>
    <cfRule type="containsText" dxfId="1132" priority="10" operator="containsText" text="Green">
      <formula>NOT(ISERROR(SEARCH("Green",AH43)))</formula>
    </cfRule>
  </conditionalFormatting>
  <conditionalFormatting sqref="AH75">
    <cfRule type="containsText" dxfId="1131" priority="1" operator="containsText" text="Qualitative">
      <formula>NOT(ISERROR(SEARCH("Qualitative",AH75)))</formula>
    </cfRule>
    <cfRule type="containsText" dxfId="1130" priority="2" operator="containsText" text="Red">
      <formula>NOT(ISERROR(SEARCH("Red",AH75)))</formula>
    </cfRule>
    <cfRule type="containsText" dxfId="1129" priority="3" operator="containsText" text="Orange">
      <formula>NOT(ISERROR(SEARCH("Orange",AH75)))</formula>
    </cfRule>
    <cfRule type="containsText" dxfId="1128" priority="4" operator="containsText" text="Yellow">
      <formula>NOT(ISERROR(SEARCH("Yellow",AH75)))</formula>
    </cfRule>
    <cfRule type="containsText" dxfId="1127" priority="5" operator="containsText" text="Green">
      <formula>NOT(ISERROR(SEARCH("Green",AH75)))</formula>
    </cfRule>
  </conditionalFormatting>
  <conditionalFormatting sqref="H80">
    <cfRule type="containsText" dxfId="1126" priority="390" operator="containsText" text="Not available">
      <formula>NOT(ISERROR(SEARCH("Not available",#REF!)))</formula>
    </cfRule>
    <cfRule type="containsText" dxfId="1125" priority="391" operator="containsText" text="Not applicable">
      <formula>NOT(ISERROR(SEARCH("Not applicable",#REF!)))</formula>
    </cfRule>
    <cfRule type="containsText" dxfId="1124" priority="392" operator="containsText" text="alternative">
      <formula>NOT(ISERROR(SEARCH("alternative",#REF!)))</formula>
    </cfRule>
    <cfRule type="containsText" dxfId="1123" priority="393" operator="containsText" text="pending">
      <formula>NOT(ISERROR(SEARCH("pending",#REF!)))</formula>
    </cfRule>
    <cfRule type="containsText" dxfId="1122" priority="394" operator="containsText" text="Not available">
      <formula>NOT(ISERROR(SEARCH("Not available",#REF!)))</formula>
    </cfRule>
    <cfRule type="containsText" dxfId="1121" priority="395" operator="containsText" text="incomplete">
      <formula>NOT(ISERROR(SEARCH("incomplete",#REF!)))</formula>
    </cfRule>
    <cfRule type="containsText" dxfId="1120" priority="396" operator="containsText" text="Complete">
      <formula>NOT(ISERROR(SEARCH("Complete",#REF!)))</formula>
    </cfRule>
  </conditionalFormatting>
  <conditionalFormatting sqref="H122">
    <cfRule type="containsText" dxfId="1119" priority="299" operator="containsText" text="Not available">
      <formula>NOT(ISERROR(SEARCH("Not available",#REF!)))</formula>
    </cfRule>
    <cfRule type="containsText" dxfId="1118" priority="300" operator="containsText" text="Not applicable">
      <formula>NOT(ISERROR(SEARCH("Not applicable",#REF!)))</formula>
    </cfRule>
    <cfRule type="containsText" dxfId="1117" priority="301" operator="containsText" text="alternative">
      <formula>NOT(ISERROR(SEARCH("alternative",#REF!)))</formula>
    </cfRule>
    <cfRule type="containsText" dxfId="1116" priority="302" operator="containsText" text="pending">
      <formula>NOT(ISERROR(SEARCH("pending",#REF!)))</formula>
    </cfRule>
    <cfRule type="containsText" dxfId="1115" priority="303" operator="containsText" text="Not available">
      <formula>NOT(ISERROR(SEARCH("Not available",#REF!)))</formula>
    </cfRule>
    <cfRule type="containsText" dxfId="1114" priority="304" operator="containsText" text="incomplete">
      <formula>NOT(ISERROR(SEARCH("incomplete",#REF!)))</formula>
    </cfRule>
    <cfRule type="containsText" dxfId="1113" priority="305" operator="containsText" text="Complete">
      <formula>NOT(ISERROR(SEARCH("Complete",#REF!)))</formula>
    </cfRule>
  </conditionalFormatting>
  <dataValidations count="5">
    <dataValidation allowBlank="1" showInputMessage="1" showErrorMessage="1" prompt="[FF] - Form Fill_x000a_[SC] - Single Choice_x000a_[MC] - Mutliple Choice_x000a_[PT] - Predetermined Table_x000a_[TT] - Time Table" sqref="H3" xr:uid="{F3FA0B2E-7CE9-4268-880C-96B1706544EF}"/>
    <dataValidation allowBlank="1" showInputMessage="1" showErrorMessage="1" prompt="[bas] - Basic_x000a_[int] - Intermediate_x000a_[adv] - Advance" sqref="G78 G3:G61 G63:G76" xr:uid="{17FDFACF-B627-43ED-92D8-45343629595E}"/>
    <dataValidation allowBlank="1" showInputMessage="1" showErrorMessage="1" prompt="(if applicable) data from which the answer was derived" sqref="V3" xr:uid="{69BBA89B-FB4F-4A1F-B613-9E73DFDAD03B}"/>
    <dataValidation type="list" allowBlank="1" showInputMessage="1" showErrorMessage="1" sqref="AC43:AC44 AC46" xr:uid="{45D18058-FC0F-47A8-B3E1-45E5568F7261}">
      <formula1>#REF!</formula1>
    </dataValidation>
    <dataValidation type="list" allowBlank="1" showInputMessage="1" showErrorMessage="1" sqref="Y43:Y44 W43:W44 AD43:AE44 W46 AD46:AE46 Y46" xr:uid="{199E0D20-5DF7-47C1-8B59-04BC01F3E0E9}">
      <formula1>#REF!</formula1>
    </dataValidation>
  </dataValidations>
  <hyperlinks>
    <hyperlink ref="L77:T77" r:id="rId1" display="Stakeholders Database" xr:uid="{AEE2C54A-F989-40C6-AC49-F9FE5AC8F479}"/>
    <hyperlink ref="L79:T79" r:id="rId2" display="Policies, Plans and Initiatives Database" xr:uid="{46DFDAC5-F29E-4BDD-A84A-6530F0306091}"/>
  </hyperlinks>
  <pageMargins left="0.25" right="0.25" top="0.75" bottom="0.75" header="0.3" footer="0.3"/>
  <pageSetup scale="22" fitToHeight="2" orientation="landscape" horizontalDpi="4294967292" verticalDpi="4294967292" r:id="rId3"/>
  <drawing r:id="rId4"/>
  <extLst>
    <ext xmlns:x14="http://schemas.microsoft.com/office/spreadsheetml/2009/9/main" uri="{CCE6A557-97BC-4b89-ADB6-D9C93CAAB3DF}">
      <x14:dataValidations xmlns:xm="http://schemas.microsoft.com/office/excel/2006/main" count="11">
        <x14:dataValidation type="list" allowBlank="1" showInputMessage="1" showErrorMessage="1" xr:uid="{1CD887C0-3B80-4A13-A165-EEB38847D711}">
          <x14:formula1>
            <xm:f>'Drop lists '!$A$2:$A$7</xm:f>
          </x14:formula1>
          <xm:sqref>U6 U11 U16:U17 U43:U44 U46:U47 U63 U66 U74:U75</xm:sqref>
        </x14:dataValidation>
        <x14:dataValidation type="list" allowBlank="1" showInputMessage="1" showErrorMessage="1" xr:uid="{9274C92D-0BA4-477D-897B-F6D3895DCE45}">
          <x14:formula1>
            <xm:f>'Auxiliar Values'!$F$2:$F$3</xm:f>
          </x14:formula1>
          <xm:sqref>L46 P7:P14</xm:sqref>
        </x14:dataValidation>
        <x14:dataValidation type="list" allowBlank="1" showInputMessage="1" showErrorMessage="1" xr:uid="{A189B722-A1E1-44AA-9381-726A0AE6B133}">
          <x14:formula1>
            <xm:f>'/Users/crpp/Library/Containers/com.microsoft.Excel/Data/Documents/D:\CRPP\1 CALIBRATION\03_BIN\[03_BI - Data Entry + Assessment.xlsm]Auxiliar Values'!#REF!</xm:f>
          </x14:formula1>
          <xm:sqref>AC16:AE16 W16 Y16</xm:sqref>
        </x14:dataValidation>
        <x14:dataValidation type="list" allowBlank="1" showInputMessage="1" showErrorMessage="1" xr:uid="{9EEF26E4-79B9-4B87-82E9-D7B822601D10}">
          <x14:formula1>
            <xm:f>'/Users/crpp/Library/Containers/com.microsoft.Excel/Data/Documents/D:\CRPP\1 CALIBRATION\03_BIN\[03_BI - Data Entry + Assessment.xlsm]Drop lists '!#REF!</xm:f>
          </x14:formula1>
          <xm:sqref>AF16</xm:sqref>
        </x14:dataValidation>
        <x14:dataValidation type="list" allowBlank="1" showInputMessage="1" showErrorMessage="1" xr:uid="{C1121DA6-9C63-4EF9-8CB0-0F7E0DC15BBD}">
          <x14:formula1>
            <xm:f>'Auxiliar Values'!$V$2:$V$3</xm:f>
          </x14:formula1>
          <xm:sqref>L16</xm:sqref>
        </x14:dataValidation>
        <x14:dataValidation type="list" allowBlank="1" showInputMessage="1" showErrorMessage="1" xr:uid="{B6635E1F-B0EC-418A-BCD1-5DEDEBFF01E9}">
          <x14:formula1>
            <xm:f>'Auxiliar Values'!$O$2:$O$9</xm:f>
          </x14:formula1>
          <xm:sqref>H74:H75 H46:H61 H6:H44 H63:H66</xm:sqref>
        </x14:dataValidation>
        <x14:dataValidation type="list" allowBlank="1" showInputMessage="1" showErrorMessage="1" xr:uid="{56F66D59-1DC4-4124-8887-F40BB08B4180}">
          <x14:formula1>
            <xm:f>'Auxiliar Values'!$Q$2:$Q$3</xm:f>
          </x14:formula1>
          <xm:sqref>M47:M61 L66:L73 N18:N41 P18:P41</xm:sqref>
        </x14:dataValidation>
        <x14:dataValidation type="list" allowBlank="1" showInputMessage="1" showErrorMessage="1" xr:uid="{B152636A-67DF-4676-931C-7F8EC9729123}">
          <x14:formula1>
            <xm:f>'Drop lists '!$C$2:$C$5</xm:f>
          </x14:formula1>
          <xm:sqref>AF43:AF44 AF46</xm:sqref>
        </x14:dataValidation>
        <x14:dataValidation type="list" allowBlank="1" showInputMessage="1" showErrorMessage="1" xr:uid="{DCC6D503-8E91-4340-B845-B0E14F854A25}">
          <x14:formula1>
            <xm:f>'Auxiliar Values'!$B$13:$B$14</xm:f>
          </x14:formula1>
          <xm:sqref>L43:L44</xm:sqref>
        </x14:dataValidation>
        <x14:dataValidation type="list" allowBlank="1" showInputMessage="1" showErrorMessage="1" xr:uid="{FD397DCE-C2DC-4D82-ACE5-2D54C557BD0E}">
          <x14:formula1>
            <xm:f>'Auxiliar Values'!$M$144:$M$148</xm:f>
          </x14:formula1>
          <xm:sqref>L75</xm:sqref>
        </x14:dataValidation>
        <x14:dataValidation type="list" allowBlank="1" showInputMessage="1" showErrorMessage="1" xr:uid="{EC0DFBF3-F231-4470-9510-D0397734DB75}">
          <x14:formula1>
            <xm:f>'Drop lists '!$A$25:$A$31</xm:f>
          </x14:formula1>
          <xm:sqref>AH43 AH75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CB24D-1011-4712-AD5D-C441DE893F3E}">
  <sheetPr codeName="Sheet5">
    <tabColor theme="4"/>
    <outlinePr summaryBelow="0" summaryRight="0"/>
    <pageSetUpPr fitToPage="1"/>
  </sheetPr>
  <dimension ref="A1:DS1048252"/>
  <sheetViews>
    <sheetView showGridLines="0" zoomScaleNormal="100" zoomScalePageLayoutView="80" workbookViewId="0">
      <pane xSplit="4" ySplit="3" topLeftCell="E50" activePane="bottomRight" state="frozen"/>
      <selection activeCell="K26" sqref="K26:R26"/>
      <selection pane="topRight" activeCell="K26" sqref="K26:R26"/>
      <selection pane="bottomLeft" activeCell="K26" sqref="K26:R26"/>
      <selection pane="bottomRight" activeCell="D47" sqref="D47"/>
    </sheetView>
  </sheetViews>
  <sheetFormatPr baseColWidth="10" defaultColWidth="15.1640625" defaultRowHeight="17" outlineLevelCol="1"/>
  <cols>
    <col min="1" max="1" width="3.6640625" style="140" customWidth="1"/>
    <col min="2" max="2" width="12.6640625" style="30" customWidth="1"/>
    <col min="3" max="3" width="8.6640625" style="30" customWidth="1"/>
    <col min="4" max="4" width="50.6640625" style="30" customWidth="1"/>
    <col min="5" max="5" width="12.6640625" style="65" customWidth="1" outlineLevel="1"/>
    <col min="6" max="6" width="50.6640625" style="30" customWidth="1" outlineLevel="1"/>
    <col min="7" max="7" width="9.6640625" style="30" customWidth="1" outlineLevel="1"/>
    <col min="8" max="8" width="11" style="30" customWidth="1" outlineLevel="1"/>
    <col min="9" max="9" width="35.1640625" style="30" customWidth="1" outlineLevel="1"/>
    <col min="10" max="10" width="17.6640625" style="65" customWidth="1" outlineLevel="1"/>
    <col min="11" max="11" width="25.6640625" style="30" customWidth="1"/>
    <col min="12" max="12" width="19.6640625" style="220" customWidth="1"/>
    <col min="13" max="20" width="7.6640625" style="220" customWidth="1" outlineLevel="1"/>
    <col min="21" max="21" width="15.6640625" style="221" customWidth="1"/>
    <col min="22" max="22" width="25.5" style="220" customWidth="1" outlineLevel="1"/>
    <col min="23" max="23" width="15.1640625" style="220" customWidth="1" outlineLevel="1"/>
    <col min="24" max="24" width="16" style="220" customWidth="1" outlineLevel="1"/>
    <col min="25" max="25" width="15.1640625" style="220" customWidth="1" outlineLevel="1"/>
    <col min="26" max="26" width="12.6640625" style="220" customWidth="1" outlineLevel="1"/>
    <col min="27" max="27" width="20.6640625" style="220" customWidth="1" outlineLevel="1"/>
    <col min="28" max="28" width="14.1640625" style="220" customWidth="1" outlineLevel="1"/>
    <col min="29" max="29" width="16.6640625" style="220" customWidth="1" outlineLevel="1"/>
    <col min="30" max="31" width="15.1640625" style="220" customWidth="1" outlineLevel="1"/>
    <col min="32" max="32" width="15.6640625" style="519" customWidth="1" collapsed="1"/>
    <col min="33" max="33" width="50.6640625" style="220" customWidth="1"/>
    <col min="34" max="34" width="15.6640625" style="221" customWidth="1"/>
    <col min="35" max="36" width="50.6640625" style="220" customWidth="1"/>
    <col min="37" max="38" width="15.1640625" style="30"/>
    <col min="39" max="16384" width="15.1640625" style="61"/>
  </cols>
  <sheetData>
    <row r="1" spans="1:38" s="199" customFormat="1" ht="75.5" customHeight="1">
      <c r="A1" s="558"/>
      <c r="B1" s="1115"/>
      <c r="C1" s="567"/>
      <c r="D1" s="567"/>
      <c r="E1" s="539"/>
      <c r="F1" s="1113"/>
      <c r="G1" s="539"/>
      <c r="H1" s="539"/>
      <c r="I1" s="567"/>
      <c r="J1" s="539"/>
      <c r="K1" s="200"/>
      <c r="L1" s="200"/>
      <c r="M1" s="200"/>
      <c r="N1" s="200"/>
      <c r="O1" s="200"/>
      <c r="P1" s="200"/>
      <c r="Q1" s="200"/>
      <c r="R1" s="200"/>
      <c r="S1" s="200"/>
      <c r="T1" s="200"/>
      <c r="U1" s="830"/>
      <c r="V1" s="200"/>
      <c r="W1" s="567"/>
      <c r="X1" s="200"/>
      <c r="Y1" s="200"/>
      <c r="Z1" s="200"/>
      <c r="AA1" s="200"/>
      <c r="AB1" s="200"/>
      <c r="AC1" s="200"/>
      <c r="AD1" s="200"/>
      <c r="AE1" s="200"/>
      <c r="AF1" s="1114"/>
      <c r="AG1" s="200"/>
      <c r="AH1" s="830"/>
      <c r="AI1" s="200"/>
      <c r="AJ1" s="200"/>
    </row>
    <row r="2" spans="1:38" s="541" customFormat="1">
      <c r="A2" s="540"/>
      <c r="B2" s="1379"/>
      <c r="C2" s="1381" t="s">
        <v>69</v>
      </c>
      <c r="D2" s="1381"/>
      <c r="E2" s="1383" t="s">
        <v>70</v>
      </c>
      <c r="F2" s="1384"/>
      <c r="G2" s="1384"/>
      <c r="H2" s="1384"/>
      <c r="I2" s="1384"/>
      <c r="J2" s="1384"/>
      <c r="K2" s="1385"/>
      <c r="L2" s="1260" t="s">
        <v>71</v>
      </c>
      <c r="M2" s="1257"/>
      <c r="N2" s="1257"/>
      <c r="O2" s="1257"/>
      <c r="P2" s="1257"/>
      <c r="Q2" s="1257"/>
      <c r="R2" s="1257"/>
      <c r="S2" s="1257"/>
      <c r="T2" s="1257"/>
      <c r="U2" s="1261" t="s">
        <v>72</v>
      </c>
      <c r="V2" s="1256" t="s">
        <v>73</v>
      </c>
      <c r="W2" s="1257"/>
      <c r="X2" s="1257"/>
      <c r="Y2" s="1257"/>
      <c r="Z2" s="1257"/>
      <c r="AA2" s="1257"/>
      <c r="AB2" s="1257"/>
      <c r="AC2" s="1257"/>
      <c r="AD2" s="1254" t="s">
        <v>88</v>
      </c>
      <c r="AE2" s="1254" t="s">
        <v>90</v>
      </c>
      <c r="AF2" s="1258" t="s">
        <v>1</v>
      </c>
      <c r="AG2" s="1251" t="s">
        <v>464</v>
      </c>
      <c r="AH2" s="1268" t="s">
        <v>54</v>
      </c>
      <c r="AI2" s="1251" t="s">
        <v>465</v>
      </c>
      <c r="AJ2" s="1249" t="s">
        <v>466</v>
      </c>
    </row>
    <row r="3" spans="1:38" s="541" customFormat="1" ht="36" customHeight="1">
      <c r="A3" s="540"/>
      <c r="B3" s="1380"/>
      <c r="C3" s="1382"/>
      <c r="D3" s="1382"/>
      <c r="E3" s="542" t="s">
        <v>74</v>
      </c>
      <c r="F3" s="543" t="s">
        <v>458</v>
      </c>
      <c r="G3" s="543" t="s">
        <v>75</v>
      </c>
      <c r="H3" s="543" t="s">
        <v>76</v>
      </c>
      <c r="I3" s="543" t="s">
        <v>77</v>
      </c>
      <c r="J3" s="543" t="s">
        <v>78</v>
      </c>
      <c r="K3" s="544" t="s">
        <v>79</v>
      </c>
      <c r="L3" s="201" t="s">
        <v>80</v>
      </c>
      <c r="M3" s="1253" t="s">
        <v>14</v>
      </c>
      <c r="N3" s="1253"/>
      <c r="O3" s="1253"/>
      <c r="P3" s="1253"/>
      <c r="Q3" s="1253"/>
      <c r="R3" s="1253"/>
      <c r="S3" s="1253"/>
      <c r="T3" s="1253"/>
      <c r="U3" s="1262"/>
      <c r="V3" s="642" t="s">
        <v>81</v>
      </c>
      <c r="W3" s="642" t="s">
        <v>82</v>
      </c>
      <c r="X3" s="642" t="s">
        <v>83</v>
      </c>
      <c r="Y3" s="642" t="s">
        <v>84</v>
      </c>
      <c r="Z3" s="642" t="s">
        <v>85</v>
      </c>
      <c r="AA3" s="642" t="s">
        <v>86</v>
      </c>
      <c r="AB3" s="642" t="s">
        <v>87</v>
      </c>
      <c r="AC3" s="642" t="s">
        <v>89</v>
      </c>
      <c r="AD3" s="1255"/>
      <c r="AE3" s="1255"/>
      <c r="AF3" s="1259"/>
      <c r="AG3" s="1252"/>
      <c r="AH3" s="1269"/>
      <c r="AI3" s="1252"/>
      <c r="AJ3" s="1250"/>
    </row>
    <row r="4" spans="1:38" s="549" customFormat="1" ht="27" customHeight="1">
      <c r="A4" s="545"/>
      <c r="B4" s="546" t="s">
        <v>1266</v>
      </c>
      <c r="C4" s="547" t="s">
        <v>1007</v>
      </c>
      <c r="D4" s="205"/>
      <c r="E4" s="548"/>
      <c r="F4" s="204"/>
      <c r="G4" s="204"/>
      <c r="H4" s="204"/>
      <c r="I4" s="204"/>
      <c r="J4" s="204"/>
      <c r="K4" s="204"/>
      <c r="L4" s="506"/>
      <c r="M4" s="507"/>
      <c r="N4" s="507"/>
      <c r="O4" s="507"/>
      <c r="P4" s="507"/>
      <c r="Q4" s="507"/>
      <c r="R4" s="507"/>
      <c r="S4" s="507"/>
      <c r="T4" s="508"/>
      <c r="U4" s="489"/>
      <c r="V4" s="205"/>
      <c r="W4" s="205"/>
      <c r="X4" s="205"/>
      <c r="Y4" s="205"/>
      <c r="Z4" s="205"/>
      <c r="AA4" s="205"/>
      <c r="AB4" s="205"/>
      <c r="AC4" s="205"/>
      <c r="AD4" s="206"/>
      <c r="AE4" s="206"/>
      <c r="AF4" s="206"/>
      <c r="AG4" s="207"/>
      <c r="AH4" s="972"/>
      <c r="AI4" s="973"/>
      <c r="AJ4" s="204"/>
    </row>
    <row r="5" spans="1:38" s="557" customFormat="1" ht="27" customHeight="1" thickBot="1">
      <c r="A5" s="550" t="s">
        <v>34</v>
      </c>
      <c r="B5" s="551" t="s">
        <v>1008</v>
      </c>
      <c r="C5" s="552" t="s">
        <v>1009</v>
      </c>
      <c r="D5" s="553"/>
      <c r="E5" s="554"/>
      <c r="F5" s="555"/>
      <c r="G5" s="144"/>
      <c r="H5" s="144"/>
      <c r="I5" s="144"/>
      <c r="J5" s="144"/>
      <c r="K5" s="144"/>
      <c r="L5" s="143"/>
      <c r="M5" s="144"/>
      <c r="N5" s="144"/>
      <c r="O5" s="144"/>
      <c r="P5" s="144"/>
      <c r="Q5" s="144"/>
      <c r="R5" s="144"/>
      <c r="S5" s="144"/>
      <c r="T5" s="483"/>
      <c r="U5" s="145"/>
      <c r="V5" s="146"/>
      <c r="W5" s="146"/>
      <c r="X5" s="146"/>
      <c r="Y5" s="146"/>
      <c r="Z5" s="146"/>
      <c r="AA5" s="146"/>
      <c r="AB5" s="146"/>
      <c r="AC5" s="146"/>
      <c r="AD5" s="145"/>
      <c r="AE5" s="145"/>
      <c r="AF5" s="145"/>
      <c r="AG5" s="147"/>
      <c r="AH5" s="747"/>
      <c r="AI5" s="147"/>
      <c r="AJ5" s="144"/>
      <c r="AK5" s="556"/>
      <c r="AL5" s="556"/>
    </row>
    <row r="6" spans="1:38" s="567" customFormat="1" ht="35" customHeight="1">
      <c r="A6" s="558" t="s">
        <v>2</v>
      </c>
      <c r="B6" s="559"/>
      <c r="C6" s="568" t="s">
        <v>1011</v>
      </c>
      <c r="D6" s="1470" t="s">
        <v>1010</v>
      </c>
      <c r="E6" s="1555" t="s">
        <v>1221</v>
      </c>
      <c r="F6" s="1328" t="s">
        <v>1036</v>
      </c>
      <c r="G6" s="669" t="s">
        <v>91</v>
      </c>
      <c r="H6" s="670" t="s">
        <v>92</v>
      </c>
      <c r="I6" s="1328" t="s">
        <v>1012</v>
      </c>
      <c r="J6" s="865" t="s">
        <v>725</v>
      </c>
      <c r="K6" s="871" t="s">
        <v>1023</v>
      </c>
      <c r="L6" s="1128"/>
      <c r="M6" s="1534"/>
      <c r="N6" s="1535"/>
      <c r="O6" s="1535"/>
      <c r="P6" s="1535"/>
      <c r="Q6" s="1535"/>
      <c r="R6" s="1535"/>
      <c r="S6" s="1535"/>
      <c r="T6" s="1535"/>
      <c r="U6" s="1159" t="s">
        <v>11</v>
      </c>
      <c r="V6" s="643"/>
      <c r="W6" s="643"/>
      <c r="X6" s="643"/>
      <c r="Y6" s="669"/>
      <c r="Z6" s="643"/>
      <c r="AA6" s="643"/>
      <c r="AB6" s="643"/>
      <c r="AC6" s="479"/>
      <c r="AD6" s="480"/>
      <c r="AE6" s="480"/>
      <c r="AF6" s="521"/>
      <c r="AG6" s="56"/>
      <c r="AH6" s="1162" t="s">
        <v>44</v>
      </c>
      <c r="AI6" s="56"/>
      <c r="AJ6" s="191"/>
      <c r="AK6" s="566"/>
      <c r="AL6" s="566"/>
    </row>
    <row r="7" spans="1:38" s="567" customFormat="1" ht="35" customHeight="1">
      <c r="A7" s="558"/>
      <c r="B7" s="559"/>
      <c r="C7" s="573"/>
      <c r="D7" s="1471"/>
      <c r="E7" s="1556"/>
      <c r="F7" s="1329"/>
      <c r="G7" s="647"/>
      <c r="H7" s="646"/>
      <c r="I7" s="1329"/>
      <c r="J7" s="577"/>
      <c r="K7" s="866" t="s">
        <v>1013</v>
      </c>
      <c r="L7" s="1129"/>
      <c r="M7" s="1536"/>
      <c r="N7" s="1537"/>
      <c r="O7" s="1537"/>
      <c r="P7" s="1537"/>
      <c r="Q7" s="1537"/>
      <c r="R7" s="1537"/>
      <c r="S7" s="1537"/>
      <c r="T7" s="1537"/>
      <c r="U7" s="1160"/>
      <c r="V7" s="644"/>
      <c r="W7" s="644"/>
      <c r="X7" s="644"/>
      <c r="Y7" s="647"/>
      <c r="Z7" s="644"/>
      <c r="AA7" s="644"/>
      <c r="AB7" s="644"/>
      <c r="AC7" s="481"/>
      <c r="AD7" s="482"/>
      <c r="AE7" s="482"/>
      <c r="AF7" s="522"/>
      <c r="AG7" s="59"/>
      <c r="AH7" s="1163"/>
      <c r="AI7" s="59"/>
      <c r="AJ7" s="213"/>
      <c r="AK7" s="566"/>
      <c r="AL7" s="566"/>
    </row>
    <row r="8" spans="1:38" s="567" customFormat="1" ht="35" customHeight="1">
      <c r="A8" s="558"/>
      <c r="B8" s="559"/>
      <c r="C8" s="573"/>
      <c r="D8" s="1471"/>
      <c r="E8" s="1556"/>
      <c r="F8" s="1329"/>
      <c r="G8" s="647"/>
      <c r="H8" s="646"/>
      <c r="I8" s="1329"/>
      <c r="J8" s="577"/>
      <c r="K8" s="866" t="s">
        <v>1014</v>
      </c>
      <c r="L8" s="1129"/>
      <c r="M8" s="1536"/>
      <c r="N8" s="1537"/>
      <c r="O8" s="1537"/>
      <c r="P8" s="1537"/>
      <c r="Q8" s="1537"/>
      <c r="R8" s="1537"/>
      <c r="S8" s="1537"/>
      <c r="T8" s="1537"/>
      <c r="U8" s="1160"/>
      <c r="V8" s="644"/>
      <c r="W8" s="644"/>
      <c r="X8" s="644"/>
      <c r="Y8" s="647"/>
      <c r="Z8" s="644"/>
      <c r="AA8" s="644"/>
      <c r="AB8" s="644"/>
      <c r="AC8" s="481"/>
      <c r="AD8" s="482"/>
      <c r="AE8" s="482"/>
      <c r="AF8" s="522"/>
      <c r="AG8" s="59"/>
      <c r="AH8" s="1163"/>
      <c r="AI8" s="59"/>
      <c r="AJ8" s="213"/>
      <c r="AK8" s="566"/>
      <c r="AL8" s="566"/>
    </row>
    <row r="9" spans="1:38" s="567" customFormat="1" ht="35" customHeight="1">
      <c r="A9" s="558"/>
      <c r="B9" s="559"/>
      <c r="C9" s="573"/>
      <c r="D9" s="1471"/>
      <c r="E9" s="1556"/>
      <c r="F9" s="1329"/>
      <c r="G9" s="647"/>
      <c r="H9" s="646"/>
      <c r="I9" s="1329"/>
      <c r="J9" s="577"/>
      <c r="K9" s="866" t="s">
        <v>1015</v>
      </c>
      <c r="L9" s="1130"/>
      <c r="M9" s="869"/>
      <c r="N9" s="870"/>
      <c r="O9" s="870"/>
      <c r="P9" s="870"/>
      <c r="Q9" s="870"/>
      <c r="R9" s="870"/>
      <c r="S9" s="870"/>
      <c r="T9" s="870"/>
      <c r="U9" s="1160"/>
      <c r="V9" s="644"/>
      <c r="W9" s="644"/>
      <c r="X9" s="644"/>
      <c r="Y9" s="647"/>
      <c r="Z9" s="644"/>
      <c r="AA9" s="644"/>
      <c r="AB9" s="644"/>
      <c r="AC9" s="481"/>
      <c r="AD9" s="482"/>
      <c r="AE9" s="482"/>
      <c r="AF9" s="522"/>
      <c r="AG9" s="59"/>
      <c r="AH9" s="1163"/>
      <c r="AI9" s="59"/>
      <c r="AJ9" s="213"/>
      <c r="AK9" s="566"/>
      <c r="AL9" s="566"/>
    </row>
    <row r="10" spans="1:38" s="567" customFormat="1" ht="35" customHeight="1" thickBot="1">
      <c r="A10" s="558"/>
      <c r="B10" s="559"/>
      <c r="C10" s="573"/>
      <c r="D10" s="1471"/>
      <c r="E10" s="1557"/>
      <c r="F10" s="1329"/>
      <c r="G10" s="647"/>
      <c r="H10" s="646"/>
      <c r="I10" s="1329"/>
      <c r="J10" s="577"/>
      <c r="K10" s="866" t="s">
        <v>1016</v>
      </c>
      <c r="L10" s="1131"/>
      <c r="M10" s="1538"/>
      <c r="N10" s="1539"/>
      <c r="O10" s="1539"/>
      <c r="P10" s="1539"/>
      <c r="Q10" s="1539"/>
      <c r="R10" s="1539"/>
      <c r="S10" s="1539"/>
      <c r="T10" s="1539"/>
      <c r="U10" s="1160"/>
      <c r="V10" s="644"/>
      <c r="W10" s="644"/>
      <c r="X10" s="644"/>
      <c r="Y10" s="647"/>
      <c r="Z10" s="644"/>
      <c r="AA10" s="644"/>
      <c r="AB10" s="644"/>
      <c r="AC10" s="481"/>
      <c r="AD10" s="482"/>
      <c r="AE10" s="482"/>
      <c r="AF10" s="522"/>
      <c r="AG10" s="59"/>
      <c r="AH10" s="1164"/>
      <c r="AI10" s="59"/>
      <c r="AJ10" s="213"/>
      <c r="AK10" s="566"/>
      <c r="AL10" s="566"/>
    </row>
    <row r="11" spans="1:38" s="567" customFormat="1" ht="35" customHeight="1">
      <c r="A11" s="558" t="s">
        <v>2</v>
      </c>
      <c r="B11" s="559"/>
      <c r="C11" s="568" t="s">
        <v>1018</v>
      </c>
      <c r="D11" s="1470" t="s">
        <v>1017</v>
      </c>
      <c r="E11" s="1555" t="s">
        <v>1222</v>
      </c>
      <c r="F11" s="1328" t="s">
        <v>1019</v>
      </c>
      <c r="G11" s="669" t="s">
        <v>91</v>
      </c>
      <c r="H11" s="670" t="s">
        <v>92</v>
      </c>
      <c r="I11" s="1328" t="s">
        <v>1012</v>
      </c>
      <c r="J11" s="572" t="s">
        <v>725</v>
      </c>
      <c r="K11" s="875" t="s">
        <v>1023</v>
      </c>
      <c r="L11" s="1128"/>
      <c r="M11" s="1534"/>
      <c r="N11" s="1535"/>
      <c r="O11" s="1535"/>
      <c r="P11" s="1535"/>
      <c r="Q11" s="1535"/>
      <c r="R11" s="1535"/>
      <c r="S11" s="1535"/>
      <c r="T11" s="1535"/>
      <c r="U11" s="1159" t="s">
        <v>11</v>
      </c>
      <c r="V11" s="643"/>
      <c r="W11" s="643"/>
      <c r="X11" s="643"/>
      <c r="Y11" s="669"/>
      <c r="Z11" s="643"/>
      <c r="AA11" s="643"/>
      <c r="AB11" s="643"/>
      <c r="AC11" s="479"/>
      <c r="AD11" s="480"/>
      <c r="AE11" s="480"/>
      <c r="AF11" s="521"/>
      <c r="AG11" s="56"/>
      <c r="AH11" s="1162" t="s">
        <v>44</v>
      </c>
      <c r="AI11" s="56"/>
      <c r="AJ11" s="191"/>
      <c r="AK11" s="566"/>
      <c r="AL11" s="566"/>
    </row>
    <row r="12" spans="1:38" s="567" customFormat="1" ht="35" customHeight="1">
      <c r="A12" s="558"/>
      <c r="B12" s="559"/>
      <c r="C12" s="573"/>
      <c r="D12" s="1471"/>
      <c r="E12" s="1556"/>
      <c r="F12" s="1329"/>
      <c r="G12" s="647"/>
      <c r="H12" s="646"/>
      <c r="I12" s="1329"/>
      <c r="J12" s="577"/>
      <c r="K12" s="872" t="s">
        <v>1020</v>
      </c>
      <c r="L12" s="1132"/>
      <c r="M12" s="873"/>
      <c r="N12" s="874"/>
      <c r="O12" s="874"/>
      <c r="P12" s="874"/>
      <c r="Q12" s="874"/>
      <c r="R12" s="874"/>
      <c r="S12" s="874"/>
      <c r="T12" s="874"/>
      <c r="U12" s="1160"/>
      <c r="V12" s="644"/>
      <c r="W12" s="644"/>
      <c r="X12" s="644"/>
      <c r="Y12" s="647"/>
      <c r="Z12" s="644"/>
      <c r="AA12" s="644"/>
      <c r="AB12" s="644"/>
      <c r="AC12" s="481"/>
      <c r="AD12" s="482"/>
      <c r="AE12" s="482"/>
      <c r="AF12" s="522"/>
      <c r="AG12" s="59"/>
      <c r="AH12" s="1163"/>
      <c r="AI12" s="59"/>
      <c r="AJ12" s="213"/>
      <c r="AK12" s="566"/>
      <c r="AL12" s="566"/>
    </row>
    <row r="13" spans="1:38" s="567" customFormat="1" ht="35" customHeight="1">
      <c r="A13" s="558"/>
      <c r="B13" s="559"/>
      <c r="C13" s="573"/>
      <c r="D13" s="1471"/>
      <c r="E13" s="1556"/>
      <c r="F13" s="1329"/>
      <c r="G13" s="647"/>
      <c r="H13" s="646"/>
      <c r="I13" s="1329"/>
      <c r="J13" s="577"/>
      <c r="K13" s="866" t="s">
        <v>1021</v>
      </c>
      <c r="L13" s="1129"/>
      <c r="M13" s="1536"/>
      <c r="N13" s="1537"/>
      <c r="O13" s="1537"/>
      <c r="P13" s="1537"/>
      <c r="Q13" s="1537"/>
      <c r="R13" s="1537"/>
      <c r="S13" s="1537"/>
      <c r="T13" s="1537"/>
      <c r="U13" s="1160"/>
      <c r="V13" s="644"/>
      <c r="W13" s="644"/>
      <c r="X13" s="644"/>
      <c r="Y13" s="647"/>
      <c r="Z13" s="644"/>
      <c r="AA13" s="644"/>
      <c r="AB13" s="644"/>
      <c r="AC13" s="481"/>
      <c r="AD13" s="482"/>
      <c r="AE13" s="482"/>
      <c r="AF13" s="522"/>
      <c r="AG13" s="59"/>
      <c r="AH13" s="1163"/>
      <c r="AI13" s="59"/>
      <c r="AJ13" s="213"/>
      <c r="AK13" s="566"/>
      <c r="AL13" s="566"/>
    </row>
    <row r="14" spans="1:38" s="567" customFormat="1" ht="35" customHeight="1" thickBot="1">
      <c r="A14" s="558"/>
      <c r="B14" s="559"/>
      <c r="C14" s="573"/>
      <c r="D14" s="1471"/>
      <c r="E14" s="1556"/>
      <c r="F14" s="1329"/>
      <c r="G14" s="647"/>
      <c r="H14" s="646"/>
      <c r="I14" s="1329"/>
      <c r="J14" s="577"/>
      <c r="K14" s="877" t="s">
        <v>1022</v>
      </c>
      <c r="L14" s="1129"/>
      <c r="M14" s="1536"/>
      <c r="N14" s="1537"/>
      <c r="O14" s="1537"/>
      <c r="P14" s="1537"/>
      <c r="Q14" s="1537"/>
      <c r="R14" s="1537"/>
      <c r="S14" s="1537"/>
      <c r="T14" s="1537"/>
      <c r="U14" s="1160"/>
      <c r="V14" s="644"/>
      <c r="W14" s="644"/>
      <c r="X14" s="644"/>
      <c r="Y14" s="647"/>
      <c r="Z14" s="644"/>
      <c r="AA14" s="644"/>
      <c r="AB14" s="644"/>
      <c r="AC14" s="481"/>
      <c r="AD14" s="482"/>
      <c r="AE14" s="482"/>
      <c r="AF14" s="522"/>
      <c r="AG14" s="59"/>
      <c r="AH14" s="1164"/>
      <c r="AI14" s="59"/>
      <c r="AJ14" s="213"/>
      <c r="AK14" s="566"/>
      <c r="AL14" s="566"/>
    </row>
    <row r="15" spans="1:38" s="567" customFormat="1" ht="35" customHeight="1" thickBot="1">
      <c r="A15" s="558" t="s">
        <v>2</v>
      </c>
      <c r="B15" s="559"/>
      <c r="C15" s="568" t="s">
        <v>1024</v>
      </c>
      <c r="D15" s="1470" t="s">
        <v>1025</v>
      </c>
      <c r="E15" s="1558" t="s">
        <v>1223</v>
      </c>
      <c r="F15" s="1328" t="s">
        <v>1030</v>
      </c>
      <c r="G15" s="669" t="s">
        <v>91</v>
      </c>
      <c r="H15" s="670" t="s">
        <v>92</v>
      </c>
      <c r="I15" s="1328" t="s">
        <v>1012</v>
      </c>
      <c r="J15" s="572" t="s">
        <v>725</v>
      </c>
      <c r="K15" s="879"/>
      <c r="L15" s="876" t="s">
        <v>112</v>
      </c>
      <c r="M15" s="1461" t="s">
        <v>98</v>
      </c>
      <c r="N15" s="1461"/>
      <c r="O15" s="1461"/>
      <c r="P15" s="1461"/>
      <c r="Q15" s="1461" t="s">
        <v>99</v>
      </c>
      <c r="R15" s="1461"/>
      <c r="S15" s="1461"/>
      <c r="T15" s="1552"/>
      <c r="U15" s="1159" t="s">
        <v>11</v>
      </c>
      <c r="V15" s="643"/>
      <c r="W15" s="643"/>
      <c r="X15" s="643"/>
      <c r="Y15" s="669"/>
      <c r="Z15" s="643"/>
      <c r="AA15" s="643"/>
      <c r="AB15" s="643"/>
      <c r="AC15" s="479"/>
      <c r="AD15" s="480"/>
      <c r="AE15" s="480"/>
      <c r="AF15" s="521"/>
      <c r="AG15" s="56"/>
      <c r="AH15" s="1162" t="s">
        <v>44</v>
      </c>
      <c r="AI15" s="56"/>
      <c r="AJ15" s="191"/>
      <c r="AK15" s="566"/>
      <c r="AL15" s="566"/>
    </row>
    <row r="16" spans="1:38" s="567" customFormat="1" ht="35" customHeight="1" thickBot="1">
      <c r="A16" s="558"/>
      <c r="B16" s="559"/>
      <c r="C16" s="573"/>
      <c r="D16" s="1471"/>
      <c r="E16" s="1558"/>
      <c r="F16" s="1329"/>
      <c r="G16" s="647"/>
      <c r="H16" s="646"/>
      <c r="I16" s="1329"/>
      <c r="J16" s="577"/>
      <c r="K16" s="878" t="s">
        <v>1023</v>
      </c>
      <c r="L16" s="1132"/>
      <c r="M16" s="1442"/>
      <c r="N16" s="1442"/>
      <c r="O16" s="1442"/>
      <c r="P16" s="1442"/>
      <c r="Q16" s="1442"/>
      <c r="R16" s="1442"/>
      <c r="S16" s="1442"/>
      <c r="T16" s="1536"/>
      <c r="U16" s="1160"/>
      <c r="V16" s="644"/>
      <c r="W16" s="644"/>
      <c r="X16" s="644"/>
      <c r="Y16" s="647"/>
      <c r="Z16" s="644"/>
      <c r="AA16" s="644"/>
      <c r="AB16" s="644"/>
      <c r="AC16" s="481"/>
      <c r="AD16" s="482"/>
      <c r="AE16" s="482"/>
      <c r="AF16" s="522"/>
      <c r="AG16" s="59"/>
      <c r="AH16" s="1163"/>
      <c r="AI16" s="59"/>
      <c r="AJ16" s="213"/>
      <c r="AK16" s="566"/>
      <c r="AL16" s="566"/>
    </row>
    <row r="17" spans="1:38" s="567" customFormat="1" ht="35" customHeight="1" thickBot="1">
      <c r="A17" s="558"/>
      <c r="B17" s="559"/>
      <c r="C17" s="573"/>
      <c r="D17" s="1471"/>
      <c r="E17" s="1558"/>
      <c r="F17" s="1329"/>
      <c r="G17" s="647"/>
      <c r="H17" s="646"/>
      <c r="I17" s="1329"/>
      <c r="J17" s="577"/>
      <c r="K17" s="872" t="s">
        <v>1026</v>
      </c>
      <c r="L17" s="1129"/>
      <c r="M17" s="1442"/>
      <c r="N17" s="1442"/>
      <c r="O17" s="1442"/>
      <c r="P17" s="1442"/>
      <c r="Q17" s="1442"/>
      <c r="R17" s="1442"/>
      <c r="S17" s="1442"/>
      <c r="T17" s="1536"/>
      <c r="U17" s="1160"/>
      <c r="V17" s="644"/>
      <c r="W17" s="644"/>
      <c r="X17" s="644"/>
      <c r="Y17" s="647"/>
      <c r="Z17" s="644"/>
      <c r="AA17" s="644"/>
      <c r="AB17" s="644"/>
      <c r="AC17" s="481"/>
      <c r="AD17" s="482"/>
      <c r="AE17" s="482"/>
      <c r="AF17" s="522"/>
      <c r="AG17" s="59"/>
      <c r="AH17" s="1163"/>
      <c r="AI17" s="59"/>
      <c r="AJ17" s="213"/>
      <c r="AK17" s="566"/>
      <c r="AL17" s="566"/>
    </row>
    <row r="18" spans="1:38" s="567" customFormat="1" ht="35" customHeight="1" thickBot="1">
      <c r="A18" s="558"/>
      <c r="B18" s="559"/>
      <c r="C18" s="573"/>
      <c r="D18" s="1471"/>
      <c r="E18" s="1558"/>
      <c r="F18" s="1329"/>
      <c r="G18" s="647"/>
      <c r="H18" s="646"/>
      <c r="I18" s="1329"/>
      <c r="J18" s="577"/>
      <c r="K18" s="877" t="s">
        <v>1027</v>
      </c>
      <c r="L18" s="1129"/>
      <c r="M18" s="1442"/>
      <c r="N18" s="1442"/>
      <c r="O18" s="1442"/>
      <c r="P18" s="1442"/>
      <c r="Q18" s="1442"/>
      <c r="R18" s="1442"/>
      <c r="S18" s="1442"/>
      <c r="T18" s="1536"/>
      <c r="U18" s="1160"/>
      <c r="V18" s="644"/>
      <c r="W18" s="644"/>
      <c r="X18" s="644"/>
      <c r="Y18" s="647"/>
      <c r="Z18" s="644"/>
      <c r="AA18" s="644"/>
      <c r="AB18" s="644"/>
      <c r="AC18" s="481"/>
      <c r="AD18" s="482"/>
      <c r="AE18" s="482"/>
      <c r="AF18" s="522"/>
      <c r="AG18" s="59"/>
      <c r="AH18" s="1164"/>
      <c r="AI18" s="59"/>
      <c r="AJ18" s="213"/>
      <c r="AK18" s="566"/>
      <c r="AL18" s="566"/>
    </row>
    <row r="19" spans="1:38" s="567" customFormat="1" ht="35" customHeight="1" thickBot="1">
      <c r="A19" s="558" t="s">
        <v>2</v>
      </c>
      <c r="B19" s="559"/>
      <c r="C19" s="568" t="s">
        <v>1028</v>
      </c>
      <c r="D19" s="569" t="s">
        <v>1029</v>
      </c>
      <c r="E19" s="901"/>
      <c r="F19" s="643" t="s">
        <v>1031</v>
      </c>
      <c r="G19" s="669" t="s">
        <v>97</v>
      </c>
      <c r="H19" s="670" t="s">
        <v>92</v>
      </c>
      <c r="I19" s="880" t="s">
        <v>1032</v>
      </c>
      <c r="J19" s="572" t="s">
        <v>725</v>
      </c>
      <c r="K19" s="881"/>
      <c r="L19" s="1128"/>
      <c r="M19" s="1534"/>
      <c r="N19" s="1535"/>
      <c r="O19" s="1535"/>
      <c r="P19" s="1535"/>
      <c r="Q19" s="1535"/>
      <c r="R19" s="1535"/>
      <c r="S19" s="1535"/>
      <c r="T19" s="1535"/>
      <c r="U19" s="799" t="s">
        <v>11</v>
      </c>
      <c r="V19" s="643"/>
      <c r="W19" s="643"/>
      <c r="X19" s="643"/>
      <c r="Y19" s="669"/>
      <c r="Z19" s="643"/>
      <c r="AA19" s="643"/>
      <c r="AB19" s="643"/>
      <c r="AC19" s="479"/>
      <c r="AD19" s="480"/>
      <c r="AE19" s="480"/>
      <c r="AF19" s="521"/>
      <c r="AG19" s="56"/>
      <c r="AH19" s="811" t="s">
        <v>44</v>
      </c>
      <c r="AI19" s="56"/>
      <c r="AJ19" s="191"/>
      <c r="AK19" s="566"/>
      <c r="AL19" s="566"/>
    </row>
    <row r="20" spans="1:38" s="567" customFormat="1" ht="35" customHeight="1" thickBot="1">
      <c r="A20" s="558" t="s">
        <v>2</v>
      </c>
      <c r="B20" s="559"/>
      <c r="C20" s="568" t="s">
        <v>1033</v>
      </c>
      <c r="D20" s="569" t="s">
        <v>1034</v>
      </c>
      <c r="E20" s="1050" t="s">
        <v>1224</v>
      </c>
      <c r="F20" s="643" t="s">
        <v>1035</v>
      </c>
      <c r="G20" s="669" t="s">
        <v>93</v>
      </c>
      <c r="H20" s="670" t="s">
        <v>92</v>
      </c>
      <c r="I20" s="880" t="s">
        <v>1032</v>
      </c>
      <c r="J20" s="572" t="s">
        <v>725</v>
      </c>
      <c r="K20" s="881"/>
      <c r="L20" s="1133"/>
      <c r="M20" s="1553"/>
      <c r="N20" s="1473"/>
      <c r="O20" s="1473"/>
      <c r="P20" s="1473"/>
      <c r="Q20" s="1473"/>
      <c r="R20" s="1473"/>
      <c r="S20" s="1473"/>
      <c r="T20" s="1473"/>
      <c r="U20" s="860" t="s">
        <v>11</v>
      </c>
      <c r="V20" s="643"/>
      <c r="W20" s="643"/>
      <c r="X20" s="643"/>
      <c r="Y20" s="669"/>
      <c r="Z20" s="643"/>
      <c r="AA20" s="643"/>
      <c r="AB20" s="643"/>
      <c r="AC20" s="479"/>
      <c r="AD20" s="480"/>
      <c r="AE20" s="480"/>
      <c r="AF20" s="521"/>
      <c r="AG20" s="56"/>
      <c r="AH20" s="811" t="s">
        <v>44</v>
      </c>
      <c r="AI20" s="56"/>
      <c r="AJ20" s="191"/>
      <c r="AK20" s="566"/>
      <c r="AL20" s="566"/>
    </row>
    <row r="21" spans="1:38" s="567" customFormat="1" ht="49.25" customHeight="1" thickBot="1">
      <c r="A21" s="558" t="s">
        <v>2</v>
      </c>
      <c r="B21" s="559"/>
      <c r="C21" s="568" t="s">
        <v>1044</v>
      </c>
      <c r="D21" s="1470" t="s">
        <v>1043</v>
      </c>
      <c r="E21" s="1558" t="s">
        <v>1225</v>
      </c>
      <c r="F21" s="1328" t="s">
        <v>1046</v>
      </c>
      <c r="G21" s="831" t="s">
        <v>91</v>
      </c>
      <c r="H21" s="829" t="s">
        <v>247</v>
      </c>
      <c r="I21" s="1581" t="s">
        <v>1045</v>
      </c>
      <c r="J21" s="572" t="s">
        <v>725</v>
      </c>
      <c r="K21" s="595"/>
      <c r="L21" s="970"/>
      <c r="M21" s="1504" t="s">
        <v>1039</v>
      </c>
      <c r="N21" s="1505"/>
      <c r="O21" s="1504" t="s">
        <v>1040</v>
      </c>
      <c r="P21" s="1505"/>
      <c r="Q21" s="1504" t="s">
        <v>1041</v>
      </c>
      <c r="R21" s="1505"/>
      <c r="S21" s="1504" t="s">
        <v>1042</v>
      </c>
      <c r="T21" s="1506"/>
      <c r="U21" s="1159" t="s">
        <v>11</v>
      </c>
      <c r="V21" s="823"/>
      <c r="W21" s="823"/>
      <c r="X21" s="823"/>
      <c r="Y21" s="831"/>
      <c r="Z21" s="823"/>
      <c r="AA21" s="823"/>
      <c r="AB21" s="823"/>
      <c r="AC21" s="479"/>
      <c r="AD21" s="480"/>
      <c r="AE21" s="480"/>
      <c r="AF21" s="521"/>
      <c r="AG21" s="56"/>
      <c r="AH21" s="1162" t="s">
        <v>44</v>
      </c>
      <c r="AI21" s="56"/>
      <c r="AJ21" s="191"/>
      <c r="AK21" s="566"/>
      <c r="AL21" s="566"/>
    </row>
    <row r="22" spans="1:38" s="567" customFormat="1" ht="20" customHeight="1" thickBot="1">
      <c r="A22" s="558"/>
      <c r="B22" s="559"/>
      <c r="C22" s="573"/>
      <c r="D22" s="1471"/>
      <c r="E22" s="1558"/>
      <c r="F22" s="1329"/>
      <c r="G22" s="832"/>
      <c r="H22" s="830"/>
      <c r="I22" s="1582"/>
      <c r="J22" s="916"/>
      <c r="K22" s="1503" t="s">
        <v>502</v>
      </c>
      <c r="L22" s="882" t="s">
        <v>112</v>
      </c>
      <c r="M22" s="1532"/>
      <c r="N22" s="1533"/>
      <c r="O22" s="1532"/>
      <c r="P22" s="1533"/>
      <c r="Q22" s="1532"/>
      <c r="R22" s="1533"/>
      <c r="S22" s="1532"/>
      <c r="T22" s="1554"/>
      <c r="U22" s="1160"/>
      <c r="V22" s="824"/>
      <c r="W22" s="824"/>
      <c r="X22" s="824"/>
      <c r="Y22" s="832"/>
      <c r="Z22" s="824"/>
      <c r="AA22" s="824"/>
      <c r="AB22" s="824"/>
      <c r="AC22" s="481"/>
      <c r="AD22" s="482"/>
      <c r="AE22" s="482"/>
      <c r="AF22" s="522"/>
      <c r="AG22" s="59"/>
      <c r="AH22" s="1163"/>
      <c r="AI22" s="59"/>
      <c r="AJ22" s="213"/>
      <c r="AK22" s="566"/>
      <c r="AL22" s="566"/>
    </row>
    <row r="23" spans="1:38" s="567" customFormat="1" ht="20" customHeight="1" thickBot="1">
      <c r="A23" s="558"/>
      <c r="B23" s="559"/>
      <c r="C23" s="573"/>
      <c r="D23" s="1471"/>
      <c r="E23" s="1558"/>
      <c r="F23" s="1329"/>
      <c r="G23" s="832"/>
      <c r="H23" s="830"/>
      <c r="I23" s="1582"/>
      <c r="J23" s="916"/>
      <c r="K23" s="1503"/>
      <c r="L23" s="885" t="s">
        <v>98</v>
      </c>
      <c r="M23" s="1530"/>
      <c r="N23" s="1549"/>
      <c r="O23" s="1530"/>
      <c r="P23" s="1549"/>
      <c r="Q23" s="1530"/>
      <c r="R23" s="1549"/>
      <c r="S23" s="1530"/>
      <c r="T23" s="1531"/>
      <c r="U23" s="1160"/>
      <c r="V23" s="824"/>
      <c r="W23" s="824"/>
      <c r="X23" s="824"/>
      <c r="Y23" s="832"/>
      <c r="Z23" s="824"/>
      <c r="AA23" s="824"/>
      <c r="AB23" s="824"/>
      <c r="AC23" s="481"/>
      <c r="AD23" s="482"/>
      <c r="AE23" s="482"/>
      <c r="AF23" s="522"/>
      <c r="AG23" s="59"/>
      <c r="AH23" s="1163"/>
      <c r="AI23" s="59"/>
      <c r="AJ23" s="213"/>
      <c r="AK23" s="566"/>
      <c r="AL23" s="566"/>
    </row>
    <row r="24" spans="1:38" s="567" customFormat="1" ht="20" customHeight="1" thickBot="1">
      <c r="A24" s="558"/>
      <c r="B24" s="559"/>
      <c r="C24" s="573"/>
      <c r="D24" s="1471"/>
      <c r="E24" s="1558"/>
      <c r="F24" s="1329"/>
      <c r="G24" s="832"/>
      <c r="H24" s="830"/>
      <c r="I24" s="1582"/>
      <c r="J24" s="916"/>
      <c r="K24" s="1503"/>
      <c r="L24" s="886" t="s">
        <v>99</v>
      </c>
      <c r="M24" s="1527"/>
      <c r="N24" s="1528"/>
      <c r="O24" s="1527"/>
      <c r="P24" s="1528"/>
      <c r="Q24" s="1527"/>
      <c r="R24" s="1528"/>
      <c r="S24" s="1527"/>
      <c r="T24" s="1529"/>
      <c r="U24" s="1160"/>
      <c r="V24" s="824"/>
      <c r="W24" s="824"/>
      <c r="X24" s="824"/>
      <c r="Y24" s="832"/>
      <c r="Z24" s="824"/>
      <c r="AA24" s="824"/>
      <c r="AB24" s="824"/>
      <c r="AC24" s="481"/>
      <c r="AD24" s="482"/>
      <c r="AE24" s="482"/>
      <c r="AF24" s="522"/>
      <c r="AG24" s="59"/>
      <c r="AH24" s="1163"/>
      <c r="AI24" s="59"/>
      <c r="AJ24" s="213"/>
      <c r="AK24" s="566"/>
      <c r="AL24" s="566"/>
    </row>
    <row r="25" spans="1:38" s="567" customFormat="1" ht="20" customHeight="1" thickBot="1">
      <c r="A25" s="558"/>
      <c r="B25" s="559"/>
      <c r="C25" s="573"/>
      <c r="D25" s="1471"/>
      <c r="E25" s="1558"/>
      <c r="F25" s="1329"/>
      <c r="G25" s="832"/>
      <c r="H25" s="830"/>
      <c r="I25" s="1582"/>
      <c r="J25" s="916"/>
      <c r="K25" s="1559" t="s">
        <v>1037</v>
      </c>
      <c r="L25" s="883" t="s">
        <v>112</v>
      </c>
      <c r="M25" s="1532"/>
      <c r="N25" s="1533"/>
      <c r="O25" s="1532"/>
      <c r="P25" s="1533"/>
      <c r="Q25" s="1532"/>
      <c r="R25" s="1533"/>
      <c r="S25" s="1532"/>
      <c r="T25" s="1554"/>
      <c r="U25" s="1160"/>
      <c r="V25" s="824"/>
      <c r="W25" s="824"/>
      <c r="X25" s="824"/>
      <c r="Y25" s="832"/>
      <c r="Z25" s="824"/>
      <c r="AA25" s="824"/>
      <c r="AB25" s="824"/>
      <c r="AC25" s="481"/>
      <c r="AD25" s="482"/>
      <c r="AE25" s="482"/>
      <c r="AF25" s="522"/>
      <c r="AG25" s="59"/>
      <c r="AH25" s="1163"/>
      <c r="AI25" s="59"/>
      <c r="AJ25" s="213"/>
      <c r="AK25" s="566"/>
      <c r="AL25" s="566"/>
    </row>
    <row r="26" spans="1:38" s="567" customFormat="1" ht="20" customHeight="1" thickBot="1">
      <c r="A26" s="558"/>
      <c r="B26" s="559"/>
      <c r="C26" s="573"/>
      <c r="D26" s="1471"/>
      <c r="E26" s="1558"/>
      <c r="F26" s="1329"/>
      <c r="G26" s="832"/>
      <c r="H26" s="830"/>
      <c r="I26" s="1582"/>
      <c r="J26" s="916"/>
      <c r="K26" s="1503"/>
      <c r="L26" s="885" t="s">
        <v>98</v>
      </c>
      <c r="M26" s="1530"/>
      <c r="N26" s="1549"/>
      <c r="O26" s="1530"/>
      <c r="P26" s="1549"/>
      <c r="Q26" s="1530"/>
      <c r="R26" s="1549"/>
      <c r="S26" s="1530"/>
      <c r="T26" s="1531"/>
      <c r="U26" s="1160"/>
      <c r="V26" s="824"/>
      <c r="W26" s="824"/>
      <c r="X26" s="824"/>
      <c r="Y26" s="832"/>
      <c r="Z26" s="824"/>
      <c r="AA26" s="824"/>
      <c r="AB26" s="824"/>
      <c r="AC26" s="481"/>
      <c r="AD26" s="482"/>
      <c r="AE26" s="482"/>
      <c r="AF26" s="522"/>
      <c r="AG26" s="59"/>
      <c r="AH26" s="1163"/>
      <c r="AI26" s="59"/>
      <c r="AJ26" s="213"/>
      <c r="AK26" s="566"/>
      <c r="AL26" s="566"/>
    </row>
    <row r="27" spans="1:38" s="567" customFormat="1" ht="20" customHeight="1" thickBot="1">
      <c r="A27" s="558"/>
      <c r="B27" s="559"/>
      <c r="C27" s="573"/>
      <c r="D27" s="1471"/>
      <c r="E27" s="1558"/>
      <c r="F27" s="1329"/>
      <c r="G27" s="832"/>
      <c r="H27" s="830"/>
      <c r="I27" s="1582"/>
      <c r="J27" s="916"/>
      <c r="K27" s="1560"/>
      <c r="L27" s="887" t="s">
        <v>99</v>
      </c>
      <c r="M27" s="1527"/>
      <c r="N27" s="1528"/>
      <c r="O27" s="1527"/>
      <c r="P27" s="1528"/>
      <c r="Q27" s="1527"/>
      <c r="R27" s="1528"/>
      <c r="S27" s="1527"/>
      <c r="T27" s="1529"/>
      <c r="U27" s="1160"/>
      <c r="V27" s="824"/>
      <c r="W27" s="824"/>
      <c r="X27" s="824"/>
      <c r="Y27" s="832"/>
      <c r="Z27" s="824"/>
      <c r="AA27" s="824"/>
      <c r="AB27" s="824"/>
      <c r="AC27" s="481"/>
      <c r="AD27" s="482"/>
      <c r="AE27" s="482"/>
      <c r="AF27" s="522"/>
      <c r="AG27" s="59"/>
      <c r="AH27" s="1163"/>
      <c r="AI27" s="59"/>
      <c r="AJ27" s="213"/>
      <c r="AK27" s="566"/>
      <c r="AL27" s="566"/>
    </row>
    <row r="28" spans="1:38" s="567" customFormat="1" ht="20" customHeight="1" thickBot="1">
      <c r="A28" s="558"/>
      <c r="B28" s="559"/>
      <c r="C28" s="573"/>
      <c r="D28" s="1471"/>
      <c r="E28" s="1558"/>
      <c r="F28" s="1329"/>
      <c r="G28" s="832"/>
      <c r="H28" s="830"/>
      <c r="I28" s="1582"/>
      <c r="J28" s="916"/>
      <c r="K28" s="1503" t="s">
        <v>1038</v>
      </c>
      <c r="L28" s="884" t="s">
        <v>112</v>
      </c>
      <c r="M28" s="1532"/>
      <c r="N28" s="1533"/>
      <c r="O28" s="1532"/>
      <c r="P28" s="1533"/>
      <c r="Q28" s="1532"/>
      <c r="R28" s="1533"/>
      <c r="S28" s="1532"/>
      <c r="T28" s="1554"/>
      <c r="U28" s="1160"/>
      <c r="V28" s="824"/>
      <c r="W28" s="824"/>
      <c r="X28" s="824"/>
      <c r="Y28" s="832"/>
      <c r="Z28" s="824"/>
      <c r="AA28" s="824"/>
      <c r="AB28" s="824"/>
      <c r="AC28" s="481"/>
      <c r="AD28" s="482"/>
      <c r="AE28" s="482"/>
      <c r="AF28" s="522"/>
      <c r="AG28" s="59"/>
      <c r="AH28" s="1163"/>
      <c r="AI28" s="59"/>
      <c r="AJ28" s="213"/>
      <c r="AK28" s="566"/>
      <c r="AL28" s="566"/>
    </row>
    <row r="29" spans="1:38" s="567" customFormat="1" ht="20" customHeight="1" thickBot="1">
      <c r="A29" s="558"/>
      <c r="B29" s="559"/>
      <c r="C29" s="573"/>
      <c r="D29" s="1471"/>
      <c r="E29" s="1558"/>
      <c r="F29" s="1329"/>
      <c r="G29" s="832"/>
      <c r="H29" s="830"/>
      <c r="I29" s="1582"/>
      <c r="J29" s="916"/>
      <c r="K29" s="1503"/>
      <c r="L29" s="885" t="s">
        <v>98</v>
      </c>
      <c r="M29" s="1530"/>
      <c r="N29" s="1549"/>
      <c r="O29" s="1530"/>
      <c r="P29" s="1549"/>
      <c r="Q29" s="1530"/>
      <c r="R29" s="1549"/>
      <c r="S29" s="1530"/>
      <c r="T29" s="1531"/>
      <c r="U29" s="1160"/>
      <c r="V29" s="824"/>
      <c r="W29" s="824"/>
      <c r="X29" s="824"/>
      <c r="Y29" s="832"/>
      <c r="Z29" s="824"/>
      <c r="AA29" s="824"/>
      <c r="AB29" s="824"/>
      <c r="AC29" s="481"/>
      <c r="AD29" s="482"/>
      <c r="AE29" s="482"/>
      <c r="AF29" s="522"/>
      <c r="AG29" s="59"/>
      <c r="AH29" s="1163"/>
      <c r="AI29" s="59"/>
      <c r="AJ29" s="213"/>
      <c r="AK29" s="566"/>
      <c r="AL29" s="566"/>
    </row>
    <row r="30" spans="1:38" s="567" customFormat="1" ht="20" customHeight="1" thickBot="1">
      <c r="A30" s="558"/>
      <c r="B30" s="559"/>
      <c r="C30" s="789"/>
      <c r="D30" s="1580"/>
      <c r="E30" s="1558"/>
      <c r="F30" s="1513"/>
      <c r="G30" s="918"/>
      <c r="H30" s="915"/>
      <c r="I30" s="1583"/>
      <c r="J30" s="917"/>
      <c r="K30" s="1561"/>
      <c r="L30" s="971" t="s">
        <v>99</v>
      </c>
      <c r="M30" s="1550"/>
      <c r="N30" s="1551"/>
      <c r="O30" s="1550"/>
      <c r="P30" s="1551"/>
      <c r="Q30" s="1550"/>
      <c r="R30" s="1551"/>
      <c r="S30" s="1550"/>
      <c r="T30" s="1579"/>
      <c r="U30" s="1161"/>
      <c r="V30" s="919"/>
      <c r="W30" s="919"/>
      <c r="X30" s="919"/>
      <c r="Y30" s="918"/>
      <c r="Z30" s="919"/>
      <c r="AA30" s="919"/>
      <c r="AB30" s="919"/>
      <c r="AC30" s="484"/>
      <c r="AD30" s="485"/>
      <c r="AE30" s="485"/>
      <c r="AF30" s="523"/>
      <c r="AG30" s="475"/>
      <c r="AH30" s="1164"/>
      <c r="AI30" s="475"/>
      <c r="AJ30" s="422"/>
      <c r="AK30" s="566"/>
      <c r="AL30" s="566"/>
    </row>
    <row r="31" spans="1:38" s="557" customFormat="1" ht="27" customHeight="1" thickBot="1">
      <c r="A31" s="550" t="s">
        <v>34</v>
      </c>
      <c r="B31" s="551" t="s">
        <v>1047</v>
      </c>
      <c r="C31" s="552" t="s">
        <v>1048</v>
      </c>
      <c r="D31" s="553"/>
      <c r="E31" s="554"/>
      <c r="F31" s="555"/>
      <c r="G31" s="144"/>
      <c r="H31" s="144"/>
      <c r="I31" s="144"/>
      <c r="J31" s="144"/>
      <c r="K31" s="144"/>
      <c r="L31" s="143"/>
      <c r="M31" s="144"/>
      <c r="N31" s="144"/>
      <c r="O31" s="144"/>
      <c r="P31" s="517"/>
      <c r="Q31" s="517"/>
      <c r="R31" s="517"/>
      <c r="S31" s="517"/>
      <c r="T31" s="517"/>
      <c r="U31" s="517"/>
      <c r="V31" s="517"/>
      <c r="W31" s="517"/>
      <c r="X31" s="517"/>
      <c r="Y31" s="517"/>
      <c r="Z31" s="517"/>
      <c r="AA31" s="517"/>
      <c r="AB31" s="517"/>
      <c r="AC31" s="517"/>
      <c r="AD31" s="517"/>
      <c r="AE31" s="517"/>
      <c r="AF31" s="517"/>
      <c r="AG31" s="517"/>
      <c r="AH31" s="517"/>
      <c r="AI31" s="517"/>
      <c r="AJ31" s="517"/>
      <c r="AK31" s="556"/>
      <c r="AL31" s="556"/>
    </row>
    <row r="32" spans="1:38" s="567" customFormat="1" ht="29" thickBot="1">
      <c r="A32" s="558" t="s">
        <v>2</v>
      </c>
      <c r="B32" s="559"/>
      <c r="C32" s="750" t="s">
        <v>1267</v>
      </c>
      <c r="D32" s="751" t="s">
        <v>1049</v>
      </c>
      <c r="E32" s="1051" t="s">
        <v>1216</v>
      </c>
      <c r="F32" s="782"/>
      <c r="G32" s="754" t="s">
        <v>91</v>
      </c>
      <c r="H32" s="755" t="s">
        <v>100</v>
      </c>
      <c r="I32" s="753" t="s">
        <v>787</v>
      </c>
      <c r="J32" s="756" t="s">
        <v>695</v>
      </c>
      <c r="K32" s="967"/>
      <c r="L32" s="968"/>
      <c r="M32" s="1468"/>
      <c r="N32" s="1468"/>
      <c r="O32" s="1468"/>
      <c r="P32" s="1468"/>
      <c r="Q32" s="1468"/>
      <c r="R32" s="1468"/>
      <c r="S32" s="1468"/>
      <c r="T32" s="1584"/>
      <c r="U32" s="490" t="s">
        <v>11</v>
      </c>
      <c r="V32" s="453"/>
      <c r="W32" s="454"/>
      <c r="X32" s="454"/>
      <c r="Y32" s="454"/>
      <c r="Z32" s="454"/>
      <c r="AA32" s="454"/>
      <c r="AB32" s="454"/>
      <c r="AC32" s="486"/>
      <c r="AD32" s="455"/>
      <c r="AE32" s="455"/>
      <c r="AF32" s="524"/>
      <c r="AG32" s="456"/>
      <c r="AH32" s="757"/>
      <c r="AI32" s="456"/>
      <c r="AJ32" s="758"/>
      <c r="AK32" s="566"/>
      <c r="AL32" s="566"/>
    </row>
    <row r="33" spans="1:38" s="200" customFormat="1" ht="26.5" customHeight="1">
      <c r="A33" s="625" t="s">
        <v>2</v>
      </c>
      <c r="B33" s="626"/>
      <c r="C33" s="1143" t="s">
        <v>1268</v>
      </c>
      <c r="D33" s="868" t="s">
        <v>1050</v>
      </c>
      <c r="E33" s="1296" t="s">
        <v>1216</v>
      </c>
      <c r="F33" s="1329" t="s">
        <v>1059</v>
      </c>
      <c r="G33" s="1434" t="s">
        <v>91</v>
      </c>
      <c r="H33" s="1432" t="s">
        <v>254</v>
      </c>
      <c r="I33" s="1518" t="s">
        <v>1075</v>
      </c>
      <c r="J33" s="1510" t="s">
        <v>1058</v>
      </c>
      <c r="K33" s="1514"/>
      <c r="L33" s="1516" t="s">
        <v>1051</v>
      </c>
      <c r="M33" s="1517"/>
      <c r="N33" s="1517"/>
      <c r="O33" s="1525" t="s">
        <v>1052</v>
      </c>
      <c r="P33" s="1526"/>
      <c r="Q33" s="1526"/>
      <c r="R33" s="1526"/>
      <c r="S33" s="1526"/>
      <c r="T33" s="1526"/>
      <c r="U33" s="1435" t="s">
        <v>11</v>
      </c>
      <c r="V33" s="644"/>
      <c r="W33" s="644"/>
      <c r="X33" s="644"/>
      <c r="Y33" s="647"/>
      <c r="Z33" s="644"/>
      <c r="AA33" s="644"/>
      <c r="AB33" s="644"/>
      <c r="AC33" s="481"/>
      <c r="AD33" s="482"/>
      <c r="AE33" s="482"/>
      <c r="AF33" s="522"/>
      <c r="AG33" s="59"/>
      <c r="AH33" s="528"/>
      <c r="AI33" s="59"/>
      <c r="AJ33" s="213"/>
      <c r="AK33" s="628"/>
      <c r="AL33" s="628"/>
    </row>
    <row r="34" spans="1:38" s="567" customFormat="1" ht="114.75" customHeight="1">
      <c r="A34" s="558"/>
      <c r="B34" s="559"/>
      <c r="C34" s="573"/>
      <c r="D34" s="868"/>
      <c r="E34" s="1297"/>
      <c r="F34" s="1329"/>
      <c r="G34" s="1434"/>
      <c r="H34" s="1432"/>
      <c r="I34" s="1518"/>
      <c r="J34" s="1510"/>
      <c r="K34" s="1515"/>
      <c r="L34" s="904" t="s">
        <v>1053</v>
      </c>
      <c r="M34" s="890" t="s">
        <v>1054</v>
      </c>
      <c r="N34" s="890" t="s">
        <v>1055</v>
      </c>
      <c r="O34" s="1522" t="s">
        <v>1124</v>
      </c>
      <c r="P34" s="1522"/>
      <c r="Q34" s="1522" t="s">
        <v>1123</v>
      </c>
      <c r="R34" s="1522"/>
      <c r="S34" s="1522" t="s">
        <v>1125</v>
      </c>
      <c r="T34" s="1523"/>
      <c r="U34" s="1436"/>
      <c r="V34" s="644"/>
      <c r="W34" s="644"/>
      <c r="X34" s="644"/>
      <c r="Y34" s="647"/>
      <c r="Z34" s="644"/>
      <c r="AA34" s="644"/>
      <c r="AB34" s="644"/>
      <c r="AC34" s="481"/>
      <c r="AD34" s="482"/>
      <c r="AE34" s="482"/>
      <c r="AF34" s="522"/>
      <c r="AG34" s="59"/>
      <c r="AH34" s="528"/>
      <c r="AI34" s="59"/>
      <c r="AJ34" s="213"/>
      <c r="AK34" s="566"/>
      <c r="AL34" s="566"/>
    </row>
    <row r="35" spans="1:38" s="567" customFormat="1" ht="28">
      <c r="A35" s="558"/>
      <c r="B35" s="559"/>
      <c r="C35" s="573"/>
      <c r="D35" s="868"/>
      <c r="E35" s="1297"/>
      <c r="F35" s="1329"/>
      <c r="G35" s="1434"/>
      <c r="H35" s="1432"/>
      <c r="I35" s="1518"/>
      <c r="J35" s="1510"/>
      <c r="K35" s="907" t="s">
        <v>1056</v>
      </c>
      <c r="L35" s="905"/>
      <c r="M35" s="891"/>
      <c r="N35" s="891"/>
      <c r="O35" s="1452"/>
      <c r="P35" s="1452"/>
      <c r="Q35" s="1452"/>
      <c r="R35" s="1452"/>
      <c r="S35" s="1452"/>
      <c r="T35" s="1524"/>
      <c r="U35" s="1436"/>
      <c r="V35" s="644"/>
      <c r="W35" s="644"/>
      <c r="X35" s="644"/>
      <c r="Y35" s="647"/>
      <c r="Z35" s="644"/>
      <c r="AA35" s="644"/>
      <c r="AB35" s="644"/>
      <c r="AC35" s="481"/>
      <c r="AD35" s="482"/>
      <c r="AE35" s="482"/>
      <c r="AF35" s="522"/>
      <c r="AG35" s="59"/>
      <c r="AH35" s="528"/>
      <c r="AI35" s="59"/>
      <c r="AJ35" s="213"/>
      <c r="AK35" s="566"/>
      <c r="AL35" s="566"/>
    </row>
    <row r="36" spans="1:38" s="567" customFormat="1">
      <c r="A36" s="558"/>
      <c r="B36" s="559"/>
      <c r="C36" s="573"/>
      <c r="D36" s="574"/>
      <c r="E36" s="1297"/>
      <c r="F36" s="1329"/>
      <c r="G36" s="1434"/>
      <c r="H36" s="1432"/>
      <c r="I36" s="1518"/>
      <c r="J36" s="1510"/>
      <c r="K36" s="908" t="s">
        <v>138</v>
      </c>
      <c r="L36" s="906"/>
      <c r="M36" s="1520"/>
      <c r="N36" s="1521"/>
      <c r="O36" s="1521"/>
      <c r="P36" s="1521"/>
      <c r="Q36" s="1521"/>
      <c r="R36" s="1521"/>
      <c r="S36" s="1521"/>
      <c r="T36" s="1521"/>
      <c r="U36" s="1436"/>
      <c r="V36" s="644"/>
      <c r="W36" s="644"/>
      <c r="X36" s="644"/>
      <c r="Y36" s="647"/>
      <c r="Z36" s="644"/>
      <c r="AA36" s="644"/>
      <c r="AB36" s="644"/>
      <c r="AC36" s="481"/>
      <c r="AD36" s="482"/>
      <c r="AE36" s="482"/>
      <c r="AF36" s="522"/>
      <c r="AG36" s="59"/>
      <c r="AH36" s="528"/>
      <c r="AI36" s="59"/>
      <c r="AJ36" s="213"/>
      <c r="AK36" s="566"/>
      <c r="AL36" s="566"/>
    </row>
    <row r="37" spans="1:38" s="200" customFormat="1" ht="26.5" customHeight="1">
      <c r="A37" s="625" t="s">
        <v>3</v>
      </c>
      <c r="B37" s="626"/>
      <c r="C37" s="629"/>
      <c r="D37" s="1507" t="s">
        <v>1270</v>
      </c>
      <c r="E37" s="895"/>
      <c r="F37" s="1329"/>
      <c r="G37" s="1434"/>
      <c r="H37" s="1432"/>
      <c r="I37" s="1518"/>
      <c r="J37" s="1510"/>
      <c r="K37" s="909" t="s">
        <v>420</v>
      </c>
      <c r="L37" s="896"/>
      <c r="M37" s="896"/>
      <c r="N37" s="896"/>
      <c r="O37" s="896"/>
      <c r="P37" s="896"/>
      <c r="Q37" s="896"/>
      <c r="R37" s="896"/>
      <c r="S37" s="896"/>
      <c r="T37" s="896"/>
      <c r="U37" s="1436" t="s">
        <v>11</v>
      </c>
      <c r="V37" s="645"/>
      <c r="W37" s="645"/>
      <c r="X37" s="645"/>
      <c r="Y37" s="232"/>
      <c r="Z37" s="645"/>
      <c r="AA37" s="645"/>
      <c r="AB37" s="645"/>
      <c r="AC37" s="233"/>
      <c r="AD37" s="234"/>
      <c r="AE37" s="234"/>
      <c r="AF37" s="478"/>
      <c r="AG37" s="235"/>
      <c r="AH37" s="473"/>
      <c r="AI37" s="235"/>
      <c r="AJ37" s="213"/>
      <c r="AK37" s="628"/>
      <c r="AL37" s="628"/>
    </row>
    <row r="38" spans="1:38" s="567" customFormat="1">
      <c r="A38" s="558"/>
      <c r="B38" s="559"/>
      <c r="C38" s="629"/>
      <c r="D38" s="1507"/>
      <c r="E38" s="895"/>
      <c r="F38" s="1329"/>
      <c r="G38" s="1434"/>
      <c r="H38" s="1432"/>
      <c r="I38" s="1518"/>
      <c r="J38" s="1510"/>
      <c r="K38" s="910" t="s">
        <v>426</v>
      </c>
      <c r="L38" s="897"/>
      <c r="M38" s="897"/>
      <c r="N38" s="897"/>
      <c r="O38" s="897"/>
      <c r="P38" s="897"/>
      <c r="Q38" s="897"/>
      <c r="R38" s="897"/>
      <c r="S38" s="897"/>
      <c r="T38" s="897"/>
      <c r="U38" s="1436"/>
      <c r="V38" s="645"/>
      <c r="W38" s="645"/>
      <c r="X38" s="645"/>
      <c r="Y38" s="232"/>
      <c r="Z38" s="645"/>
      <c r="AA38" s="645"/>
      <c r="AB38" s="645"/>
      <c r="AC38" s="233"/>
      <c r="AD38" s="234"/>
      <c r="AE38" s="234"/>
      <c r="AF38" s="478"/>
      <c r="AG38" s="235"/>
      <c r="AH38" s="473"/>
      <c r="AI38" s="235"/>
      <c r="AJ38" s="213"/>
      <c r="AK38" s="566"/>
      <c r="AL38" s="566"/>
    </row>
    <row r="39" spans="1:38" s="200" customFormat="1" ht="26.5" customHeight="1">
      <c r="A39" s="625" t="s">
        <v>3</v>
      </c>
      <c r="B39" s="626"/>
      <c r="C39" s="629"/>
      <c r="D39" s="1507" t="s">
        <v>1271</v>
      </c>
      <c r="E39" s="895"/>
      <c r="F39" s="1329"/>
      <c r="G39" s="1434"/>
      <c r="H39" s="1432"/>
      <c r="I39" s="1518"/>
      <c r="J39" s="1510"/>
      <c r="K39" s="909" t="s">
        <v>1120</v>
      </c>
      <c r="L39" s="896"/>
      <c r="M39" s="896"/>
      <c r="N39" s="896"/>
      <c r="O39" s="896"/>
      <c r="P39" s="896"/>
      <c r="Q39" s="896"/>
      <c r="R39" s="896"/>
      <c r="S39" s="896"/>
      <c r="T39" s="896"/>
      <c r="U39" s="1436" t="s">
        <v>11</v>
      </c>
      <c r="V39" s="822"/>
      <c r="W39" s="822"/>
      <c r="X39" s="822"/>
      <c r="Y39" s="232"/>
      <c r="Z39" s="822"/>
      <c r="AA39" s="822"/>
      <c r="AB39" s="822"/>
      <c r="AC39" s="233"/>
      <c r="AD39" s="234"/>
      <c r="AE39" s="234"/>
      <c r="AF39" s="478"/>
      <c r="AG39" s="235"/>
      <c r="AH39" s="473"/>
      <c r="AI39" s="235"/>
      <c r="AJ39" s="213"/>
      <c r="AK39" s="628"/>
      <c r="AL39" s="628"/>
    </row>
    <row r="40" spans="1:38" s="567" customFormat="1">
      <c r="A40" s="558"/>
      <c r="B40" s="559"/>
      <c r="C40" s="629"/>
      <c r="D40" s="1507"/>
      <c r="E40" s="895"/>
      <c r="F40" s="1329"/>
      <c r="G40" s="1434"/>
      <c r="H40" s="1432"/>
      <c r="I40" s="1518"/>
      <c r="J40" s="1510"/>
      <c r="K40" s="910" t="s">
        <v>1121</v>
      </c>
      <c r="L40" s="897"/>
      <c r="M40" s="897"/>
      <c r="N40" s="897"/>
      <c r="O40" s="897"/>
      <c r="P40" s="897"/>
      <c r="Q40" s="897"/>
      <c r="R40" s="897"/>
      <c r="S40" s="897"/>
      <c r="T40" s="897"/>
      <c r="U40" s="1436"/>
      <c r="V40" s="822"/>
      <c r="W40" s="822"/>
      <c r="X40" s="822"/>
      <c r="Y40" s="232"/>
      <c r="Z40" s="822"/>
      <c r="AA40" s="822"/>
      <c r="AB40" s="822"/>
      <c r="AC40" s="233"/>
      <c r="AD40" s="234"/>
      <c r="AE40" s="234"/>
      <c r="AF40" s="478"/>
      <c r="AG40" s="235"/>
      <c r="AH40" s="473"/>
      <c r="AI40" s="235"/>
      <c r="AJ40" s="213"/>
      <c r="AK40" s="566"/>
      <c r="AL40" s="566"/>
    </row>
    <row r="41" spans="1:38" s="567" customFormat="1">
      <c r="A41" s="558"/>
      <c r="B41" s="559"/>
      <c r="C41" s="629"/>
      <c r="D41" s="913"/>
      <c r="E41" s="895"/>
      <c r="F41" s="1329"/>
      <c r="G41" s="1434"/>
      <c r="H41" s="1432"/>
      <c r="I41" s="1518"/>
      <c r="J41" s="1510"/>
      <c r="K41" s="910" t="s">
        <v>1122</v>
      </c>
      <c r="L41" s="897"/>
      <c r="M41" s="897"/>
      <c r="N41" s="897"/>
      <c r="O41" s="897"/>
      <c r="P41" s="897"/>
      <c r="Q41" s="897"/>
      <c r="R41" s="897"/>
      <c r="S41" s="897"/>
      <c r="T41" s="897"/>
      <c r="U41" s="1436"/>
      <c r="V41" s="822"/>
      <c r="W41" s="822"/>
      <c r="X41" s="822"/>
      <c r="Y41" s="232"/>
      <c r="Z41" s="822"/>
      <c r="AA41" s="822"/>
      <c r="AB41" s="822"/>
      <c r="AC41" s="233"/>
      <c r="AD41" s="234"/>
      <c r="AE41" s="234"/>
      <c r="AF41" s="478"/>
      <c r="AG41" s="235"/>
      <c r="AH41" s="473"/>
      <c r="AI41" s="235"/>
      <c r="AJ41" s="213"/>
      <c r="AK41" s="566"/>
      <c r="AL41" s="566"/>
    </row>
    <row r="42" spans="1:38" s="567" customFormat="1">
      <c r="A42" s="558"/>
      <c r="B42" s="559"/>
      <c r="C42" s="629"/>
      <c r="D42" s="913"/>
      <c r="E42" s="895"/>
      <c r="F42" s="1329"/>
      <c r="G42" s="1434"/>
      <c r="H42" s="1432"/>
      <c r="I42" s="1518"/>
      <c r="J42" s="1510"/>
      <c r="K42" s="910" t="s">
        <v>96</v>
      </c>
      <c r="L42" s="897"/>
      <c r="M42" s="897"/>
      <c r="N42" s="897"/>
      <c r="O42" s="897"/>
      <c r="P42" s="897"/>
      <c r="Q42" s="897"/>
      <c r="R42" s="897"/>
      <c r="S42" s="897"/>
      <c r="T42" s="897"/>
      <c r="U42" s="1436"/>
      <c r="V42" s="822"/>
      <c r="W42" s="822"/>
      <c r="X42" s="822"/>
      <c r="Y42" s="232"/>
      <c r="Z42" s="822"/>
      <c r="AA42" s="822"/>
      <c r="AB42" s="822"/>
      <c r="AC42" s="233"/>
      <c r="AD42" s="234"/>
      <c r="AE42" s="234"/>
      <c r="AF42" s="478"/>
      <c r="AG42" s="235"/>
      <c r="AH42" s="473"/>
      <c r="AI42" s="235"/>
      <c r="AJ42" s="213"/>
      <c r="AK42" s="566"/>
      <c r="AL42" s="566"/>
    </row>
    <row r="43" spans="1:38" s="567" customFormat="1" ht="26.5" customHeight="1">
      <c r="A43" s="558" t="s">
        <v>3</v>
      </c>
      <c r="B43" s="559"/>
      <c r="C43" s="629"/>
      <c r="D43" s="1507" t="s">
        <v>1272</v>
      </c>
      <c r="E43" s="895"/>
      <c r="F43" s="1329"/>
      <c r="G43" s="1434"/>
      <c r="H43" s="1432"/>
      <c r="I43" s="1518"/>
      <c r="J43" s="1510"/>
      <c r="K43" s="898" t="s">
        <v>95</v>
      </c>
      <c r="L43" s="897"/>
      <c r="M43" s="897"/>
      <c r="N43" s="897"/>
      <c r="O43" s="897"/>
      <c r="P43" s="897"/>
      <c r="Q43" s="897"/>
      <c r="R43" s="897"/>
      <c r="S43" s="897"/>
      <c r="T43" s="897"/>
      <c r="U43" s="1436" t="s">
        <v>11</v>
      </c>
      <c r="V43" s="645"/>
      <c r="W43" s="645"/>
      <c r="X43" s="645"/>
      <c r="Y43" s="232"/>
      <c r="Z43" s="645"/>
      <c r="AA43" s="645"/>
      <c r="AB43" s="645"/>
      <c r="AC43" s="233"/>
      <c r="AD43" s="234"/>
      <c r="AE43" s="234"/>
      <c r="AF43" s="478"/>
      <c r="AG43" s="235"/>
      <c r="AH43" s="473"/>
      <c r="AI43" s="235"/>
      <c r="AJ43" s="213"/>
      <c r="AK43" s="566"/>
      <c r="AL43" s="566"/>
    </row>
    <row r="44" spans="1:38" s="567" customFormat="1">
      <c r="A44" s="558"/>
      <c r="B44" s="559"/>
      <c r="C44" s="629"/>
      <c r="D44" s="1507"/>
      <c r="E44" s="895"/>
      <c r="F44" s="1329"/>
      <c r="G44" s="1434"/>
      <c r="H44" s="1432"/>
      <c r="I44" s="1518"/>
      <c r="J44" s="1510"/>
      <c r="K44" s="898" t="s">
        <v>794</v>
      </c>
      <c r="L44" s="897"/>
      <c r="M44" s="897"/>
      <c r="N44" s="897"/>
      <c r="O44" s="897"/>
      <c r="P44" s="897"/>
      <c r="Q44" s="897"/>
      <c r="R44" s="897"/>
      <c r="S44" s="897"/>
      <c r="T44" s="897"/>
      <c r="U44" s="1436"/>
      <c r="V44" s="645"/>
      <c r="W44" s="645"/>
      <c r="X44" s="645"/>
      <c r="Y44" s="232"/>
      <c r="Z44" s="645"/>
      <c r="AA44" s="645"/>
      <c r="AB44" s="645"/>
      <c r="AC44" s="233"/>
      <c r="AD44" s="234"/>
      <c r="AE44" s="234"/>
      <c r="AF44" s="478"/>
      <c r="AG44" s="235"/>
      <c r="AH44" s="473"/>
      <c r="AI44" s="235"/>
      <c r="AJ44" s="213"/>
      <c r="AK44" s="566"/>
      <c r="AL44" s="566"/>
    </row>
    <row r="45" spans="1:38" s="567" customFormat="1" ht="28">
      <c r="A45" s="558"/>
      <c r="B45" s="559"/>
      <c r="C45" s="629"/>
      <c r="D45" s="1507"/>
      <c r="E45" s="895"/>
      <c r="F45" s="1329"/>
      <c r="G45" s="1434"/>
      <c r="H45" s="1432"/>
      <c r="I45" s="1518"/>
      <c r="J45" s="1510"/>
      <c r="K45" s="898" t="s">
        <v>693</v>
      </c>
      <c r="L45" s="897"/>
      <c r="M45" s="897"/>
      <c r="N45" s="897"/>
      <c r="O45" s="897"/>
      <c r="P45" s="897"/>
      <c r="Q45" s="897"/>
      <c r="R45" s="897"/>
      <c r="S45" s="897"/>
      <c r="T45" s="897"/>
      <c r="U45" s="1436"/>
      <c r="V45" s="645"/>
      <c r="W45" s="645"/>
      <c r="X45" s="645"/>
      <c r="Y45" s="232"/>
      <c r="Z45" s="645"/>
      <c r="AA45" s="645"/>
      <c r="AB45" s="645"/>
      <c r="AC45" s="233"/>
      <c r="AD45" s="234"/>
      <c r="AE45" s="234"/>
      <c r="AF45" s="478"/>
      <c r="AG45" s="235"/>
      <c r="AH45" s="473"/>
      <c r="AI45" s="235"/>
      <c r="AJ45" s="213"/>
      <c r="AK45" s="566"/>
      <c r="AL45" s="566"/>
    </row>
    <row r="46" spans="1:38" s="567" customFormat="1" ht="18" thickBot="1">
      <c r="A46" s="558"/>
      <c r="B46" s="559"/>
      <c r="C46" s="629"/>
      <c r="D46" s="1508"/>
      <c r="E46" s="895"/>
      <c r="F46" s="1513"/>
      <c r="G46" s="1512"/>
      <c r="H46" s="1509"/>
      <c r="I46" s="1519"/>
      <c r="J46" s="1511"/>
      <c r="K46" s="903" t="s">
        <v>96</v>
      </c>
      <c r="L46" s="897"/>
      <c r="M46" s="897"/>
      <c r="N46" s="897"/>
      <c r="O46" s="897"/>
      <c r="P46" s="897"/>
      <c r="Q46" s="897"/>
      <c r="R46" s="897"/>
      <c r="S46" s="897"/>
      <c r="T46" s="897"/>
      <c r="U46" s="1437"/>
      <c r="V46" s="645"/>
      <c r="W46" s="645"/>
      <c r="X46" s="645"/>
      <c r="Y46" s="232"/>
      <c r="Z46" s="645"/>
      <c r="AA46" s="645"/>
      <c r="AB46" s="645"/>
      <c r="AC46" s="233"/>
      <c r="AD46" s="234"/>
      <c r="AE46" s="234"/>
      <c r="AF46" s="478"/>
      <c r="AG46" s="235"/>
      <c r="AH46" s="473"/>
      <c r="AI46" s="235"/>
      <c r="AJ46" s="213"/>
      <c r="AK46" s="566"/>
      <c r="AL46" s="566"/>
    </row>
    <row r="47" spans="1:38" s="567" customFormat="1" ht="29" thickBot="1">
      <c r="A47" s="558" t="s">
        <v>2</v>
      </c>
      <c r="B47" s="559"/>
      <c r="C47" s="899" t="s">
        <v>1269</v>
      </c>
      <c r="D47" s="900" t="s">
        <v>1057</v>
      </c>
      <c r="E47" s="1051" t="s">
        <v>1216</v>
      </c>
      <c r="F47" s="453"/>
      <c r="G47" s="464" t="s">
        <v>91</v>
      </c>
      <c r="H47" s="653" t="s">
        <v>92</v>
      </c>
      <c r="I47" s="753" t="s">
        <v>787</v>
      </c>
      <c r="J47" s="756" t="s">
        <v>695</v>
      </c>
      <c r="K47" s="911"/>
      <c r="L47" s="920"/>
      <c r="M47" s="1541"/>
      <c r="N47" s="1541"/>
      <c r="O47" s="1541"/>
      <c r="P47" s="1541"/>
      <c r="Q47" s="1541"/>
      <c r="R47" s="1541"/>
      <c r="S47" s="1541"/>
      <c r="T47" s="1542"/>
      <c r="U47" s="490" t="s">
        <v>11</v>
      </c>
      <c r="V47" s="453"/>
      <c r="W47" s="453"/>
      <c r="X47" s="453"/>
      <c r="Y47" s="464"/>
      <c r="Z47" s="453"/>
      <c r="AA47" s="453"/>
      <c r="AB47" s="453"/>
      <c r="AC47" s="487"/>
      <c r="AD47" s="488"/>
      <c r="AE47" s="488"/>
      <c r="AF47" s="524"/>
      <c r="AG47" s="456"/>
      <c r="AH47" s="530"/>
      <c r="AI47" s="456"/>
      <c r="AJ47" s="758"/>
      <c r="AK47" s="566"/>
      <c r="AL47" s="566"/>
    </row>
    <row r="48" spans="1:38" s="557" customFormat="1" ht="27" customHeight="1" thickBot="1">
      <c r="A48" s="550" t="s">
        <v>34</v>
      </c>
      <c r="B48" s="551" t="s">
        <v>1060</v>
      </c>
      <c r="C48" s="552" t="s">
        <v>1061</v>
      </c>
      <c r="D48" s="553"/>
      <c r="E48" s="554"/>
      <c r="F48" s="555"/>
      <c r="G48" s="144"/>
      <c r="H48" s="144"/>
      <c r="I48" s="144"/>
      <c r="J48" s="144"/>
      <c r="K48" s="144"/>
      <c r="L48" s="143"/>
      <c r="M48" s="517"/>
      <c r="N48" s="517"/>
      <c r="O48" s="517"/>
      <c r="P48" s="517"/>
      <c r="Q48" s="517"/>
      <c r="R48" s="517"/>
      <c r="S48" s="517"/>
      <c r="T48" s="517"/>
      <c r="U48" s="517"/>
      <c r="V48" s="517"/>
      <c r="W48" s="517"/>
      <c r="X48" s="517"/>
      <c r="Y48" s="517"/>
      <c r="Z48" s="517"/>
      <c r="AA48" s="517"/>
      <c r="AB48" s="517"/>
      <c r="AC48" s="517"/>
      <c r="AD48" s="517"/>
      <c r="AE48" s="517"/>
      <c r="AF48" s="517"/>
      <c r="AG48" s="517"/>
      <c r="AH48" s="517"/>
      <c r="AI48" s="517"/>
      <c r="AJ48" s="517"/>
      <c r="AK48" s="556"/>
      <c r="AL48" s="556"/>
    </row>
    <row r="49" spans="1:123" s="567" customFormat="1" ht="114.75" customHeight="1">
      <c r="A49" s="558" t="s">
        <v>2</v>
      </c>
      <c r="B49" s="559"/>
      <c r="C49" s="1426" t="s">
        <v>1063</v>
      </c>
      <c r="D49" s="1562" t="s">
        <v>1062</v>
      </c>
      <c r="E49" s="1564" t="s">
        <v>1216</v>
      </c>
      <c r="F49" s="837"/>
      <c r="G49" s="669" t="s">
        <v>91</v>
      </c>
      <c r="H49" s="670" t="s">
        <v>92</v>
      </c>
      <c r="I49" s="1592" t="s">
        <v>1074</v>
      </c>
      <c r="J49" s="727" t="s">
        <v>695</v>
      </c>
      <c r="K49" s="921"/>
      <c r="L49" s="927"/>
      <c r="M49" s="1543"/>
      <c r="N49" s="1543"/>
      <c r="O49" s="1543"/>
      <c r="P49" s="1543"/>
      <c r="Q49" s="1543"/>
      <c r="R49" s="1543"/>
      <c r="S49" s="1543"/>
      <c r="T49" s="1544"/>
      <c r="U49" s="1159" t="s">
        <v>11</v>
      </c>
      <c r="V49" s="643"/>
      <c r="W49" s="643"/>
      <c r="X49" s="643"/>
      <c r="Y49" s="669"/>
      <c r="Z49" s="643"/>
      <c r="AA49" s="643"/>
      <c r="AB49" s="643"/>
      <c r="AC49" s="479"/>
      <c r="AD49" s="480"/>
      <c r="AE49" s="480"/>
      <c r="AF49" s="521"/>
      <c r="AG49" s="56"/>
      <c r="AH49" s="527"/>
      <c r="AI49" s="56"/>
      <c r="AJ49" s="191"/>
      <c r="AK49" s="566"/>
      <c r="AL49" s="566"/>
    </row>
    <row r="50" spans="1:123" s="200" customFormat="1">
      <c r="A50" s="625"/>
      <c r="B50" s="626"/>
      <c r="C50" s="1427"/>
      <c r="D50" s="1563"/>
      <c r="E50" s="1565"/>
      <c r="F50" s="833"/>
      <c r="G50" s="647"/>
      <c r="H50" s="646"/>
      <c r="I50" s="1593"/>
      <c r="J50" s="577"/>
      <c r="K50" s="912"/>
      <c r="L50" s="1545" t="s">
        <v>1064</v>
      </c>
      <c r="M50" s="1546" t="s">
        <v>1065</v>
      </c>
      <c r="N50" s="1546"/>
      <c r="O50" s="1546" t="s">
        <v>1066</v>
      </c>
      <c r="P50" s="1546"/>
      <c r="Q50" s="1546"/>
      <c r="R50" s="1546"/>
      <c r="S50" s="1547" t="s">
        <v>1067</v>
      </c>
      <c r="T50" s="1548"/>
      <c r="U50" s="1160"/>
      <c r="V50" s="644"/>
      <c r="W50" s="644"/>
      <c r="X50" s="644"/>
      <c r="Y50" s="647"/>
      <c r="Z50" s="644"/>
      <c r="AA50" s="644"/>
      <c r="AB50" s="644"/>
      <c r="AC50" s="481"/>
      <c r="AD50" s="482"/>
      <c r="AE50" s="482"/>
      <c r="AF50" s="522"/>
      <c r="AG50" s="59"/>
      <c r="AH50" s="528"/>
      <c r="AI50" s="59"/>
      <c r="AJ50" s="213"/>
      <c r="AK50" s="628"/>
      <c r="AL50" s="628"/>
    </row>
    <row r="51" spans="1:123" s="567" customFormat="1" ht="42">
      <c r="A51" s="558"/>
      <c r="B51" s="559"/>
      <c r="C51" s="1427"/>
      <c r="D51" s="1563"/>
      <c r="E51" s="1565"/>
      <c r="F51" s="833"/>
      <c r="G51" s="647"/>
      <c r="H51" s="646"/>
      <c r="I51" s="1593"/>
      <c r="J51" s="577"/>
      <c r="K51" s="912"/>
      <c r="L51" s="1545"/>
      <c r="M51" s="1546"/>
      <c r="N51" s="1546"/>
      <c r="O51" s="928" t="s">
        <v>1068</v>
      </c>
      <c r="P51" s="928" t="s">
        <v>1069</v>
      </c>
      <c r="Q51" s="928" t="s">
        <v>1070</v>
      </c>
      <c r="R51" s="928" t="s">
        <v>1071</v>
      </c>
      <c r="S51" s="928" t="s">
        <v>1069</v>
      </c>
      <c r="T51" s="975" t="s">
        <v>1070</v>
      </c>
      <c r="U51" s="1160"/>
      <c r="V51" s="644"/>
      <c r="W51" s="644"/>
      <c r="X51" s="644"/>
      <c r="Y51" s="647"/>
      <c r="Z51" s="644"/>
      <c r="AA51" s="644"/>
      <c r="AB51" s="644"/>
      <c r="AC51" s="481"/>
      <c r="AD51" s="482"/>
      <c r="AE51" s="482"/>
      <c r="AF51" s="522"/>
      <c r="AG51" s="59"/>
      <c r="AH51" s="528"/>
      <c r="AI51" s="59"/>
      <c r="AJ51" s="213"/>
      <c r="AK51" s="566"/>
      <c r="AL51" s="566"/>
    </row>
    <row r="52" spans="1:123" s="567" customFormat="1" ht="18" thickBot="1">
      <c r="A52" s="558"/>
      <c r="B52" s="559"/>
      <c r="C52" s="1427"/>
      <c r="D52" s="1563"/>
      <c r="E52" s="1565"/>
      <c r="F52" s="833"/>
      <c r="G52" s="647"/>
      <c r="H52" s="646"/>
      <c r="I52" s="1593"/>
      <c r="J52" s="577"/>
      <c r="K52" s="912"/>
      <c r="L52" s="935"/>
      <c r="M52" s="1540"/>
      <c r="N52" s="1540"/>
      <c r="O52" s="929"/>
      <c r="P52" s="891"/>
      <c r="Q52" s="929"/>
      <c r="R52" s="930"/>
      <c r="S52" s="891"/>
      <c r="T52" s="976"/>
      <c r="U52" s="1161"/>
      <c r="V52" s="644"/>
      <c r="W52" s="644"/>
      <c r="X52" s="644"/>
      <c r="Y52" s="647"/>
      <c r="Z52" s="644"/>
      <c r="AA52" s="644"/>
      <c r="AB52" s="644"/>
      <c r="AC52" s="481"/>
      <c r="AD52" s="482"/>
      <c r="AE52" s="482"/>
      <c r="AF52" s="522"/>
      <c r="AG52" s="59"/>
      <c r="AH52" s="528"/>
      <c r="AI52" s="59"/>
      <c r="AJ52" s="213"/>
      <c r="AK52" s="566"/>
      <c r="AL52" s="566"/>
    </row>
    <row r="53" spans="1:123" s="567" customFormat="1" ht="26.5" customHeight="1">
      <c r="A53" s="558" t="s">
        <v>3</v>
      </c>
      <c r="B53" s="559"/>
      <c r="C53" s="629"/>
      <c r="D53" s="1507" t="s">
        <v>1072</v>
      </c>
      <c r="E53" s="895"/>
      <c r="F53" s="644"/>
      <c r="G53" s="647"/>
      <c r="H53" s="646"/>
      <c r="I53" s="644"/>
      <c r="J53" s="577"/>
      <c r="K53" s="898" t="s">
        <v>95</v>
      </c>
      <c r="L53" s="931"/>
      <c r="M53" s="931"/>
      <c r="N53" s="931"/>
      <c r="O53" s="931"/>
      <c r="P53" s="931"/>
      <c r="Q53" s="931"/>
      <c r="R53" s="931"/>
      <c r="S53" s="931"/>
      <c r="T53" s="931"/>
      <c r="U53" s="1435" t="s">
        <v>11</v>
      </c>
      <c r="V53" s="645"/>
      <c r="W53" s="645"/>
      <c r="X53" s="645"/>
      <c r="Y53" s="232"/>
      <c r="Z53" s="645"/>
      <c r="AA53" s="645"/>
      <c r="AB53" s="645"/>
      <c r="AC53" s="233"/>
      <c r="AD53" s="234"/>
      <c r="AE53" s="234"/>
      <c r="AF53" s="478"/>
      <c r="AG53" s="235"/>
      <c r="AH53" s="473"/>
      <c r="AI53" s="235"/>
      <c r="AJ53" s="213"/>
      <c r="AK53" s="566"/>
      <c r="AL53" s="566"/>
    </row>
    <row r="54" spans="1:123" s="567" customFormat="1">
      <c r="A54" s="558"/>
      <c r="B54" s="559"/>
      <c r="C54" s="629"/>
      <c r="D54" s="1507"/>
      <c r="E54" s="895"/>
      <c r="F54" s="644"/>
      <c r="G54" s="647"/>
      <c r="H54" s="646"/>
      <c r="I54" s="644"/>
      <c r="J54" s="577"/>
      <c r="K54" s="898" t="s">
        <v>794</v>
      </c>
      <c r="L54" s="931"/>
      <c r="M54" s="931"/>
      <c r="N54" s="931"/>
      <c r="O54" s="931"/>
      <c r="P54" s="931"/>
      <c r="Q54" s="931"/>
      <c r="R54" s="931"/>
      <c r="S54" s="931"/>
      <c r="T54" s="931"/>
      <c r="U54" s="1436"/>
      <c r="V54" s="645"/>
      <c r="W54" s="645"/>
      <c r="X54" s="645"/>
      <c r="Y54" s="232"/>
      <c r="Z54" s="645"/>
      <c r="AA54" s="645"/>
      <c r="AB54" s="645"/>
      <c r="AC54" s="233"/>
      <c r="AD54" s="234"/>
      <c r="AE54" s="234"/>
      <c r="AF54" s="478"/>
      <c r="AG54" s="235"/>
      <c r="AH54" s="473"/>
      <c r="AI54" s="235"/>
      <c r="AJ54" s="213"/>
      <c r="AK54" s="566"/>
      <c r="AL54" s="566"/>
    </row>
    <row r="55" spans="1:123" s="567" customFormat="1" ht="28">
      <c r="A55" s="558"/>
      <c r="B55" s="559"/>
      <c r="C55" s="629"/>
      <c r="D55" s="1507"/>
      <c r="E55" s="895"/>
      <c r="F55" s="644"/>
      <c r="G55" s="647"/>
      <c r="H55" s="646"/>
      <c r="I55" s="644"/>
      <c r="J55" s="577"/>
      <c r="K55" s="898" t="s">
        <v>693</v>
      </c>
      <c r="L55" s="931"/>
      <c r="M55" s="931"/>
      <c r="N55" s="931"/>
      <c r="O55" s="931"/>
      <c r="P55" s="931"/>
      <c r="Q55" s="931"/>
      <c r="R55" s="931"/>
      <c r="S55" s="931"/>
      <c r="T55" s="931"/>
      <c r="U55" s="1436"/>
      <c r="V55" s="645"/>
      <c r="W55" s="645"/>
      <c r="X55" s="645"/>
      <c r="Y55" s="232"/>
      <c r="Z55" s="645"/>
      <c r="AA55" s="645"/>
      <c r="AB55" s="645"/>
      <c r="AC55" s="233"/>
      <c r="AD55" s="234"/>
      <c r="AE55" s="234"/>
      <c r="AF55" s="478"/>
      <c r="AG55" s="235"/>
      <c r="AH55" s="473"/>
      <c r="AI55" s="235"/>
      <c r="AJ55" s="213"/>
      <c r="AK55" s="566"/>
      <c r="AL55" s="566"/>
    </row>
    <row r="56" spans="1:123" s="567" customFormat="1" ht="18" thickBot="1">
      <c r="A56" s="558"/>
      <c r="B56" s="559"/>
      <c r="C56" s="629"/>
      <c r="D56" s="1507"/>
      <c r="E56" s="895"/>
      <c r="F56" s="644"/>
      <c r="G56" s="647"/>
      <c r="H56" s="646"/>
      <c r="I56" s="644"/>
      <c r="J56" s="577"/>
      <c r="K56" s="932" t="s">
        <v>96</v>
      </c>
      <c r="L56" s="931"/>
      <c r="M56" s="931"/>
      <c r="N56" s="931"/>
      <c r="O56" s="931"/>
      <c r="P56" s="931"/>
      <c r="Q56" s="931"/>
      <c r="R56" s="931"/>
      <c r="S56" s="931"/>
      <c r="T56" s="931"/>
      <c r="U56" s="1437"/>
      <c r="V56" s="645"/>
      <c r="W56" s="645"/>
      <c r="X56" s="645"/>
      <c r="Y56" s="232"/>
      <c r="Z56" s="645"/>
      <c r="AA56" s="645"/>
      <c r="AB56" s="645"/>
      <c r="AC56" s="233"/>
      <c r="AD56" s="234"/>
      <c r="AE56" s="234"/>
      <c r="AF56" s="478"/>
      <c r="AG56" s="235"/>
      <c r="AH56" s="473"/>
      <c r="AI56" s="235"/>
      <c r="AJ56" s="213"/>
      <c r="AK56" s="566"/>
      <c r="AL56" s="566"/>
    </row>
    <row r="57" spans="1:123" s="567" customFormat="1" ht="26.5" customHeight="1">
      <c r="A57" s="558" t="s">
        <v>3</v>
      </c>
      <c r="B57" s="559"/>
      <c r="C57" s="629"/>
      <c r="D57" s="1507" t="s">
        <v>1073</v>
      </c>
      <c r="E57" s="895"/>
      <c r="F57" s="644"/>
      <c r="G57" s="647"/>
      <c r="H57" s="646"/>
      <c r="I57" s="644"/>
      <c r="J57" s="577"/>
      <c r="K57" s="934" t="s">
        <v>545</v>
      </c>
      <c r="L57" s="931"/>
      <c r="M57" s="931"/>
      <c r="N57" s="931"/>
      <c r="O57" s="931"/>
      <c r="P57" s="931"/>
      <c r="Q57" s="931"/>
      <c r="R57" s="931"/>
      <c r="S57" s="931"/>
      <c r="T57" s="931"/>
      <c r="U57" s="1435" t="s">
        <v>11</v>
      </c>
      <c r="V57" s="645"/>
      <c r="W57" s="645"/>
      <c r="X57" s="645"/>
      <c r="Y57" s="232"/>
      <c r="Z57" s="645"/>
      <c r="AA57" s="645"/>
      <c r="AB57" s="645"/>
      <c r="AC57" s="233"/>
      <c r="AD57" s="234"/>
      <c r="AE57" s="234"/>
      <c r="AF57" s="478"/>
      <c r="AG57" s="235"/>
      <c r="AH57" s="473"/>
      <c r="AI57" s="235"/>
      <c r="AJ57" s="213"/>
      <c r="AK57" s="566"/>
      <c r="AL57" s="566"/>
    </row>
    <row r="58" spans="1:123" s="567" customFormat="1">
      <c r="A58" s="558"/>
      <c r="B58" s="559"/>
      <c r="C58" s="629"/>
      <c r="D58" s="1507"/>
      <c r="E58" s="895"/>
      <c r="F58" s="644"/>
      <c r="G58" s="647"/>
      <c r="H58" s="646"/>
      <c r="I58" s="644"/>
      <c r="J58" s="577"/>
      <c r="K58" s="898" t="s">
        <v>640</v>
      </c>
      <c r="L58" s="931"/>
      <c r="M58" s="931"/>
      <c r="N58" s="931"/>
      <c r="O58" s="931"/>
      <c r="P58" s="931"/>
      <c r="Q58" s="931"/>
      <c r="R58" s="931"/>
      <c r="S58" s="931"/>
      <c r="T58" s="931"/>
      <c r="U58" s="1436"/>
      <c r="V58" s="645"/>
      <c r="W58" s="645"/>
      <c r="X58" s="645"/>
      <c r="Y58" s="232"/>
      <c r="Z58" s="645"/>
      <c r="AA58" s="645"/>
      <c r="AB58" s="645"/>
      <c r="AC58" s="233"/>
      <c r="AD58" s="234"/>
      <c r="AE58" s="234"/>
      <c r="AF58" s="478"/>
      <c r="AG58" s="235"/>
      <c r="AH58" s="473"/>
      <c r="AI58" s="235"/>
      <c r="AJ58" s="213"/>
      <c r="AK58" s="566"/>
      <c r="AL58" s="566"/>
    </row>
    <row r="59" spans="1:123" s="567" customFormat="1">
      <c r="A59" s="558"/>
      <c r="B59" s="559"/>
      <c r="C59" s="629"/>
      <c r="D59" s="1507"/>
      <c r="E59" s="895"/>
      <c r="F59" s="644"/>
      <c r="G59" s="647"/>
      <c r="H59" s="646"/>
      <c r="I59" s="644"/>
      <c r="J59" s="577"/>
      <c r="K59" s="898" t="s">
        <v>655</v>
      </c>
      <c r="L59" s="931"/>
      <c r="M59" s="931"/>
      <c r="N59" s="931"/>
      <c r="O59" s="931"/>
      <c r="P59" s="931"/>
      <c r="Q59" s="931"/>
      <c r="R59" s="931"/>
      <c r="S59" s="931"/>
      <c r="T59" s="931"/>
      <c r="U59" s="1436"/>
      <c r="V59" s="645"/>
      <c r="W59" s="645"/>
      <c r="X59" s="645"/>
      <c r="Y59" s="232"/>
      <c r="Z59" s="645"/>
      <c r="AA59" s="645"/>
      <c r="AB59" s="645"/>
      <c r="AC59" s="233"/>
      <c r="AD59" s="234"/>
      <c r="AE59" s="234"/>
      <c r="AF59" s="478"/>
      <c r="AG59" s="235"/>
      <c r="AH59" s="473"/>
      <c r="AI59" s="235"/>
      <c r="AJ59" s="213"/>
      <c r="AK59" s="566"/>
      <c r="AL59" s="566"/>
    </row>
    <row r="60" spans="1:123" s="567" customFormat="1" ht="18" thickBot="1">
      <c r="A60" s="558"/>
      <c r="B60" s="559"/>
      <c r="C60" s="629"/>
      <c r="D60" s="1507"/>
      <c r="E60" s="895"/>
      <c r="F60" s="644"/>
      <c r="G60" s="647"/>
      <c r="H60" s="646"/>
      <c r="I60" s="644"/>
      <c r="J60" s="577"/>
      <c r="K60" s="932" t="s">
        <v>553</v>
      </c>
      <c r="L60" s="931"/>
      <c r="M60" s="931"/>
      <c r="N60" s="931"/>
      <c r="O60" s="931"/>
      <c r="P60" s="931"/>
      <c r="Q60" s="931"/>
      <c r="R60" s="931"/>
      <c r="S60" s="931"/>
      <c r="T60" s="931"/>
      <c r="U60" s="1436"/>
      <c r="V60" s="645"/>
      <c r="W60" s="645"/>
      <c r="X60" s="645"/>
      <c r="Y60" s="232"/>
      <c r="Z60" s="645"/>
      <c r="AA60" s="645"/>
      <c r="AB60" s="645"/>
      <c r="AC60" s="233"/>
      <c r="AD60" s="234"/>
      <c r="AE60" s="234"/>
      <c r="AF60" s="478"/>
      <c r="AG60" s="235"/>
      <c r="AH60" s="473"/>
      <c r="AI60" s="235"/>
      <c r="AJ60" s="213"/>
      <c r="AK60" s="566"/>
      <c r="AL60" s="566"/>
    </row>
    <row r="61" spans="1:123" s="557" customFormat="1" ht="27" customHeight="1" thickBot="1">
      <c r="A61" s="550" t="s">
        <v>34</v>
      </c>
      <c r="B61" s="551" t="s">
        <v>1076</v>
      </c>
      <c r="C61" s="552" t="s">
        <v>1077</v>
      </c>
      <c r="D61" s="553"/>
      <c r="E61" s="554"/>
      <c r="F61" s="555"/>
      <c r="G61" s="144"/>
      <c r="H61" s="144"/>
      <c r="I61" s="517"/>
      <c r="J61" s="517"/>
      <c r="K61" s="517"/>
      <c r="L61" s="851"/>
      <c r="M61" s="517"/>
      <c r="N61" s="517"/>
      <c r="O61" s="517"/>
      <c r="P61" s="517"/>
      <c r="Q61" s="517"/>
      <c r="R61" s="517"/>
      <c r="S61" s="517"/>
      <c r="T61" s="517"/>
      <c r="U61" s="517"/>
      <c r="V61" s="517"/>
      <c r="W61" s="517"/>
      <c r="X61" s="517"/>
      <c r="Y61" s="517"/>
      <c r="Z61" s="517"/>
      <c r="AA61" s="517"/>
      <c r="AB61" s="517"/>
      <c r="AC61" s="517"/>
      <c r="AD61" s="517"/>
      <c r="AE61" s="517"/>
      <c r="AF61" s="969"/>
      <c r="AG61" s="969"/>
      <c r="AH61" s="969"/>
      <c r="AI61" s="969"/>
      <c r="AJ61" s="969"/>
      <c r="AK61" s="556"/>
      <c r="AL61" s="556"/>
    </row>
    <row r="62" spans="1:123" s="582" customFormat="1" ht="18" thickBot="1">
      <c r="A62" s="578"/>
      <c r="B62" s="579"/>
      <c r="C62" s="958" t="s">
        <v>1127</v>
      </c>
      <c r="D62" s="950"/>
      <c r="E62" s="950"/>
      <c r="F62" s="950"/>
      <c r="G62" s="950"/>
      <c r="H62" s="950"/>
      <c r="I62" s="852"/>
      <c r="J62" s="852"/>
      <c r="K62" s="853"/>
      <c r="L62" s="854"/>
      <c r="M62" s="855"/>
      <c r="N62" s="855"/>
      <c r="O62" s="855"/>
      <c r="P62" s="855"/>
      <c r="Q62" s="855"/>
      <c r="R62" s="855"/>
      <c r="S62" s="852"/>
      <c r="T62" s="855"/>
      <c r="U62" s="855"/>
      <c r="V62" s="852"/>
      <c r="W62" s="852"/>
      <c r="X62" s="852"/>
      <c r="Y62" s="852"/>
      <c r="Z62" s="852"/>
      <c r="AA62" s="852"/>
      <c r="AB62" s="852"/>
      <c r="AC62" s="852"/>
      <c r="AD62" s="852"/>
      <c r="AE62" s="852"/>
      <c r="AF62" s="852"/>
      <c r="AG62" s="852"/>
      <c r="AH62" s="852"/>
      <c r="AI62" s="852"/>
      <c r="AJ62" s="852"/>
      <c r="AK62" s="565"/>
      <c r="AL62" s="565"/>
      <c r="AM62" s="565"/>
      <c r="AN62" s="565"/>
      <c r="AO62" s="565"/>
      <c r="AP62" s="565"/>
      <c r="AQ62" s="565"/>
      <c r="AR62" s="565"/>
      <c r="AS62" s="565"/>
      <c r="AT62" s="565"/>
      <c r="AU62" s="565"/>
      <c r="AV62" s="565"/>
      <c r="AW62" s="565"/>
      <c r="AX62" s="565"/>
      <c r="AY62" s="565"/>
      <c r="AZ62" s="565"/>
      <c r="BA62" s="565"/>
      <c r="BB62" s="565"/>
      <c r="BC62" s="565"/>
      <c r="BD62" s="565"/>
      <c r="BE62" s="565"/>
      <c r="BF62" s="565"/>
      <c r="BG62" s="565"/>
      <c r="BH62" s="565"/>
      <c r="BI62" s="565"/>
      <c r="BJ62" s="565"/>
      <c r="BK62" s="565"/>
      <c r="BL62" s="565"/>
      <c r="BM62" s="565"/>
      <c r="BN62" s="565"/>
      <c r="BO62" s="565"/>
      <c r="BP62" s="565"/>
      <c r="BQ62" s="565"/>
      <c r="BR62" s="565"/>
      <c r="BS62" s="565"/>
      <c r="BT62" s="565"/>
      <c r="BU62" s="565"/>
      <c r="BV62" s="565"/>
      <c r="BW62" s="565"/>
      <c r="BX62" s="565"/>
      <c r="BY62" s="565"/>
      <c r="BZ62" s="565"/>
      <c r="CA62" s="565"/>
      <c r="CB62" s="565"/>
      <c r="CC62" s="565"/>
      <c r="CD62" s="565"/>
      <c r="CE62" s="565"/>
      <c r="CF62" s="565"/>
      <c r="CG62" s="565"/>
      <c r="CH62" s="565"/>
      <c r="CI62" s="565"/>
      <c r="CJ62" s="565"/>
      <c r="CK62" s="565"/>
      <c r="CL62" s="565"/>
      <c r="CM62" s="565"/>
      <c r="CN62" s="565"/>
      <c r="CO62" s="565"/>
      <c r="CP62" s="565"/>
      <c r="CQ62" s="565"/>
      <c r="CR62" s="565"/>
      <c r="CS62" s="565"/>
      <c r="CT62" s="565"/>
      <c r="CU62" s="565"/>
      <c r="CV62" s="565"/>
      <c r="CW62" s="565"/>
      <c r="CX62" s="565"/>
      <c r="CY62" s="565"/>
      <c r="CZ62" s="565"/>
      <c r="DA62" s="565"/>
      <c r="DB62" s="565"/>
      <c r="DC62" s="565"/>
      <c r="DD62" s="565"/>
      <c r="DE62" s="565"/>
      <c r="DF62" s="565"/>
      <c r="DG62" s="565"/>
      <c r="DH62" s="565"/>
      <c r="DI62" s="565"/>
      <c r="DJ62" s="565"/>
      <c r="DK62" s="565"/>
      <c r="DL62" s="565"/>
      <c r="DM62" s="565"/>
      <c r="DN62" s="565"/>
      <c r="DO62" s="565"/>
      <c r="DP62" s="565"/>
      <c r="DQ62" s="565"/>
      <c r="DR62" s="565"/>
      <c r="DS62" s="565"/>
    </row>
    <row r="63" spans="1:123" s="953" customFormat="1" ht="18" thickBot="1">
      <c r="A63" s="951"/>
      <c r="B63" s="952"/>
      <c r="C63" s="959" t="s">
        <v>1126</v>
      </c>
      <c r="D63" s="960"/>
      <c r="E63" s="960"/>
      <c r="F63" s="960"/>
      <c r="G63" s="961"/>
      <c r="H63" s="961"/>
      <c r="I63" s="955" t="s">
        <v>1106</v>
      </c>
      <c r="J63" s="954" t="s">
        <v>1107</v>
      </c>
      <c r="K63" s="956"/>
      <c r="L63" s="957"/>
      <c r="M63" s="1591"/>
      <c r="N63" s="1591"/>
      <c r="O63" s="1591"/>
      <c r="P63" s="1591"/>
      <c r="Q63" s="1591"/>
      <c r="R63" s="1591"/>
      <c r="S63" s="1591"/>
      <c r="T63" s="1591"/>
      <c r="U63" s="977"/>
      <c r="V63" s="978"/>
      <c r="W63" s="977"/>
      <c r="X63" s="977"/>
      <c r="Y63" s="977"/>
      <c r="Z63" s="977"/>
      <c r="AA63" s="977"/>
      <c r="AB63" s="977"/>
      <c r="AC63" s="977"/>
      <c r="AD63" s="977"/>
      <c r="AE63" s="977"/>
      <c r="AF63" s="977"/>
      <c r="AG63" s="978"/>
      <c r="AH63" s="979"/>
      <c r="AI63" s="979"/>
      <c r="AJ63" s="978"/>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row>
    <row r="64" spans="1:123" s="567" customFormat="1" ht="27" customHeight="1">
      <c r="A64" s="558" t="s">
        <v>2</v>
      </c>
      <c r="B64" s="559"/>
      <c r="C64" s="568" t="s">
        <v>1078</v>
      </c>
      <c r="D64" s="867" t="s">
        <v>1079</v>
      </c>
      <c r="E64" s="1555" t="s">
        <v>1226</v>
      </c>
      <c r="F64" s="837"/>
      <c r="G64" s="831" t="s">
        <v>91</v>
      </c>
      <c r="H64" s="829" t="s">
        <v>254</v>
      </c>
      <c r="I64" s="1592" t="s">
        <v>1074</v>
      </c>
      <c r="J64" s="828" t="s">
        <v>1080</v>
      </c>
      <c r="K64" s="921"/>
      <c r="L64" s="1134"/>
      <c r="M64" s="1543"/>
      <c r="N64" s="1543"/>
      <c r="O64" s="1543"/>
      <c r="P64" s="1543"/>
      <c r="Q64" s="1543"/>
      <c r="R64" s="1543"/>
      <c r="S64" s="1543"/>
      <c r="T64" s="1544"/>
      <c r="U64" s="1159" t="s">
        <v>11</v>
      </c>
      <c r="V64" s="823"/>
      <c r="W64" s="823"/>
      <c r="X64" s="823"/>
      <c r="Y64" s="831"/>
      <c r="Z64" s="823"/>
      <c r="AA64" s="823"/>
      <c r="AB64" s="823"/>
      <c r="AC64" s="479"/>
      <c r="AD64" s="480"/>
      <c r="AE64" s="480"/>
      <c r="AF64" s="922"/>
      <c r="AG64" s="56"/>
      <c r="AH64" s="1162" t="s">
        <v>44</v>
      </c>
      <c r="AI64" s="56"/>
      <c r="AJ64" s="191"/>
      <c r="AK64" s="566"/>
      <c r="AL64" s="566"/>
    </row>
    <row r="65" spans="1:123" s="200" customFormat="1" ht="24" customHeight="1">
      <c r="A65" s="625"/>
      <c r="B65" s="626"/>
      <c r="C65" s="573"/>
      <c r="D65" s="574"/>
      <c r="E65" s="1556"/>
      <c r="F65" s="833"/>
      <c r="G65" s="832"/>
      <c r="H65" s="830"/>
      <c r="I65" s="1593"/>
      <c r="J65" s="916"/>
      <c r="K65" s="912"/>
      <c r="L65" s="1545" t="s">
        <v>1064</v>
      </c>
      <c r="M65" s="1546" t="s">
        <v>1065</v>
      </c>
      <c r="N65" s="1546"/>
      <c r="O65" s="1546" t="s">
        <v>1066</v>
      </c>
      <c r="P65" s="1546"/>
      <c r="Q65" s="1546"/>
      <c r="R65" s="1546"/>
      <c r="S65" s="1547" t="s">
        <v>1067</v>
      </c>
      <c r="T65" s="1548"/>
      <c r="U65" s="1160"/>
      <c r="V65" s="824"/>
      <c r="W65" s="824"/>
      <c r="X65" s="824"/>
      <c r="Y65" s="832"/>
      <c r="Z65" s="824"/>
      <c r="AA65" s="824"/>
      <c r="AB65" s="824"/>
      <c r="AC65" s="481"/>
      <c r="AD65" s="482"/>
      <c r="AE65" s="482"/>
      <c r="AF65" s="888"/>
      <c r="AG65" s="59"/>
      <c r="AH65" s="1163"/>
      <c r="AI65" s="59"/>
      <c r="AJ65" s="213"/>
      <c r="AK65" s="628"/>
      <c r="AL65" s="628"/>
    </row>
    <row r="66" spans="1:123" s="567" customFormat="1" ht="42">
      <c r="A66" s="558"/>
      <c r="B66" s="559"/>
      <c r="C66" s="573"/>
      <c r="D66" s="574"/>
      <c r="E66" s="1556"/>
      <c r="F66" s="833"/>
      <c r="G66" s="832"/>
      <c r="H66" s="830"/>
      <c r="I66" s="1593"/>
      <c r="J66" s="916"/>
      <c r="K66" s="912"/>
      <c r="L66" s="1545"/>
      <c r="M66" s="1546"/>
      <c r="N66" s="1546"/>
      <c r="O66" s="928" t="s">
        <v>1068</v>
      </c>
      <c r="P66" s="928" t="s">
        <v>1069</v>
      </c>
      <c r="Q66" s="928" t="s">
        <v>1070</v>
      </c>
      <c r="R66" s="928" t="s">
        <v>1071</v>
      </c>
      <c r="S66" s="928" t="s">
        <v>1069</v>
      </c>
      <c r="T66" s="975" t="s">
        <v>1070</v>
      </c>
      <c r="U66" s="1160"/>
      <c r="V66" s="824"/>
      <c r="W66" s="824"/>
      <c r="X66" s="824"/>
      <c r="Y66" s="832"/>
      <c r="Z66" s="824"/>
      <c r="AA66" s="824"/>
      <c r="AB66" s="824"/>
      <c r="AC66" s="481"/>
      <c r="AD66" s="482"/>
      <c r="AE66" s="482"/>
      <c r="AF66" s="888"/>
      <c r="AG66" s="59"/>
      <c r="AH66" s="1163"/>
      <c r="AI66" s="59"/>
      <c r="AJ66" s="213"/>
      <c r="AK66" s="566"/>
      <c r="AL66" s="566"/>
    </row>
    <row r="67" spans="1:123" s="567" customFormat="1" ht="18" thickBot="1">
      <c r="A67" s="558"/>
      <c r="B67" s="559"/>
      <c r="C67" s="573"/>
      <c r="D67" s="574"/>
      <c r="E67" s="1556"/>
      <c r="F67" s="833"/>
      <c r="G67" s="832"/>
      <c r="H67" s="830"/>
      <c r="I67" s="1593"/>
      <c r="J67" s="916"/>
      <c r="K67" s="912"/>
      <c r="L67" s="935"/>
      <c r="M67" s="1540"/>
      <c r="N67" s="1540"/>
      <c r="O67" s="929"/>
      <c r="P67" s="1135"/>
      <c r="Q67" s="929"/>
      <c r="R67" s="930"/>
      <c r="S67" s="1135"/>
      <c r="T67" s="976"/>
      <c r="U67" s="1161"/>
      <c r="V67" s="824"/>
      <c r="W67" s="824"/>
      <c r="X67" s="824"/>
      <c r="Y67" s="832"/>
      <c r="Z67" s="824"/>
      <c r="AA67" s="824"/>
      <c r="AB67" s="824"/>
      <c r="AC67" s="481"/>
      <c r="AD67" s="482"/>
      <c r="AE67" s="482"/>
      <c r="AF67" s="888"/>
      <c r="AG67" s="59"/>
      <c r="AH67" s="1163"/>
      <c r="AI67" s="59"/>
      <c r="AJ67" s="213"/>
      <c r="AK67" s="566"/>
      <c r="AL67" s="566"/>
    </row>
    <row r="68" spans="1:123" s="567" customFormat="1">
      <c r="A68" s="558" t="s">
        <v>3</v>
      </c>
      <c r="B68" s="559"/>
      <c r="C68" s="629"/>
      <c r="D68" s="1507" t="s">
        <v>1081</v>
      </c>
      <c r="E68" s="895"/>
      <c r="F68" s="824"/>
      <c r="G68" s="832"/>
      <c r="H68" s="830"/>
      <c r="I68" s="1593"/>
      <c r="J68" s="916"/>
      <c r="K68" s="898" t="s">
        <v>95</v>
      </c>
      <c r="L68" s="931"/>
      <c r="M68" s="931"/>
      <c r="N68" s="931"/>
      <c r="O68" s="931"/>
      <c r="P68" s="931"/>
      <c r="Q68" s="931"/>
      <c r="R68" s="931"/>
      <c r="S68" s="931"/>
      <c r="T68" s="931"/>
      <c r="U68" s="1435" t="s">
        <v>11</v>
      </c>
      <c r="V68" s="822"/>
      <c r="W68" s="822"/>
      <c r="X68" s="822"/>
      <c r="Y68" s="232"/>
      <c r="Z68" s="822"/>
      <c r="AA68" s="822"/>
      <c r="AB68" s="822"/>
      <c r="AC68" s="233"/>
      <c r="AD68" s="234"/>
      <c r="AE68" s="234"/>
      <c r="AF68" s="478"/>
      <c r="AG68" s="235"/>
      <c r="AH68" s="473"/>
      <c r="AI68" s="235"/>
      <c r="AJ68" s="213"/>
      <c r="AK68" s="566"/>
      <c r="AL68" s="566"/>
    </row>
    <row r="69" spans="1:123" s="567" customFormat="1">
      <c r="A69" s="558"/>
      <c r="B69" s="559"/>
      <c r="C69" s="629"/>
      <c r="D69" s="1507"/>
      <c r="E69" s="895"/>
      <c r="F69" s="824"/>
      <c r="G69" s="832"/>
      <c r="H69" s="830"/>
      <c r="I69" s="1593"/>
      <c r="J69" s="916"/>
      <c r="K69" s="898" t="s">
        <v>794</v>
      </c>
      <c r="L69" s="931"/>
      <c r="M69" s="931"/>
      <c r="N69" s="931"/>
      <c r="O69" s="931"/>
      <c r="P69" s="931"/>
      <c r="Q69" s="931"/>
      <c r="R69" s="931"/>
      <c r="S69" s="931"/>
      <c r="T69" s="931"/>
      <c r="U69" s="1436"/>
      <c r="V69" s="822"/>
      <c r="W69" s="822"/>
      <c r="X69" s="822"/>
      <c r="Y69" s="232"/>
      <c r="Z69" s="822"/>
      <c r="AA69" s="822"/>
      <c r="AB69" s="822"/>
      <c r="AC69" s="233"/>
      <c r="AD69" s="234"/>
      <c r="AE69" s="234"/>
      <c r="AF69" s="478"/>
      <c r="AG69" s="235"/>
      <c r="AH69" s="473"/>
      <c r="AI69" s="235"/>
      <c r="AJ69" s="213"/>
      <c r="AK69" s="566"/>
      <c r="AL69" s="566"/>
    </row>
    <row r="70" spans="1:123" s="567" customFormat="1" ht="28">
      <c r="A70" s="558"/>
      <c r="B70" s="559"/>
      <c r="C70" s="629"/>
      <c r="D70" s="1507"/>
      <c r="E70" s="895"/>
      <c r="F70" s="824"/>
      <c r="G70" s="832"/>
      <c r="H70" s="830"/>
      <c r="I70" s="1593"/>
      <c r="J70" s="916"/>
      <c r="K70" s="898" t="s">
        <v>693</v>
      </c>
      <c r="L70" s="931"/>
      <c r="M70" s="931"/>
      <c r="N70" s="931"/>
      <c r="O70" s="931"/>
      <c r="P70" s="931"/>
      <c r="Q70" s="931"/>
      <c r="R70" s="931"/>
      <c r="S70" s="931"/>
      <c r="T70" s="931"/>
      <c r="U70" s="1436"/>
      <c r="V70" s="822"/>
      <c r="W70" s="822"/>
      <c r="X70" s="822"/>
      <c r="Y70" s="232"/>
      <c r="Z70" s="822"/>
      <c r="AA70" s="822"/>
      <c r="AB70" s="822"/>
      <c r="AC70" s="233"/>
      <c r="AD70" s="234"/>
      <c r="AE70" s="234"/>
      <c r="AF70" s="478"/>
      <c r="AG70" s="235"/>
      <c r="AH70" s="473"/>
      <c r="AI70" s="235"/>
      <c r="AJ70" s="213"/>
      <c r="AK70" s="566"/>
      <c r="AL70" s="566"/>
    </row>
    <row r="71" spans="1:123" s="567" customFormat="1" ht="18" thickBot="1">
      <c r="A71" s="558"/>
      <c r="B71" s="559"/>
      <c r="C71" s="629"/>
      <c r="D71" s="1507"/>
      <c r="E71" s="895"/>
      <c r="F71" s="824"/>
      <c r="G71" s="832"/>
      <c r="H71" s="830"/>
      <c r="I71" s="1593"/>
      <c r="J71" s="916"/>
      <c r="K71" s="932" t="s">
        <v>96</v>
      </c>
      <c r="L71" s="931"/>
      <c r="M71" s="931"/>
      <c r="N71" s="931"/>
      <c r="O71" s="931"/>
      <c r="P71" s="931"/>
      <c r="Q71" s="931"/>
      <c r="R71" s="931"/>
      <c r="S71" s="931"/>
      <c r="T71" s="931"/>
      <c r="U71" s="1437"/>
      <c r="V71" s="822"/>
      <c r="W71" s="822"/>
      <c r="X71" s="822"/>
      <c r="Y71" s="232"/>
      <c r="Z71" s="822"/>
      <c r="AA71" s="822"/>
      <c r="AB71" s="822"/>
      <c r="AC71" s="233"/>
      <c r="AD71" s="234"/>
      <c r="AE71" s="234"/>
      <c r="AF71" s="478"/>
      <c r="AG71" s="235"/>
      <c r="AH71" s="473"/>
      <c r="AI71" s="235"/>
      <c r="AJ71" s="213"/>
      <c r="AK71" s="566"/>
      <c r="AL71" s="566"/>
    </row>
    <row r="72" spans="1:123" s="567" customFormat="1">
      <c r="A72" s="558" t="s">
        <v>3</v>
      </c>
      <c r="B72" s="559"/>
      <c r="C72" s="629"/>
      <c r="D72" s="1507" t="s">
        <v>1082</v>
      </c>
      <c r="E72" s="895"/>
      <c r="F72" s="824"/>
      <c r="G72" s="832"/>
      <c r="H72" s="830"/>
      <c r="I72" s="1593"/>
      <c r="J72" s="916"/>
      <c r="K72" s="934" t="s">
        <v>545</v>
      </c>
      <c r="L72" s="931"/>
      <c r="M72" s="931"/>
      <c r="N72" s="931"/>
      <c r="O72" s="931"/>
      <c r="P72" s="931"/>
      <c r="Q72" s="931"/>
      <c r="R72" s="931"/>
      <c r="S72" s="931"/>
      <c r="T72" s="931"/>
      <c r="U72" s="1435" t="s">
        <v>11</v>
      </c>
      <c r="V72" s="822"/>
      <c r="W72" s="822"/>
      <c r="X72" s="822"/>
      <c r="Y72" s="232"/>
      <c r="Z72" s="822"/>
      <c r="AA72" s="822"/>
      <c r="AB72" s="822"/>
      <c r="AC72" s="233"/>
      <c r="AD72" s="234"/>
      <c r="AE72" s="234"/>
      <c r="AF72" s="478"/>
      <c r="AG72" s="235"/>
      <c r="AH72" s="473"/>
      <c r="AI72" s="235"/>
      <c r="AJ72" s="213"/>
      <c r="AK72" s="566"/>
      <c r="AL72" s="566"/>
    </row>
    <row r="73" spans="1:123" s="567" customFormat="1">
      <c r="A73" s="558"/>
      <c r="B73" s="559"/>
      <c r="C73" s="629"/>
      <c r="D73" s="1507"/>
      <c r="E73" s="895"/>
      <c r="F73" s="824"/>
      <c r="G73" s="832"/>
      <c r="H73" s="830"/>
      <c r="I73" s="1593"/>
      <c r="J73" s="916"/>
      <c r="K73" s="898" t="s">
        <v>640</v>
      </c>
      <c r="L73" s="931"/>
      <c r="M73" s="931"/>
      <c r="N73" s="931"/>
      <c r="O73" s="931"/>
      <c r="P73" s="931"/>
      <c r="Q73" s="931"/>
      <c r="R73" s="931"/>
      <c r="S73" s="931"/>
      <c r="T73" s="931"/>
      <c r="U73" s="1436"/>
      <c r="V73" s="822"/>
      <c r="W73" s="822"/>
      <c r="X73" s="822"/>
      <c r="Y73" s="232"/>
      <c r="Z73" s="822"/>
      <c r="AA73" s="822"/>
      <c r="AB73" s="822"/>
      <c r="AC73" s="233"/>
      <c r="AD73" s="234"/>
      <c r="AE73" s="234"/>
      <c r="AF73" s="478"/>
      <c r="AG73" s="235"/>
      <c r="AH73" s="473"/>
      <c r="AI73" s="235"/>
      <c r="AJ73" s="213"/>
      <c r="AK73" s="566"/>
      <c r="AL73" s="566"/>
    </row>
    <row r="74" spans="1:123" s="567" customFormat="1">
      <c r="A74" s="558"/>
      <c r="B74" s="559"/>
      <c r="C74" s="629"/>
      <c r="D74" s="1507"/>
      <c r="E74" s="895"/>
      <c r="F74" s="824"/>
      <c r="G74" s="832"/>
      <c r="H74" s="830"/>
      <c r="I74" s="1593"/>
      <c r="J74" s="916"/>
      <c r="K74" s="898" t="s">
        <v>655</v>
      </c>
      <c r="L74" s="931"/>
      <c r="M74" s="931"/>
      <c r="N74" s="931"/>
      <c r="O74" s="931"/>
      <c r="P74" s="931"/>
      <c r="Q74" s="931"/>
      <c r="R74" s="931"/>
      <c r="S74" s="931"/>
      <c r="T74" s="931"/>
      <c r="U74" s="1436"/>
      <c r="V74" s="822"/>
      <c r="W74" s="822"/>
      <c r="X74" s="822"/>
      <c r="Y74" s="232"/>
      <c r="Z74" s="822"/>
      <c r="AA74" s="822"/>
      <c r="AB74" s="822"/>
      <c r="AC74" s="233"/>
      <c r="AD74" s="234"/>
      <c r="AE74" s="234"/>
      <c r="AF74" s="478"/>
      <c r="AG74" s="235"/>
      <c r="AH74" s="473"/>
      <c r="AI74" s="235"/>
      <c r="AJ74" s="213"/>
      <c r="AK74" s="566"/>
      <c r="AL74" s="566"/>
    </row>
    <row r="75" spans="1:123" s="567" customFormat="1" ht="18" thickBot="1">
      <c r="A75" s="558"/>
      <c r="B75" s="559"/>
      <c r="C75" s="629"/>
      <c r="D75" s="1507"/>
      <c r="E75" s="895"/>
      <c r="F75" s="824"/>
      <c r="G75" s="832"/>
      <c r="H75" s="830"/>
      <c r="I75" s="1594"/>
      <c r="J75" s="916"/>
      <c r="K75" s="932" t="s">
        <v>553</v>
      </c>
      <c r="L75" s="931"/>
      <c r="M75" s="931"/>
      <c r="N75" s="931"/>
      <c r="O75" s="931"/>
      <c r="P75" s="931"/>
      <c r="Q75" s="931"/>
      <c r="R75" s="931"/>
      <c r="S75" s="931"/>
      <c r="T75" s="931"/>
      <c r="U75" s="1436"/>
      <c r="V75" s="822"/>
      <c r="W75" s="822"/>
      <c r="X75" s="822"/>
      <c r="Y75" s="232"/>
      <c r="Z75" s="822"/>
      <c r="AA75" s="822"/>
      <c r="AB75" s="822"/>
      <c r="AC75" s="233"/>
      <c r="AD75" s="234"/>
      <c r="AE75" s="234"/>
      <c r="AF75" s="478"/>
      <c r="AG75" s="235"/>
      <c r="AH75" s="473"/>
      <c r="AI75" s="235"/>
      <c r="AJ75" s="213"/>
      <c r="AK75" s="566"/>
      <c r="AL75" s="566"/>
    </row>
    <row r="76" spans="1:123" s="584" customFormat="1" ht="71" thickBot="1">
      <c r="A76" s="578" t="s">
        <v>2</v>
      </c>
      <c r="B76" s="559"/>
      <c r="C76" s="899" t="s">
        <v>1083</v>
      </c>
      <c r="D76" s="650" t="s">
        <v>1084</v>
      </c>
      <c r="E76" s="1046" t="s">
        <v>1214</v>
      </c>
      <c r="F76" s="652"/>
      <c r="G76" s="464" t="s">
        <v>91</v>
      </c>
      <c r="H76" s="653" t="s">
        <v>111</v>
      </c>
      <c r="I76" s="654" t="s">
        <v>947</v>
      </c>
      <c r="J76" s="655" t="s">
        <v>695</v>
      </c>
      <c r="K76" s="936"/>
      <c r="L76" s="937"/>
      <c r="M76" s="1406"/>
      <c r="N76" s="1406"/>
      <c r="O76" s="1406"/>
      <c r="P76" s="1406"/>
      <c r="Q76" s="1406"/>
      <c r="R76" s="1406"/>
      <c r="S76" s="1406"/>
      <c r="T76" s="1407"/>
      <c r="U76" s="933" t="s">
        <v>11</v>
      </c>
      <c r="V76" s="658"/>
      <c r="W76" s="658"/>
      <c r="X76" s="658"/>
      <c r="Y76" s="658"/>
      <c r="Z76" s="658"/>
      <c r="AA76" s="658"/>
      <c r="AB76" s="658"/>
      <c r="AC76" s="659"/>
      <c r="AD76" s="660"/>
      <c r="AE76" s="660"/>
      <c r="AF76" s="739"/>
      <c r="AG76" s="661"/>
      <c r="AH76" s="1055" t="s">
        <v>779</v>
      </c>
      <c r="AI76" s="662"/>
      <c r="AJ76" s="663"/>
      <c r="AK76" s="565"/>
      <c r="AL76" s="565"/>
      <c r="AM76" s="565"/>
      <c r="AN76" s="565"/>
      <c r="AO76" s="565"/>
      <c r="AP76" s="565"/>
      <c r="AQ76" s="565"/>
      <c r="AR76" s="565"/>
      <c r="AS76" s="565"/>
      <c r="AT76" s="565"/>
      <c r="AU76" s="565"/>
      <c r="AV76" s="565"/>
      <c r="AW76" s="565"/>
      <c r="AX76" s="565"/>
      <c r="AY76" s="565"/>
      <c r="AZ76" s="565"/>
      <c r="BA76" s="565"/>
      <c r="BB76" s="565"/>
      <c r="BC76" s="565"/>
      <c r="BD76" s="565"/>
      <c r="BE76" s="565"/>
      <c r="BF76" s="565"/>
      <c r="BG76" s="565"/>
      <c r="BH76" s="565"/>
      <c r="BI76" s="565"/>
      <c r="BJ76" s="565"/>
      <c r="BK76" s="565"/>
      <c r="BL76" s="565"/>
      <c r="BM76" s="565"/>
      <c r="BN76" s="565"/>
      <c r="BO76" s="565"/>
      <c r="BP76" s="565"/>
      <c r="BQ76" s="565"/>
      <c r="BR76" s="565"/>
      <c r="BS76" s="565"/>
      <c r="BT76" s="565"/>
      <c r="BU76" s="565"/>
      <c r="BV76" s="565"/>
      <c r="BW76" s="565"/>
      <c r="BX76" s="565"/>
      <c r="BY76" s="565"/>
      <c r="BZ76" s="565"/>
      <c r="CA76" s="565"/>
      <c r="CB76" s="565"/>
      <c r="CC76" s="565"/>
      <c r="CD76" s="565"/>
      <c r="CE76" s="565"/>
      <c r="CF76" s="565"/>
      <c r="CG76" s="565"/>
      <c r="CH76" s="565"/>
      <c r="CI76" s="565"/>
      <c r="CJ76" s="565"/>
      <c r="CK76" s="565"/>
      <c r="CL76" s="565"/>
      <c r="CM76" s="565"/>
      <c r="CN76" s="565"/>
      <c r="CO76" s="565"/>
      <c r="CP76" s="565"/>
      <c r="CQ76" s="565"/>
      <c r="CR76" s="565"/>
      <c r="CS76" s="565"/>
      <c r="CT76" s="565"/>
      <c r="CU76" s="565"/>
      <c r="CV76" s="565"/>
      <c r="CW76" s="565"/>
      <c r="CX76" s="565"/>
      <c r="CY76" s="565"/>
      <c r="CZ76" s="565"/>
      <c r="DA76" s="565"/>
      <c r="DB76" s="565"/>
      <c r="DC76" s="565"/>
      <c r="DD76" s="565"/>
      <c r="DE76" s="565"/>
      <c r="DF76" s="565"/>
      <c r="DG76" s="565"/>
      <c r="DH76" s="565"/>
      <c r="DI76" s="565"/>
      <c r="DJ76" s="565"/>
      <c r="DK76" s="565"/>
      <c r="DL76" s="565"/>
      <c r="DM76" s="565"/>
      <c r="DN76" s="565"/>
      <c r="DO76" s="565"/>
      <c r="DP76" s="565"/>
      <c r="DQ76" s="565"/>
      <c r="DR76" s="565"/>
      <c r="DS76" s="565"/>
    </row>
    <row r="77" spans="1:123" s="584" customFormat="1" ht="54" customHeight="1" thickBot="1">
      <c r="A77" s="578" t="s">
        <v>2</v>
      </c>
      <c r="B77" s="559"/>
      <c r="C77" s="899" t="s">
        <v>1085</v>
      </c>
      <c r="D77" s="650" t="s">
        <v>1086</v>
      </c>
      <c r="E77" s="1052" t="s">
        <v>1227</v>
      </c>
      <c r="F77" s="453" t="s">
        <v>1116</v>
      </c>
      <c r="G77" s="464" t="s">
        <v>91</v>
      </c>
      <c r="H77" s="653" t="s">
        <v>111</v>
      </c>
      <c r="I77" s="654" t="s">
        <v>947</v>
      </c>
      <c r="J77" s="655" t="s">
        <v>695</v>
      </c>
      <c r="K77" s="936"/>
      <c r="L77" s="1136"/>
      <c r="M77" s="1406"/>
      <c r="N77" s="1406"/>
      <c r="O77" s="1406"/>
      <c r="P77" s="1406"/>
      <c r="Q77" s="1406"/>
      <c r="R77" s="1406"/>
      <c r="S77" s="1406"/>
      <c r="T77" s="1407"/>
      <c r="U77" s="933" t="s">
        <v>11</v>
      </c>
      <c r="V77" s="658"/>
      <c r="W77" s="658"/>
      <c r="X77" s="658"/>
      <c r="Y77" s="658"/>
      <c r="Z77" s="658"/>
      <c r="AA77" s="658"/>
      <c r="AB77" s="658"/>
      <c r="AC77" s="659"/>
      <c r="AD77" s="660"/>
      <c r="AE77" s="660"/>
      <c r="AF77" s="739"/>
      <c r="AG77" s="661"/>
      <c r="AH77" s="811" t="s">
        <v>44</v>
      </c>
      <c r="AI77" s="662"/>
      <c r="AJ77" s="663"/>
      <c r="AK77" s="565"/>
      <c r="AL77" s="565"/>
      <c r="AM77" s="565"/>
      <c r="AN77" s="565"/>
      <c r="AO77" s="565"/>
      <c r="AP77" s="565"/>
      <c r="AQ77" s="565"/>
      <c r="AR77" s="565"/>
      <c r="AS77" s="565"/>
      <c r="AT77" s="565"/>
      <c r="AU77" s="565"/>
      <c r="AV77" s="565"/>
      <c r="AW77" s="565"/>
      <c r="AX77" s="565"/>
      <c r="AY77" s="565"/>
      <c r="AZ77" s="565"/>
      <c r="BA77" s="565"/>
      <c r="BB77" s="565"/>
      <c r="BC77" s="565"/>
      <c r="BD77" s="565"/>
      <c r="BE77" s="565"/>
      <c r="BF77" s="565"/>
      <c r="BG77" s="565"/>
      <c r="BH77" s="565"/>
      <c r="BI77" s="565"/>
      <c r="BJ77" s="565"/>
      <c r="BK77" s="565"/>
      <c r="BL77" s="565"/>
      <c r="BM77" s="565"/>
      <c r="BN77" s="565"/>
      <c r="BO77" s="565"/>
      <c r="BP77" s="565"/>
      <c r="BQ77" s="565"/>
      <c r="BR77" s="565"/>
      <c r="BS77" s="565"/>
      <c r="BT77" s="565"/>
      <c r="BU77" s="565"/>
      <c r="BV77" s="565"/>
      <c r="BW77" s="565"/>
      <c r="BX77" s="565"/>
      <c r="BY77" s="565"/>
      <c r="BZ77" s="565"/>
      <c r="CA77" s="565"/>
      <c r="CB77" s="565"/>
      <c r="CC77" s="565"/>
      <c r="CD77" s="565"/>
      <c r="CE77" s="565"/>
      <c r="CF77" s="565"/>
      <c r="CG77" s="565"/>
      <c r="CH77" s="565"/>
      <c r="CI77" s="565"/>
      <c r="CJ77" s="565"/>
      <c r="CK77" s="565"/>
      <c r="CL77" s="565"/>
      <c r="CM77" s="565"/>
      <c r="CN77" s="565"/>
      <c r="CO77" s="565"/>
      <c r="CP77" s="565"/>
      <c r="CQ77" s="565"/>
      <c r="CR77" s="565"/>
      <c r="CS77" s="565"/>
      <c r="CT77" s="565"/>
      <c r="CU77" s="565"/>
      <c r="CV77" s="565"/>
      <c r="CW77" s="565"/>
      <c r="CX77" s="565"/>
      <c r="CY77" s="565"/>
      <c r="CZ77" s="565"/>
      <c r="DA77" s="565"/>
      <c r="DB77" s="565"/>
      <c r="DC77" s="565"/>
      <c r="DD77" s="565"/>
      <c r="DE77" s="565"/>
      <c r="DF77" s="565"/>
      <c r="DG77" s="565"/>
      <c r="DH77" s="565"/>
      <c r="DI77" s="565"/>
      <c r="DJ77" s="565"/>
      <c r="DK77" s="565"/>
      <c r="DL77" s="565"/>
      <c r="DM77" s="565"/>
      <c r="DN77" s="565"/>
      <c r="DO77" s="565"/>
      <c r="DP77" s="565"/>
      <c r="DQ77" s="565"/>
      <c r="DR77" s="565"/>
      <c r="DS77" s="565"/>
    </row>
    <row r="78" spans="1:123" s="584" customFormat="1" ht="43" thickBot="1">
      <c r="A78" s="578" t="s">
        <v>2</v>
      </c>
      <c r="B78" s="559"/>
      <c r="C78" s="899" t="s">
        <v>1089</v>
      </c>
      <c r="D78" s="650" t="s">
        <v>1090</v>
      </c>
      <c r="E78" s="651"/>
      <c r="F78" s="652"/>
      <c r="G78" s="464" t="s">
        <v>91</v>
      </c>
      <c r="H78" s="653" t="s">
        <v>111</v>
      </c>
      <c r="I78" s="654" t="s">
        <v>947</v>
      </c>
      <c r="J78" s="655" t="s">
        <v>695</v>
      </c>
      <c r="K78" s="936"/>
      <c r="L78" s="1136"/>
      <c r="M78" s="1406"/>
      <c r="N78" s="1406"/>
      <c r="O78" s="1406"/>
      <c r="P78" s="1406"/>
      <c r="Q78" s="1406"/>
      <c r="R78" s="1406"/>
      <c r="S78" s="1406"/>
      <c r="T78" s="1407"/>
      <c r="U78" s="933" t="s">
        <v>11</v>
      </c>
      <c r="V78" s="658"/>
      <c r="W78" s="658"/>
      <c r="X78" s="658"/>
      <c r="Y78" s="658"/>
      <c r="Z78" s="658"/>
      <c r="AA78" s="658"/>
      <c r="AB78" s="658"/>
      <c r="AC78" s="659"/>
      <c r="AD78" s="660"/>
      <c r="AE78" s="660"/>
      <c r="AF78" s="739"/>
      <c r="AG78" s="661"/>
      <c r="AH78" s="811" t="s">
        <v>44</v>
      </c>
      <c r="AI78" s="662"/>
      <c r="AJ78" s="663"/>
      <c r="AK78" s="565"/>
      <c r="AL78" s="565"/>
      <c r="AM78" s="565"/>
      <c r="AN78" s="565"/>
      <c r="AO78" s="565"/>
      <c r="AP78" s="565"/>
      <c r="AQ78" s="565"/>
      <c r="AR78" s="565"/>
      <c r="AS78" s="565"/>
      <c r="AT78" s="565"/>
      <c r="AU78" s="565"/>
      <c r="AV78" s="565"/>
      <c r="AW78" s="565"/>
      <c r="AX78" s="565"/>
      <c r="AY78" s="565"/>
      <c r="AZ78" s="565"/>
      <c r="BA78" s="565"/>
      <c r="BB78" s="565"/>
      <c r="BC78" s="565"/>
      <c r="BD78" s="565"/>
      <c r="BE78" s="565"/>
      <c r="BF78" s="565"/>
      <c r="BG78" s="565"/>
      <c r="BH78" s="565"/>
      <c r="BI78" s="565"/>
      <c r="BJ78" s="565"/>
      <c r="BK78" s="565"/>
      <c r="BL78" s="565"/>
      <c r="BM78" s="565"/>
      <c r="BN78" s="565"/>
      <c r="BO78" s="565"/>
      <c r="BP78" s="565"/>
      <c r="BQ78" s="565"/>
      <c r="BR78" s="565"/>
      <c r="BS78" s="565"/>
      <c r="BT78" s="565"/>
      <c r="BU78" s="565"/>
      <c r="BV78" s="565"/>
      <c r="BW78" s="565"/>
      <c r="BX78" s="565"/>
      <c r="BY78" s="565"/>
      <c r="BZ78" s="565"/>
      <c r="CA78" s="565"/>
      <c r="CB78" s="565"/>
      <c r="CC78" s="565"/>
      <c r="CD78" s="565"/>
      <c r="CE78" s="565"/>
      <c r="CF78" s="565"/>
      <c r="CG78" s="565"/>
      <c r="CH78" s="565"/>
      <c r="CI78" s="565"/>
      <c r="CJ78" s="565"/>
      <c r="CK78" s="565"/>
      <c r="CL78" s="565"/>
      <c r="CM78" s="565"/>
      <c r="CN78" s="565"/>
      <c r="CO78" s="565"/>
      <c r="CP78" s="565"/>
      <c r="CQ78" s="565"/>
      <c r="CR78" s="565"/>
      <c r="CS78" s="565"/>
      <c r="CT78" s="565"/>
      <c r="CU78" s="565"/>
      <c r="CV78" s="565"/>
      <c r="CW78" s="565"/>
      <c r="CX78" s="565"/>
      <c r="CY78" s="565"/>
      <c r="CZ78" s="565"/>
      <c r="DA78" s="565"/>
      <c r="DB78" s="565"/>
      <c r="DC78" s="565"/>
      <c r="DD78" s="565"/>
      <c r="DE78" s="565"/>
      <c r="DF78" s="565"/>
      <c r="DG78" s="565"/>
      <c r="DH78" s="565"/>
      <c r="DI78" s="565"/>
      <c r="DJ78" s="565"/>
      <c r="DK78" s="565"/>
      <c r="DL78" s="565"/>
      <c r="DM78" s="565"/>
      <c r="DN78" s="565"/>
      <c r="DO78" s="565"/>
      <c r="DP78" s="565"/>
      <c r="DQ78" s="565"/>
      <c r="DR78" s="565"/>
      <c r="DS78" s="565"/>
    </row>
    <row r="79" spans="1:123" s="53" customFormat="1" ht="39.5" customHeight="1">
      <c r="A79" s="236" t="s">
        <v>2</v>
      </c>
      <c r="B79" s="196"/>
      <c r="C79" s="817" t="s">
        <v>1092</v>
      </c>
      <c r="D79" s="426" t="s">
        <v>1091</v>
      </c>
      <c r="E79" s="1046" t="s">
        <v>1214</v>
      </c>
      <c r="F79" s="1191" t="s">
        <v>1117</v>
      </c>
      <c r="G79" s="831" t="s">
        <v>91</v>
      </c>
      <c r="H79" s="829" t="s">
        <v>111</v>
      </c>
      <c r="I79" s="1465" t="s">
        <v>1100</v>
      </c>
      <c r="J79" s="820" t="s">
        <v>943</v>
      </c>
      <c r="K79" s="809" t="s">
        <v>669</v>
      </c>
      <c r="L79" s="940"/>
      <c r="M79" s="1461" t="s">
        <v>1096</v>
      </c>
      <c r="N79" s="1461"/>
      <c r="O79" s="1461"/>
      <c r="P79" s="1461" t="s">
        <v>1097</v>
      </c>
      <c r="Q79" s="1461"/>
      <c r="R79" s="1461" t="s">
        <v>1098</v>
      </c>
      <c r="S79" s="1577"/>
      <c r="T79" s="497"/>
      <c r="U79" s="1159" t="s">
        <v>11</v>
      </c>
      <c r="V79" s="823"/>
      <c r="W79" s="823"/>
      <c r="X79" s="823"/>
      <c r="Y79" s="831"/>
      <c r="Z79" s="823"/>
      <c r="AA79" s="823"/>
      <c r="AB79" s="823"/>
      <c r="AC79" s="479"/>
      <c r="AD79" s="480"/>
      <c r="AE79" s="480"/>
      <c r="AF79" s="521"/>
      <c r="AG79" s="56"/>
      <c r="AH79" s="1586" t="s">
        <v>779</v>
      </c>
      <c r="AI79" s="56"/>
      <c r="AJ79" s="191"/>
      <c r="AK79" s="52"/>
      <c r="AL79" s="52"/>
    </row>
    <row r="80" spans="1:123" s="53" customFormat="1">
      <c r="A80" s="236"/>
      <c r="B80" s="196"/>
      <c r="C80" s="818"/>
      <c r="D80" s="387"/>
      <c r="E80" s="397"/>
      <c r="F80" s="1192"/>
      <c r="G80" s="832"/>
      <c r="H80" s="830"/>
      <c r="I80" s="1466"/>
      <c r="J80" s="821"/>
      <c r="K80" s="941" t="s">
        <v>1093</v>
      </c>
      <c r="L80" s="942"/>
      <c r="M80" s="1464"/>
      <c r="N80" s="1464"/>
      <c r="O80" s="1464"/>
      <c r="P80" s="1452"/>
      <c r="Q80" s="1452"/>
      <c r="R80" s="1462"/>
      <c r="S80" s="1578"/>
      <c r="T80" s="938"/>
      <c r="U80" s="1160"/>
      <c r="V80" s="824"/>
      <c r="W80" s="824"/>
      <c r="X80" s="824"/>
      <c r="Y80" s="832"/>
      <c r="Z80" s="824"/>
      <c r="AA80" s="824"/>
      <c r="AB80" s="824"/>
      <c r="AC80" s="481"/>
      <c r="AD80" s="482"/>
      <c r="AE80" s="482"/>
      <c r="AF80" s="522"/>
      <c r="AG80" s="59"/>
      <c r="AH80" s="1587"/>
      <c r="AI80" s="59"/>
      <c r="AJ80" s="213"/>
      <c r="AK80" s="52"/>
      <c r="AL80" s="52"/>
    </row>
    <row r="81" spans="1:123" s="53" customFormat="1" ht="27" customHeight="1">
      <c r="A81" s="236"/>
      <c r="B81" s="196"/>
      <c r="C81" s="818"/>
      <c r="D81" s="387"/>
      <c r="E81" s="397"/>
      <c r="F81" s="1192"/>
      <c r="G81" s="832"/>
      <c r="H81" s="830"/>
      <c r="I81" s="1466"/>
      <c r="J81" s="821"/>
      <c r="K81" s="941" t="s">
        <v>1094</v>
      </c>
      <c r="L81" s="942"/>
      <c r="M81" s="1464"/>
      <c r="N81" s="1464"/>
      <c r="O81" s="1464"/>
      <c r="P81" s="1452"/>
      <c r="Q81" s="1452"/>
      <c r="R81" s="1462"/>
      <c r="S81" s="1578"/>
      <c r="T81" s="938"/>
      <c r="U81" s="1160"/>
      <c r="V81" s="824"/>
      <c r="W81" s="824"/>
      <c r="X81" s="824"/>
      <c r="Y81" s="832"/>
      <c r="Z81" s="824"/>
      <c r="AA81" s="824"/>
      <c r="AB81" s="824"/>
      <c r="AC81" s="481"/>
      <c r="AD81" s="482"/>
      <c r="AE81" s="482"/>
      <c r="AF81" s="522"/>
      <c r="AG81" s="59"/>
      <c r="AH81" s="1587"/>
      <c r="AI81" s="59"/>
      <c r="AJ81" s="213"/>
      <c r="AK81" s="52"/>
      <c r="AL81" s="52"/>
    </row>
    <row r="82" spans="1:123" s="53" customFormat="1">
      <c r="A82" s="236"/>
      <c r="B82" s="196"/>
      <c r="C82" s="818"/>
      <c r="D82" s="387"/>
      <c r="E82" s="397"/>
      <c r="F82" s="1192"/>
      <c r="G82" s="832"/>
      <c r="H82" s="830"/>
      <c r="I82" s="1466"/>
      <c r="J82" s="821"/>
      <c r="K82" s="941" t="s">
        <v>1095</v>
      </c>
      <c r="L82" s="942"/>
      <c r="M82" s="1464"/>
      <c r="N82" s="1464"/>
      <c r="O82" s="1464"/>
      <c r="P82" s="1452"/>
      <c r="Q82" s="1452"/>
      <c r="R82" s="1462"/>
      <c r="S82" s="1578"/>
      <c r="T82" s="938"/>
      <c r="U82" s="1160"/>
      <c r="V82" s="824"/>
      <c r="W82" s="824"/>
      <c r="X82" s="824"/>
      <c r="Y82" s="832"/>
      <c r="Z82" s="824"/>
      <c r="AA82" s="824"/>
      <c r="AB82" s="824"/>
      <c r="AC82" s="481"/>
      <c r="AD82" s="482"/>
      <c r="AE82" s="482"/>
      <c r="AF82" s="522"/>
      <c r="AG82" s="59"/>
      <c r="AH82" s="1587"/>
      <c r="AI82" s="59"/>
      <c r="AJ82" s="213"/>
      <c r="AK82" s="52"/>
      <c r="AL82" s="52"/>
    </row>
    <row r="83" spans="1:123" s="53" customFormat="1">
      <c r="A83" s="236"/>
      <c r="B83" s="196"/>
      <c r="C83" s="818"/>
      <c r="D83" s="387"/>
      <c r="E83" s="397"/>
      <c r="F83" s="1192"/>
      <c r="G83" s="832"/>
      <c r="H83" s="830"/>
      <c r="I83" s="1466"/>
      <c r="J83" s="821"/>
      <c r="K83" s="941" t="s">
        <v>683</v>
      </c>
      <c r="L83" s="942"/>
      <c r="M83" s="1464"/>
      <c r="N83" s="1464"/>
      <c r="O83" s="1464"/>
      <c r="P83" s="1452"/>
      <c r="Q83" s="1452"/>
      <c r="R83" s="1462"/>
      <c r="S83" s="1578"/>
      <c r="T83" s="938"/>
      <c r="U83" s="1160"/>
      <c r="V83" s="824"/>
      <c r="W83" s="824"/>
      <c r="X83" s="824"/>
      <c r="Y83" s="832"/>
      <c r="Z83" s="824"/>
      <c r="AA83" s="824"/>
      <c r="AB83" s="824"/>
      <c r="AC83" s="481"/>
      <c r="AD83" s="482"/>
      <c r="AE83" s="482"/>
      <c r="AF83" s="522"/>
      <c r="AG83" s="59"/>
      <c r="AH83" s="1587"/>
      <c r="AI83" s="59"/>
      <c r="AJ83" s="213"/>
      <c r="AK83" s="52"/>
      <c r="AL83" s="52"/>
    </row>
    <row r="84" spans="1:123" s="53" customFormat="1">
      <c r="A84" s="236"/>
      <c r="B84" s="196"/>
      <c r="C84" s="818"/>
      <c r="D84" s="387"/>
      <c r="E84" s="397"/>
      <c r="F84" s="1192"/>
      <c r="G84" s="832"/>
      <c r="H84" s="830"/>
      <c r="I84" s="836"/>
      <c r="J84" s="821"/>
      <c r="K84" s="941" t="s">
        <v>1099</v>
      </c>
      <c r="L84" s="939"/>
      <c r="M84" s="1500"/>
      <c r="N84" s="1500"/>
      <c r="O84" s="1500"/>
      <c r="P84" s="1460"/>
      <c r="Q84" s="1460"/>
      <c r="R84" s="1463"/>
      <c r="S84" s="1575"/>
      <c r="T84" s="819"/>
      <c r="U84" s="1160"/>
      <c r="V84" s="824"/>
      <c r="W84" s="824"/>
      <c r="X84" s="824"/>
      <c r="Y84" s="832"/>
      <c r="Z84" s="824"/>
      <c r="AA84" s="824"/>
      <c r="AB84" s="824"/>
      <c r="AC84" s="481"/>
      <c r="AD84" s="482"/>
      <c r="AE84" s="482"/>
      <c r="AF84" s="522"/>
      <c r="AG84" s="59"/>
      <c r="AH84" s="1587"/>
      <c r="AI84" s="59"/>
      <c r="AJ84" s="213"/>
      <c r="AK84" s="52"/>
      <c r="AL84" s="52"/>
    </row>
    <row r="85" spans="1:123" s="567" customFormat="1" ht="18" thickBot="1">
      <c r="A85" s="558"/>
      <c r="B85" s="559"/>
      <c r="C85" s="818"/>
      <c r="D85" s="387"/>
      <c r="E85" s="575"/>
      <c r="F85" s="1202"/>
      <c r="G85" s="832"/>
      <c r="H85" s="830"/>
      <c r="I85" s="824"/>
      <c r="J85" s="821"/>
      <c r="K85" s="840" t="s">
        <v>138</v>
      </c>
      <c r="L85" s="841"/>
      <c r="M85" s="1453"/>
      <c r="N85" s="1454"/>
      <c r="O85" s="1454"/>
      <c r="P85" s="1454"/>
      <c r="Q85" s="1454"/>
      <c r="R85" s="1454"/>
      <c r="S85" s="1454"/>
      <c r="T85" s="1454"/>
      <c r="U85" s="1161"/>
      <c r="V85" s="824"/>
      <c r="W85" s="824"/>
      <c r="X85" s="824"/>
      <c r="Y85" s="832"/>
      <c r="Z85" s="824"/>
      <c r="AA85" s="824"/>
      <c r="AB85" s="824"/>
      <c r="AC85" s="481"/>
      <c r="AD85" s="482"/>
      <c r="AE85" s="482"/>
      <c r="AF85" s="888"/>
      <c r="AG85" s="59"/>
      <c r="AH85" s="1588"/>
      <c r="AI85" s="59"/>
      <c r="AJ85" s="213"/>
      <c r="AK85" s="566"/>
      <c r="AL85" s="566"/>
    </row>
    <row r="86" spans="1:123" s="582" customFormat="1" ht="18" thickBot="1">
      <c r="A86" s="578"/>
      <c r="B86" s="579"/>
      <c r="C86" s="958" t="s">
        <v>1105</v>
      </c>
      <c r="D86" s="950"/>
      <c r="E86" s="950"/>
      <c r="F86" s="950"/>
      <c r="G86" s="950"/>
      <c r="H86" s="950"/>
      <c r="I86" s="852"/>
      <c r="J86" s="852"/>
      <c r="K86" s="853"/>
      <c r="L86" s="854"/>
      <c r="M86" s="855"/>
      <c r="N86" s="855"/>
      <c r="O86" s="855"/>
      <c r="P86" s="855"/>
      <c r="Q86" s="855"/>
      <c r="R86" s="855"/>
      <c r="S86" s="852"/>
      <c r="T86" s="855"/>
      <c r="U86" s="855"/>
      <c r="V86" s="852"/>
      <c r="W86" s="852"/>
      <c r="X86" s="852"/>
      <c r="Y86" s="852"/>
      <c r="Z86" s="852"/>
      <c r="AA86" s="852"/>
      <c r="AB86" s="852"/>
      <c r="AC86" s="852"/>
      <c r="AD86" s="852"/>
      <c r="AE86" s="852"/>
      <c r="AF86" s="852"/>
      <c r="AG86" s="852"/>
      <c r="AH86" s="852"/>
      <c r="AI86" s="852"/>
      <c r="AJ86" s="852"/>
      <c r="AK86" s="565"/>
      <c r="AL86" s="565"/>
      <c r="AM86" s="565"/>
      <c r="AN86" s="565"/>
      <c r="AO86" s="565"/>
      <c r="AP86" s="565"/>
      <c r="AQ86" s="565"/>
      <c r="AR86" s="565"/>
      <c r="AS86" s="565"/>
      <c r="AT86" s="565"/>
      <c r="AU86" s="565"/>
      <c r="AV86" s="565"/>
      <c r="AW86" s="565"/>
      <c r="AX86" s="565"/>
      <c r="AY86" s="565"/>
      <c r="AZ86" s="565"/>
      <c r="BA86" s="565"/>
      <c r="BB86" s="565"/>
      <c r="BC86" s="565"/>
      <c r="BD86" s="565"/>
      <c r="BE86" s="565"/>
      <c r="BF86" s="565"/>
      <c r="BG86" s="565"/>
      <c r="BH86" s="565"/>
      <c r="BI86" s="565"/>
      <c r="BJ86" s="565"/>
      <c r="BK86" s="565"/>
      <c r="BL86" s="565"/>
      <c r="BM86" s="565"/>
      <c r="BN86" s="565"/>
      <c r="BO86" s="565"/>
      <c r="BP86" s="565"/>
      <c r="BQ86" s="565"/>
      <c r="BR86" s="565"/>
      <c r="BS86" s="565"/>
      <c r="BT86" s="565"/>
      <c r="BU86" s="565"/>
      <c r="BV86" s="565"/>
      <c r="BW86" s="565"/>
      <c r="BX86" s="565"/>
      <c r="BY86" s="565"/>
      <c r="BZ86" s="565"/>
      <c r="CA86" s="565"/>
      <c r="CB86" s="565"/>
      <c r="CC86" s="565"/>
      <c r="CD86" s="565"/>
      <c r="CE86" s="565"/>
      <c r="CF86" s="565"/>
      <c r="CG86" s="565"/>
      <c r="CH86" s="565"/>
      <c r="CI86" s="565"/>
      <c r="CJ86" s="565"/>
      <c r="CK86" s="565"/>
      <c r="CL86" s="565"/>
      <c r="CM86" s="565"/>
      <c r="CN86" s="565"/>
      <c r="CO86" s="565"/>
      <c r="CP86" s="565"/>
      <c r="CQ86" s="565"/>
      <c r="CR86" s="565"/>
      <c r="CS86" s="565"/>
      <c r="CT86" s="565"/>
      <c r="CU86" s="565"/>
      <c r="CV86" s="565"/>
      <c r="CW86" s="565"/>
      <c r="CX86" s="565"/>
      <c r="CY86" s="565"/>
      <c r="CZ86" s="565"/>
      <c r="DA86" s="565"/>
      <c r="DB86" s="565"/>
      <c r="DC86" s="565"/>
      <c r="DD86" s="565"/>
      <c r="DE86" s="565"/>
      <c r="DF86" s="565"/>
      <c r="DG86" s="565"/>
      <c r="DH86" s="565"/>
      <c r="DI86" s="565"/>
      <c r="DJ86" s="565"/>
      <c r="DK86" s="565"/>
      <c r="DL86" s="565"/>
      <c r="DM86" s="565"/>
      <c r="DN86" s="565"/>
      <c r="DO86" s="565"/>
      <c r="DP86" s="565"/>
      <c r="DQ86" s="565"/>
      <c r="DR86" s="565"/>
      <c r="DS86" s="565"/>
    </row>
    <row r="87" spans="1:123" s="953" customFormat="1" ht="18" thickBot="1">
      <c r="A87" s="951"/>
      <c r="B87" s="952"/>
      <c r="C87" s="959" t="s">
        <v>1108</v>
      </c>
      <c r="D87" s="960"/>
      <c r="E87" s="960"/>
      <c r="F87" s="960"/>
      <c r="G87" s="961"/>
      <c r="H87" s="961"/>
      <c r="I87" s="955" t="s">
        <v>1106</v>
      </c>
      <c r="J87" s="954" t="s">
        <v>1107</v>
      </c>
      <c r="K87" s="956"/>
      <c r="L87" s="957"/>
      <c r="M87" s="1576"/>
      <c r="N87" s="1576"/>
      <c r="O87" s="1576"/>
      <c r="P87" s="1576"/>
      <c r="Q87" s="1576"/>
      <c r="R87" s="1576"/>
      <c r="S87" s="1576"/>
      <c r="T87" s="1576"/>
      <c r="U87" s="980"/>
      <c r="V87" s="981"/>
      <c r="W87" s="980"/>
      <c r="X87" s="980"/>
      <c r="Y87" s="980"/>
      <c r="Z87" s="980"/>
      <c r="AA87" s="980"/>
      <c r="AB87" s="980"/>
      <c r="AC87" s="980"/>
      <c r="AD87" s="980"/>
      <c r="AE87" s="980"/>
      <c r="AF87" s="980"/>
      <c r="AG87" s="981"/>
      <c r="AH87" s="982"/>
      <c r="AI87" s="982"/>
      <c r="AJ87" s="981"/>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row>
    <row r="88" spans="1:123" s="567" customFormat="1" ht="16.5" customHeight="1">
      <c r="A88" s="558" t="s">
        <v>3</v>
      </c>
      <c r="B88" s="559"/>
      <c r="C88" s="794"/>
      <c r="D88" s="795" t="s">
        <v>1103</v>
      </c>
      <c r="E88" s="1247" t="s">
        <v>1214</v>
      </c>
      <c r="F88" s="1589" t="s">
        <v>1118</v>
      </c>
      <c r="G88" s="797" t="s">
        <v>91</v>
      </c>
      <c r="H88" s="590" t="s">
        <v>254</v>
      </c>
      <c r="I88" s="1566" t="s">
        <v>1109</v>
      </c>
      <c r="J88" s="808" t="s">
        <v>1104</v>
      </c>
      <c r="K88" s="965"/>
      <c r="L88" s="1569" t="s">
        <v>1110</v>
      </c>
      <c r="M88" s="1570" t="s">
        <v>1111</v>
      </c>
      <c r="N88" s="1570"/>
      <c r="O88" s="1570"/>
      <c r="P88" s="1570" t="s">
        <v>1112</v>
      </c>
      <c r="Q88" s="1570"/>
      <c r="R88" s="1570"/>
      <c r="S88" s="1571" t="s">
        <v>1113</v>
      </c>
      <c r="T88" s="1572"/>
      <c r="U88" s="1435" t="s">
        <v>11</v>
      </c>
      <c r="V88" s="798"/>
      <c r="W88" s="798"/>
      <c r="X88" s="798"/>
      <c r="Y88" s="797"/>
      <c r="Z88" s="798"/>
      <c r="AA88" s="798"/>
      <c r="AB88" s="798"/>
      <c r="AC88" s="800"/>
      <c r="AD88" s="801"/>
      <c r="AE88" s="801"/>
      <c r="AF88" s="802"/>
      <c r="AG88" s="803"/>
      <c r="AH88" s="974"/>
      <c r="AI88" s="803"/>
      <c r="AJ88" s="191"/>
      <c r="AK88" s="566"/>
      <c r="AL88" s="566"/>
    </row>
    <row r="89" spans="1:123" s="567" customFormat="1">
      <c r="A89" s="558"/>
      <c r="B89" s="559"/>
      <c r="C89" s="629"/>
      <c r="D89" s="197"/>
      <c r="E89" s="1248"/>
      <c r="F89" s="1341"/>
      <c r="G89" s="232"/>
      <c r="H89" s="592"/>
      <c r="I89" s="1567"/>
      <c r="J89" s="633"/>
      <c r="K89" s="966"/>
      <c r="L89" s="1569"/>
      <c r="M89" s="962" t="s">
        <v>112</v>
      </c>
      <c r="N89" s="928" t="s">
        <v>98</v>
      </c>
      <c r="O89" s="928" t="s">
        <v>99</v>
      </c>
      <c r="P89" s="962" t="s">
        <v>112</v>
      </c>
      <c r="Q89" s="928" t="s">
        <v>98</v>
      </c>
      <c r="R89" s="928" t="s">
        <v>99</v>
      </c>
      <c r="S89" s="1571"/>
      <c r="T89" s="1572"/>
      <c r="U89" s="1436"/>
      <c r="V89" s="822"/>
      <c r="W89" s="822"/>
      <c r="X89" s="822"/>
      <c r="Y89" s="232"/>
      <c r="Z89" s="822"/>
      <c r="AA89" s="822"/>
      <c r="AB89" s="822"/>
      <c r="AC89" s="233"/>
      <c r="AD89" s="234"/>
      <c r="AE89" s="234"/>
      <c r="AF89" s="478"/>
      <c r="AG89" s="235"/>
      <c r="AH89" s="473"/>
      <c r="AI89" s="235"/>
      <c r="AJ89" s="213"/>
      <c r="AK89" s="566"/>
      <c r="AL89" s="566"/>
    </row>
    <row r="90" spans="1:123" s="567" customFormat="1">
      <c r="A90" s="558"/>
      <c r="B90" s="559"/>
      <c r="C90" s="629"/>
      <c r="D90" s="197"/>
      <c r="E90" s="1248"/>
      <c r="F90" s="1341"/>
      <c r="G90" s="232"/>
      <c r="H90" s="592"/>
      <c r="I90" s="1567"/>
      <c r="J90" s="633"/>
      <c r="K90" s="966"/>
      <c r="L90" s="963"/>
      <c r="M90" s="964"/>
      <c r="N90" s="964"/>
      <c r="O90" s="964"/>
      <c r="P90" s="964"/>
      <c r="Q90" s="964"/>
      <c r="R90" s="964"/>
      <c r="S90" s="1573" t="e">
        <f>(P90*100)/M90</f>
        <v>#DIV/0!</v>
      </c>
      <c r="T90" s="1574"/>
      <c r="U90" s="1436"/>
      <c r="V90" s="822"/>
      <c r="W90" s="822"/>
      <c r="X90" s="822"/>
      <c r="Y90" s="232"/>
      <c r="Z90" s="822"/>
      <c r="AA90" s="822"/>
      <c r="AB90" s="822"/>
      <c r="AC90" s="233"/>
      <c r="AD90" s="234"/>
      <c r="AE90" s="234"/>
      <c r="AF90" s="478"/>
      <c r="AG90" s="235"/>
      <c r="AH90" s="473"/>
      <c r="AI90" s="235"/>
      <c r="AJ90" s="213"/>
      <c r="AK90" s="566"/>
      <c r="AL90" s="566"/>
    </row>
    <row r="91" spans="1:123" s="567" customFormat="1" ht="18" thickBot="1">
      <c r="A91" s="558"/>
      <c r="B91" s="559"/>
      <c r="C91" s="671"/>
      <c r="D91" s="778"/>
      <c r="E91" s="1585"/>
      <c r="F91" s="1590"/>
      <c r="G91" s="410"/>
      <c r="H91" s="634"/>
      <c r="I91" s="1568"/>
      <c r="J91" s="729"/>
      <c r="K91" s="856" t="s">
        <v>138</v>
      </c>
      <c r="L91" s="857"/>
      <c r="M91" s="1418"/>
      <c r="N91" s="1419"/>
      <c r="O91" s="1419"/>
      <c r="P91" s="1419"/>
      <c r="Q91" s="1419"/>
      <c r="R91" s="1419"/>
      <c r="S91" s="1419"/>
      <c r="T91" s="1419"/>
      <c r="U91" s="1437"/>
      <c r="V91" s="409"/>
      <c r="W91" s="409"/>
      <c r="X91" s="409"/>
      <c r="Y91" s="410"/>
      <c r="Z91" s="409"/>
      <c r="AA91" s="409"/>
      <c r="AB91" s="409"/>
      <c r="AC91" s="411"/>
      <c r="AD91" s="412"/>
      <c r="AE91" s="412"/>
      <c r="AF91" s="738"/>
      <c r="AG91" s="413"/>
      <c r="AH91" s="474"/>
      <c r="AI91" s="413"/>
      <c r="AJ91" s="422"/>
      <c r="AK91" s="566"/>
      <c r="AL91" s="566"/>
    </row>
    <row r="92" spans="1:123" s="584" customFormat="1" ht="143" thickBot="1">
      <c r="A92" s="578" t="s">
        <v>3</v>
      </c>
      <c r="B92" s="559"/>
      <c r="C92" s="775"/>
      <c r="D92" s="409" t="s">
        <v>1114</v>
      </c>
      <c r="E92" s="1046" t="s">
        <v>1214</v>
      </c>
      <c r="F92" s="409" t="s">
        <v>1119</v>
      </c>
      <c r="G92" s="410" t="s">
        <v>97</v>
      </c>
      <c r="H92" s="634" t="s">
        <v>111</v>
      </c>
      <c r="I92" s="778" t="s">
        <v>1115</v>
      </c>
      <c r="J92" s="729" t="s">
        <v>695</v>
      </c>
      <c r="K92" s="776"/>
      <c r="L92" s="675"/>
      <c r="M92" s="1450"/>
      <c r="N92" s="1450"/>
      <c r="O92" s="1450"/>
      <c r="P92" s="1450"/>
      <c r="Q92" s="1450"/>
      <c r="R92" s="1450"/>
      <c r="S92" s="1450"/>
      <c r="T92" s="1451"/>
      <c r="U92" s="814" t="s">
        <v>11</v>
      </c>
      <c r="V92" s="673"/>
      <c r="W92" s="673"/>
      <c r="X92" s="673"/>
      <c r="Y92" s="673"/>
      <c r="Z92" s="673"/>
      <c r="AA92" s="673"/>
      <c r="AB92" s="673"/>
      <c r="AC92" s="696"/>
      <c r="AD92" s="697"/>
      <c r="AE92" s="697"/>
      <c r="AF92" s="777"/>
      <c r="AG92" s="698"/>
      <c r="AH92" s="749"/>
      <c r="AI92" s="700"/>
      <c r="AJ92" s="701"/>
      <c r="AK92" s="565"/>
      <c r="AL92" s="565"/>
      <c r="AM92" s="565"/>
      <c r="AN92" s="565"/>
      <c r="AO92" s="565"/>
      <c r="AP92" s="565"/>
      <c r="AQ92" s="565"/>
      <c r="AR92" s="565"/>
      <c r="AS92" s="565"/>
      <c r="AT92" s="565"/>
      <c r="AU92" s="565"/>
      <c r="AV92" s="565"/>
      <c r="AW92" s="565"/>
      <c r="AX92" s="565"/>
      <c r="AY92" s="565"/>
      <c r="AZ92" s="565"/>
      <c r="BA92" s="565"/>
      <c r="BB92" s="565"/>
      <c r="BC92" s="565"/>
      <c r="BD92" s="565"/>
      <c r="BE92" s="565"/>
      <c r="BF92" s="565"/>
      <c r="BG92" s="565"/>
      <c r="BH92" s="565"/>
      <c r="BI92" s="565"/>
      <c r="BJ92" s="565"/>
      <c r="BK92" s="565"/>
      <c r="BL92" s="565"/>
      <c r="BM92" s="565"/>
      <c r="BN92" s="565"/>
      <c r="BO92" s="565"/>
      <c r="BP92" s="565"/>
      <c r="BQ92" s="565"/>
      <c r="BR92" s="565"/>
      <c r="BS92" s="565"/>
      <c r="BT92" s="565"/>
      <c r="BU92" s="565"/>
      <c r="BV92" s="565"/>
      <c r="BW92" s="565"/>
      <c r="BX92" s="565"/>
      <c r="BY92" s="565"/>
      <c r="BZ92" s="565"/>
      <c r="CA92" s="565"/>
      <c r="CB92" s="565"/>
      <c r="CC92" s="565"/>
      <c r="CD92" s="565"/>
      <c r="CE92" s="565"/>
      <c r="CF92" s="565"/>
      <c r="CG92" s="565"/>
      <c r="CH92" s="565"/>
      <c r="CI92" s="565"/>
      <c r="CJ92" s="565"/>
      <c r="CK92" s="565"/>
      <c r="CL92" s="565"/>
      <c r="CM92" s="565"/>
      <c r="CN92" s="565"/>
      <c r="CO92" s="565"/>
      <c r="CP92" s="565"/>
      <c r="CQ92" s="565"/>
      <c r="CR92" s="565"/>
      <c r="CS92" s="565"/>
      <c r="CT92" s="565"/>
      <c r="CU92" s="565"/>
      <c r="CV92" s="565"/>
      <c r="CW92" s="565"/>
      <c r="CX92" s="565"/>
      <c r="CY92" s="565"/>
      <c r="CZ92" s="565"/>
      <c r="DA92" s="565"/>
      <c r="DB92" s="565"/>
      <c r="DC92" s="565"/>
      <c r="DD92" s="565"/>
      <c r="DE92" s="565"/>
      <c r="DF92" s="565"/>
      <c r="DG92" s="565"/>
      <c r="DH92" s="565"/>
      <c r="DI92" s="565"/>
      <c r="DJ92" s="565"/>
      <c r="DK92" s="565"/>
      <c r="DL92" s="565"/>
      <c r="DM92" s="565"/>
      <c r="DN92" s="565"/>
      <c r="DO92" s="565"/>
      <c r="DP92" s="565"/>
      <c r="DQ92" s="565"/>
      <c r="DR92" s="565"/>
      <c r="DS92" s="565"/>
    </row>
    <row r="93" spans="1:123" ht="36" customHeight="1" thickBot="1">
      <c r="B93" s="86"/>
      <c r="C93" s="89" t="s">
        <v>454</v>
      </c>
      <c r="D93" s="90"/>
      <c r="E93" s="91"/>
      <c r="F93" s="92"/>
      <c r="G93" s="93"/>
      <c r="H93" s="93"/>
      <c r="I93" s="94"/>
      <c r="J93" s="93"/>
      <c r="K93" s="94"/>
      <c r="L93" s="208"/>
      <c r="M93" s="208"/>
      <c r="N93" s="208"/>
      <c r="O93" s="208"/>
      <c r="P93" s="208"/>
      <c r="Q93" s="208"/>
      <c r="R93" s="208"/>
      <c r="S93" s="208"/>
      <c r="T93" s="208"/>
      <c r="U93" s="212"/>
      <c r="V93" s="208"/>
      <c r="W93" s="208"/>
      <c r="X93" s="208"/>
      <c r="Y93" s="208"/>
      <c r="Z93" s="208"/>
      <c r="AA93" s="208"/>
      <c r="AB93" s="208"/>
      <c r="AC93" s="208"/>
      <c r="AD93" s="208"/>
      <c r="AE93" s="208"/>
      <c r="AF93" s="209"/>
      <c r="AG93" s="208"/>
      <c r="AH93" s="212"/>
      <c r="AI93" s="208"/>
      <c r="AJ93" s="213"/>
      <c r="AK93" s="60"/>
      <c r="AL93" s="60"/>
    </row>
    <row r="94" spans="1:123" s="39" customFormat="1" ht="57" thickBot="1">
      <c r="A94" s="136"/>
      <c r="B94" s="87"/>
      <c r="C94" s="62"/>
      <c r="D94" s="63" t="s">
        <v>455</v>
      </c>
      <c r="E94" s="104"/>
      <c r="F94" s="103"/>
      <c r="G94" s="103"/>
      <c r="H94" s="103"/>
      <c r="I94" s="103" t="s">
        <v>462</v>
      </c>
      <c r="J94" s="360"/>
      <c r="K94" s="105"/>
      <c r="L94" s="1290" t="s">
        <v>461</v>
      </c>
      <c r="M94" s="1291"/>
      <c r="N94" s="1291"/>
      <c r="O94" s="1291"/>
      <c r="P94" s="1291"/>
      <c r="Q94" s="1291"/>
      <c r="R94" s="1291"/>
      <c r="S94" s="1291"/>
      <c r="T94" s="1292"/>
      <c r="U94" s="209"/>
      <c r="V94" s="210"/>
      <c r="W94" s="210"/>
      <c r="X94" s="210"/>
      <c r="Y94" s="210"/>
      <c r="Z94" s="210"/>
      <c r="AA94" s="210"/>
      <c r="AB94" s="210"/>
      <c r="AC94" s="210"/>
      <c r="AD94" s="210"/>
      <c r="AE94" s="210"/>
      <c r="AF94" s="209"/>
      <c r="AG94" s="210"/>
      <c r="AH94" s="209"/>
      <c r="AI94" s="210"/>
      <c r="AJ94" s="211"/>
      <c r="AK94" s="64"/>
      <c r="AL94" s="64"/>
    </row>
    <row r="95" spans="1:123" ht="37" customHeight="1" thickBot="1">
      <c r="B95" s="86"/>
      <c r="C95" s="89" t="s">
        <v>101</v>
      </c>
      <c r="D95" s="90"/>
      <c r="E95" s="91"/>
      <c r="F95" s="92"/>
      <c r="G95" s="93"/>
      <c r="H95" s="93"/>
      <c r="I95" s="94"/>
      <c r="J95" s="93"/>
      <c r="K95" s="94"/>
      <c r="L95" s="838"/>
      <c r="M95" s="839"/>
      <c r="N95" s="839"/>
      <c r="O95" s="839"/>
      <c r="P95" s="839"/>
      <c r="Q95" s="839"/>
      <c r="R95" s="839"/>
      <c r="S95" s="839"/>
      <c r="T95" s="839"/>
      <c r="U95" s="212"/>
      <c r="V95" s="208"/>
      <c r="W95" s="208"/>
      <c r="X95" s="208"/>
      <c r="Y95" s="208"/>
      <c r="Z95" s="208"/>
      <c r="AA95" s="208"/>
      <c r="AB95" s="208"/>
      <c r="AC95" s="208"/>
      <c r="AD95" s="208"/>
      <c r="AE95" s="208"/>
      <c r="AF95" s="209"/>
      <c r="AG95" s="208"/>
      <c r="AH95" s="212"/>
      <c r="AI95" s="208"/>
      <c r="AJ95" s="213"/>
      <c r="AK95" s="60"/>
      <c r="AL95" s="60"/>
    </row>
    <row r="96" spans="1:123" s="39" customFormat="1" ht="57" thickBot="1">
      <c r="A96" s="136"/>
      <c r="B96" s="88"/>
      <c r="C96" s="62"/>
      <c r="D96" s="63" t="s">
        <v>456</v>
      </c>
      <c r="E96" s="104"/>
      <c r="F96" s="103"/>
      <c r="G96" s="103"/>
      <c r="H96" s="103"/>
      <c r="I96" s="103" t="s">
        <v>463</v>
      </c>
      <c r="J96" s="360"/>
      <c r="K96" s="105"/>
      <c r="L96" s="1290" t="s">
        <v>460</v>
      </c>
      <c r="M96" s="1291"/>
      <c r="N96" s="1291"/>
      <c r="O96" s="1291"/>
      <c r="P96" s="1291"/>
      <c r="Q96" s="1291"/>
      <c r="R96" s="1291"/>
      <c r="S96" s="1291"/>
      <c r="T96" s="1292"/>
      <c r="U96" s="209"/>
      <c r="V96" s="210"/>
      <c r="W96" s="210"/>
      <c r="X96" s="210"/>
      <c r="Y96" s="210"/>
      <c r="Z96" s="210"/>
      <c r="AA96" s="210"/>
      <c r="AB96" s="210"/>
      <c r="AC96" s="210"/>
      <c r="AD96" s="210"/>
      <c r="AE96" s="210"/>
      <c r="AF96" s="209"/>
      <c r="AG96" s="210"/>
      <c r="AH96" s="209"/>
      <c r="AI96" s="210"/>
      <c r="AJ96" s="211"/>
      <c r="AK96" s="64"/>
      <c r="AL96" s="64"/>
    </row>
    <row r="97" spans="1:123" s="102" customFormat="1" ht="15" customHeight="1">
      <c r="A97" s="142"/>
      <c r="B97" s="85"/>
      <c r="C97" s="80"/>
      <c r="D97" s="81"/>
      <c r="E97" s="79"/>
      <c r="F97" s="79"/>
      <c r="G97" s="79"/>
      <c r="H97" s="79"/>
      <c r="I97" s="79"/>
      <c r="J97" s="361"/>
      <c r="K97" s="79"/>
      <c r="L97" s="214"/>
      <c r="M97" s="215"/>
      <c r="N97" s="216"/>
      <c r="O97" s="216"/>
      <c r="P97" s="214"/>
      <c r="Q97" s="217"/>
      <c r="R97" s="217"/>
      <c r="S97" s="217"/>
      <c r="T97" s="217"/>
      <c r="U97" s="218"/>
      <c r="V97" s="217"/>
      <c r="W97" s="217"/>
      <c r="X97" s="217"/>
      <c r="Y97" s="217"/>
      <c r="Z97" s="217"/>
      <c r="AA97" s="217"/>
      <c r="AB97" s="217"/>
      <c r="AC97" s="217"/>
      <c r="AD97" s="217"/>
      <c r="AE97" s="217"/>
      <c r="AF97" s="518"/>
      <c r="AG97" s="217"/>
      <c r="AH97" s="218"/>
      <c r="AI97" s="217"/>
      <c r="AJ97" s="219"/>
    </row>
    <row r="98" spans="1:123" s="102" customFormat="1" ht="13">
      <c r="A98" s="142"/>
      <c r="B98" s="85"/>
      <c r="C98" s="99"/>
      <c r="D98" s="100"/>
      <c r="E98" s="101"/>
      <c r="F98" s="101"/>
      <c r="G98" s="101"/>
      <c r="H98" s="101"/>
      <c r="I98" s="101"/>
      <c r="J98" s="362"/>
      <c r="K98" s="85"/>
      <c r="L98" s="214"/>
      <c r="M98" s="215"/>
      <c r="N98" s="216"/>
      <c r="O98" s="216"/>
      <c r="P98" s="214"/>
      <c r="Q98" s="217"/>
      <c r="R98" s="217"/>
      <c r="S98" s="217"/>
      <c r="T98" s="217"/>
      <c r="U98" s="218"/>
      <c r="V98" s="217"/>
      <c r="W98" s="217"/>
      <c r="X98" s="217"/>
      <c r="Y98" s="217"/>
      <c r="Z98" s="217"/>
      <c r="AA98" s="217"/>
      <c r="AB98" s="217"/>
      <c r="AC98" s="217"/>
      <c r="AD98" s="217"/>
      <c r="AE98" s="217"/>
      <c r="AF98" s="518"/>
      <c r="AG98" s="217"/>
      <c r="AH98" s="218"/>
      <c r="AI98" s="217"/>
      <c r="AJ98" s="219"/>
    </row>
    <row r="99" spans="1:123" s="102" customFormat="1" ht="13">
      <c r="A99" s="142"/>
      <c r="B99" s="82"/>
      <c r="C99" s="83"/>
      <c r="D99" s="84"/>
      <c r="E99" s="32"/>
      <c r="F99" s="32"/>
      <c r="G99" s="32"/>
      <c r="H99" s="32"/>
      <c r="I99" s="32"/>
      <c r="J99" s="363"/>
      <c r="K99" s="82"/>
      <c r="L99" s="214"/>
      <c r="M99" s="215"/>
      <c r="N99" s="216"/>
      <c r="O99" s="216"/>
      <c r="P99" s="214"/>
      <c r="Q99" s="217"/>
      <c r="R99" s="217"/>
      <c r="S99" s="217"/>
      <c r="T99" s="217"/>
      <c r="U99" s="218"/>
      <c r="V99" s="217"/>
      <c r="W99" s="217"/>
      <c r="X99" s="217"/>
      <c r="Y99" s="217"/>
      <c r="Z99" s="217"/>
      <c r="AA99" s="217"/>
      <c r="AB99" s="217"/>
      <c r="AC99" s="217"/>
      <c r="AD99" s="217"/>
      <c r="AE99" s="217"/>
      <c r="AF99" s="518"/>
      <c r="AG99" s="217"/>
      <c r="AH99" s="218"/>
      <c r="AI99" s="217"/>
      <c r="AJ99" s="219"/>
    </row>
    <row r="100" spans="1:123" s="53" customFormat="1">
      <c r="A100" s="236"/>
      <c r="B100" s="72" t="s">
        <v>457</v>
      </c>
      <c r="C100" s="30"/>
      <c r="D100" s="30"/>
      <c r="E100" s="65"/>
      <c r="F100" s="30"/>
      <c r="G100" s="30"/>
      <c r="H100" s="30"/>
      <c r="I100" s="30"/>
      <c r="J100" s="65"/>
      <c r="K100" s="30"/>
      <c r="L100" s="220"/>
      <c r="M100" s="220"/>
      <c r="N100" s="220"/>
      <c r="O100" s="220"/>
      <c r="P100" s="220"/>
      <c r="Q100" s="220"/>
      <c r="R100" s="220"/>
      <c r="S100" s="220"/>
      <c r="T100" s="220"/>
      <c r="U100" s="221"/>
      <c r="V100" s="220"/>
      <c r="W100" s="220"/>
      <c r="X100" s="220"/>
      <c r="Y100" s="220"/>
      <c r="Z100" s="220"/>
      <c r="AA100" s="220"/>
      <c r="AB100" s="220"/>
      <c r="AC100" s="220"/>
      <c r="AD100" s="220"/>
      <c r="AE100" s="220"/>
      <c r="AF100" s="519"/>
      <c r="AG100" s="220"/>
      <c r="AH100" s="221"/>
      <c r="AI100" s="220"/>
      <c r="AJ100" s="220"/>
      <c r="AK100" s="30"/>
      <c r="AL100" s="30"/>
    </row>
    <row r="101" spans="1:123" s="53" customFormat="1">
      <c r="A101" s="236"/>
      <c r="B101" s="30"/>
      <c r="C101" s="30"/>
      <c r="D101" s="30"/>
      <c r="E101" s="65"/>
      <c r="F101" s="30"/>
      <c r="G101" s="30"/>
      <c r="H101" s="30"/>
      <c r="I101" s="30"/>
      <c r="J101" s="65"/>
      <c r="K101" s="30"/>
      <c r="L101" s="220"/>
      <c r="M101" s="220"/>
      <c r="N101" s="220"/>
      <c r="O101" s="220"/>
      <c r="P101" s="220"/>
      <c r="Q101" s="220"/>
      <c r="R101" s="220"/>
      <c r="S101" s="220"/>
      <c r="T101" s="220"/>
      <c r="U101" s="221"/>
      <c r="V101" s="220"/>
      <c r="W101" s="220"/>
      <c r="X101" s="220"/>
      <c r="Y101" s="220"/>
      <c r="Z101" s="220"/>
      <c r="AA101" s="220"/>
      <c r="AB101" s="220"/>
      <c r="AC101" s="220"/>
      <c r="AD101" s="220"/>
      <c r="AE101" s="220"/>
      <c r="AF101" s="519"/>
      <c r="AG101" s="220"/>
      <c r="AH101" s="221"/>
      <c r="AI101" s="220"/>
      <c r="AJ101" s="220"/>
      <c r="AK101" s="30"/>
      <c r="AL101" s="30"/>
    </row>
    <row r="102" spans="1:123" s="53" customFormat="1">
      <c r="A102" s="236"/>
      <c r="B102" s="128" t="s">
        <v>467</v>
      </c>
      <c r="C102" s="31"/>
      <c r="D102" s="31"/>
      <c r="E102" s="134"/>
      <c r="F102" s="135"/>
      <c r="G102" s="135"/>
      <c r="H102" s="135"/>
      <c r="I102" s="135"/>
      <c r="J102" s="134"/>
      <c r="K102" s="135"/>
      <c r="L102" s="222"/>
      <c r="M102" s="222"/>
      <c r="N102" s="222"/>
      <c r="O102" s="222"/>
      <c r="P102" s="222"/>
      <c r="Q102" s="222"/>
      <c r="R102" s="222"/>
      <c r="S102" s="222"/>
      <c r="T102" s="222"/>
      <c r="U102" s="223"/>
      <c r="V102" s="222"/>
      <c r="W102" s="222"/>
      <c r="X102" s="222"/>
      <c r="Y102" s="222"/>
      <c r="Z102" s="222"/>
      <c r="AA102" s="222"/>
      <c r="AB102" s="222"/>
      <c r="AC102" s="222"/>
      <c r="AD102" s="222"/>
      <c r="AE102" s="222"/>
      <c r="AF102" s="520"/>
      <c r="AG102" s="222"/>
      <c r="AH102" s="223"/>
      <c r="AI102" s="222"/>
      <c r="AJ102" s="224"/>
      <c r="AK102" s="30"/>
      <c r="AL102" s="30"/>
    </row>
    <row r="103" spans="1:123">
      <c r="B103" s="129" t="s">
        <v>0</v>
      </c>
      <c r="C103" s="73" t="s">
        <v>20</v>
      </c>
      <c r="D103" s="74" t="s">
        <v>17</v>
      </c>
      <c r="E103" s="134"/>
      <c r="F103" s="135"/>
      <c r="G103" s="135"/>
      <c r="H103" s="135"/>
      <c r="I103" s="135"/>
      <c r="J103" s="134"/>
      <c r="K103" s="135"/>
      <c r="L103" s="222"/>
      <c r="M103" s="222"/>
      <c r="N103" s="222"/>
      <c r="O103" s="222"/>
      <c r="P103" s="222"/>
      <c r="Q103" s="222"/>
      <c r="R103" s="222"/>
      <c r="S103" s="222"/>
      <c r="T103" s="222"/>
      <c r="U103" s="223"/>
      <c r="V103" s="222"/>
      <c r="W103" s="222"/>
      <c r="X103" s="222"/>
      <c r="Y103" s="222"/>
      <c r="Z103" s="222"/>
      <c r="AA103" s="222"/>
      <c r="AB103" s="222"/>
      <c r="AC103" s="222"/>
      <c r="AD103" s="222"/>
      <c r="AE103" s="222"/>
      <c r="AF103" s="520"/>
      <c r="AG103" s="222"/>
      <c r="AH103" s="223"/>
      <c r="AI103" s="222"/>
      <c r="AJ103" s="224"/>
    </row>
    <row r="104" spans="1:123" s="30" customFormat="1">
      <c r="A104" s="140"/>
      <c r="B104" s="130" t="s">
        <v>18</v>
      </c>
      <c r="C104" s="75"/>
      <c r="D104" s="75"/>
      <c r="E104" s="134"/>
      <c r="F104" s="135"/>
      <c r="G104" s="135"/>
      <c r="H104" s="135"/>
      <c r="I104" s="135"/>
      <c r="J104" s="134"/>
      <c r="K104" s="135"/>
      <c r="L104" s="222"/>
      <c r="M104" s="222"/>
      <c r="N104" s="222"/>
      <c r="O104" s="222"/>
      <c r="P104" s="222"/>
      <c r="Q104" s="222"/>
      <c r="R104" s="222"/>
      <c r="S104" s="222"/>
      <c r="T104" s="222"/>
      <c r="U104" s="223"/>
      <c r="V104" s="222"/>
      <c r="W104" s="222"/>
      <c r="X104" s="222"/>
      <c r="Y104" s="222"/>
      <c r="Z104" s="222"/>
      <c r="AA104" s="222"/>
      <c r="AB104" s="222"/>
      <c r="AC104" s="222"/>
      <c r="AD104" s="222"/>
      <c r="AE104" s="222"/>
      <c r="AF104" s="520"/>
      <c r="AG104" s="222"/>
      <c r="AH104" s="223"/>
      <c r="AI104" s="222"/>
      <c r="AJ104" s="224"/>
      <c r="AM104" s="61"/>
      <c r="AN104" s="61"/>
      <c r="AO104" s="61"/>
      <c r="AP104" s="61"/>
      <c r="AQ104" s="61"/>
      <c r="AR104" s="61"/>
      <c r="AS104" s="61"/>
      <c r="AT104" s="61"/>
      <c r="AU104" s="61"/>
      <c r="AV104" s="61"/>
      <c r="AW104" s="61"/>
      <c r="AX104" s="61"/>
      <c r="AY104" s="61"/>
      <c r="AZ104" s="61"/>
      <c r="BA104" s="61"/>
      <c r="BB104" s="61"/>
      <c r="BC104" s="61"/>
      <c r="BD104" s="61"/>
      <c r="BE104" s="61"/>
      <c r="BF104" s="61"/>
      <c r="BG104" s="61"/>
      <c r="BH104" s="61"/>
      <c r="BI104" s="61"/>
      <c r="BJ104" s="61"/>
      <c r="BK104" s="61"/>
      <c r="BL104" s="61"/>
      <c r="BM104" s="61"/>
      <c r="BN104" s="61"/>
      <c r="BO104" s="61"/>
      <c r="BP104" s="61"/>
      <c r="BQ104" s="61"/>
      <c r="BR104" s="61"/>
      <c r="BS104" s="61"/>
      <c r="BT104" s="61"/>
      <c r="BU104" s="61"/>
      <c r="BV104" s="61"/>
      <c r="BW104" s="61"/>
      <c r="BX104" s="61"/>
      <c r="BY104" s="61"/>
      <c r="BZ104" s="61"/>
      <c r="CA104" s="61"/>
      <c r="CB104" s="61"/>
      <c r="CC104" s="61"/>
      <c r="CD104" s="61"/>
      <c r="CE104" s="61"/>
      <c r="CF104" s="61"/>
      <c r="CG104" s="61"/>
      <c r="CH104" s="61"/>
      <c r="CI104" s="61"/>
      <c r="CJ104" s="61"/>
      <c r="CK104" s="61"/>
      <c r="CL104" s="61"/>
      <c r="CM104" s="61"/>
      <c r="CN104" s="61"/>
      <c r="CO104" s="61"/>
      <c r="CP104" s="61"/>
      <c r="CQ104" s="61"/>
      <c r="CR104" s="61"/>
      <c r="CS104" s="61"/>
      <c r="CT104" s="61"/>
      <c r="CU104" s="61"/>
      <c r="CV104" s="61"/>
      <c r="CW104" s="61"/>
      <c r="CX104" s="61"/>
      <c r="CY104" s="61"/>
      <c r="CZ104" s="61"/>
      <c r="DA104" s="61"/>
      <c r="DB104" s="61"/>
      <c r="DC104" s="61"/>
      <c r="DD104" s="61"/>
      <c r="DE104" s="61"/>
      <c r="DF104" s="61"/>
      <c r="DG104" s="61"/>
      <c r="DH104" s="61"/>
      <c r="DI104" s="61"/>
      <c r="DJ104" s="61"/>
      <c r="DK104" s="61"/>
      <c r="DL104" s="61"/>
      <c r="DM104" s="61"/>
      <c r="DN104" s="61"/>
      <c r="DO104" s="61"/>
      <c r="DP104" s="61"/>
      <c r="DQ104" s="61"/>
      <c r="DR104" s="61"/>
      <c r="DS104" s="61"/>
    </row>
    <row r="105" spans="1:123" s="30" customFormat="1">
      <c r="A105" s="140"/>
      <c r="B105" s="131" t="s">
        <v>10</v>
      </c>
      <c r="C105" s="29">
        <f>COUNTIFS($U$6:$U$92,"Complete",$A$6:$A$92,"SI")</f>
        <v>0</v>
      </c>
      <c r="D105" s="76">
        <f>(100*(COUNTIFS($U$6:$U$92,"Complete",$A$6:$A$92,"SI")))/COUNTIF($A$6:$A$92,"SI")</f>
        <v>0</v>
      </c>
      <c r="E105" s="134"/>
      <c r="F105" s="135"/>
      <c r="G105" s="135"/>
      <c r="H105" s="135"/>
      <c r="I105" s="135"/>
      <c r="J105" s="134"/>
      <c r="K105" s="135"/>
      <c r="L105" s="222"/>
      <c r="M105" s="222"/>
      <c r="N105" s="222"/>
      <c r="O105" s="222"/>
      <c r="P105" s="222"/>
      <c r="Q105" s="222"/>
      <c r="R105" s="222"/>
      <c r="S105" s="222"/>
      <c r="T105" s="222"/>
      <c r="U105" s="223"/>
      <c r="V105" s="222"/>
      <c r="W105" s="222"/>
      <c r="X105" s="222"/>
      <c r="Y105" s="222"/>
      <c r="Z105" s="222"/>
      <c r="AA105" s="222"/>
      <c r="AB105" s="222"/>
      <c r="AC105" s="222"/>
      <c r="AD105" s="222"/>
      <c r="AE105" s="222"/>
      <c r="AF105" s="520"/>
      <c r="AG105" s="222"/>
      <c r="AH105" s="223"/>
      <c r="AI105" s="222"/>
      <c r="AJ105" s="224"/>
      <c r="AM105" s="61"/>
      <c r="AN105" s="61"/>
      <c r="AO105" s="61"/>
      <c r="AP105" s="61"/>
      <c r="AQ105" s="61"/>
      <c r="AR105" s="61"/>
      <c r="AS105" s="61"/>
      <c r="AT105" s="61"/>
      <c r="AU105" s="61"/>
      <c r="AV105" s="61"/>
      <c r="AW105" s="61"/>
      <c r="AX105" s="61"/>
      <c r="AY105" s="61"/>
      <c r="AZ105" s="61"/>
      <c r="BA105" s="61"/>
      <c r="BB105" s="61"/>
      <c r="BC105" s="61"/>
      <c r="BD105" s="61"/>
      <c r="BE105" s="61"/>
      <c r="BF105" s="61"/>
      <c r="BG105" s="61"/>
      <c r="BH105" s="61"/>
      <c r="BI105" s="61"/>
      <c r="BJ105" s="61"/>
      <c r="BK105" s="61"/>
      <c r="BL105" s="61"/>
      <c r="BM105" s="61"/>
      <c r="BN105" s="61"/>
      <c r="BO105" s="61"/>
      <c r="BP105" s="61"/>
      <c r="BQ105" s="61"/>
      <c r="BR105" s="61"/>
      <c r="BS105" s="61"/>
      <c r="BT105" s="61"/>
      <c r="BU105" s="61"/>
      <c r="BV105" s="61"/>
      <c r="BW105" s="61"/>
      <c r="BX105" s="61"/>
      <c r="BY105" s="61"/>
      <c r="BZ105" s="61"/>
      <c r="CA105" s="61"/>
      <c r="CB105" s="61"/>
      <c r="CC105" s="61"/>
      <c r="CD105" s="61"/>
      <c r="CE105" s="61"/>
      <c r="CF105" s="61"/>
      <c r="CG105" s="61"/>
      <c r="CH105" s="61"/>
      <c r="CI105" s="61"/>
      <c r="CJ105" s="61"/>
      <c r="CK105" s="61"/>
      <c r="CL105" s="61"/>
      <c r="CM105" s="61"/>
      <c r="CN105" s="61"/>
      <c r="CO105" s="61"/>
      <c r="CP105" s="61"/>
      <c r="CQ105" s="61"/>
      <c r="CR105" s="61"/>
      <c r="CS105" s="61"/>
      <c r="CT105" s="61"/>
      <c r="CU105" s="61"/>
      <c r="CV105" s="61"/>
      <c r="CW105" s="61"/>
      <c r="CX105" s="61"/>
      <c r="CY105" s="61"/>
      <c r="CZ105" s="61"/>
      <c r="DA105" s="61"/>
      <c r="DB105" s="61"/>
      <c r="DC105" s="61"/>
      <c r="DD105" s="61"/>
      <c r="DE105" s="61"/>
      <c r="DF105" s="61"/>
      <c r="DG105" s="61"/>
      <c r="DH105" s="61"/>
      <c r="DI105" s="61"/>
      <c r="DJ105" s="61"/>
      <c r="DK105" s="61"/>
      <c r="DL105" s="61"/>
      <c r="DM105" s="61"/>
      <c r="DN105" s="61"/>
      <c r="DO105" s="61"/>
      <c r="DP105" s="61"/>
      <c r="DQ105" s="61"/>
      <c r="DR105" s="61"/>
      <c r="DS105" s="61"/>
    </row>
    <row r="106" spans="1:123" s="30" customFormat="1" ht="16">
      <c r="A106" s="140"/>
      <c r="B106" s="131" t="s">
        <v>11</v>
      </c>
      <c r="C106" s="29">
        <f>COUNTIFS($U$6:$U$92,"Incomplete",$A$6:$A$92,"SI")</f>
        <v>15</v>
      </c>
      <c r="D106" s="76">
        <f>(100*(COUNTIFS($U$6:$U$92,"Incomplete",$A$6:$A$92,"SI")))/COUNTIF($A$6:$A$92,"SI")</f>
        <v>100</v>
      </c>
      <c r="E106" s="134"/>
      <c r="F106" s="135"/>
      <c r="G106" s="135"/>
      <c r="H106" s="135"/>
      <c r="I106" s="135"/>
      <c r="J106" s="134"/>
      <c r="K106" s="135"/>
      <c r="L106" s="222"/>
      <c r="M106" s="222"/>
      <c r="N106" s="222"/>
      <c r="O106" s="222"/>
      <c r="P106" s="222"/>
      <c r="Q106" s="222"/>
      <c r="R106" s="222"/>
      <c r="S106" s="222"/>
      <c r="T106" s="222"/>
      <c r="U106" s="223"/>
      <c r="V106" s="222"/>
      <c r="W106" s="222"/>
      <c r="X106" s="222"/>
      <c r="Y106" s="222"/>
      <c r="Z106" s="222"/>
      <c r="AA106" s="222"/>
      <c r="AB106" s="222"/>
      <c r="AC106" s="222"/>
      <c r="AD106" s="222"/>
      <c r="AE106" s="222"/>
      <c r="AF106" s="520"/>
      <c r="AG106" s="222"/>
      <c r="AH106" s="223"/>
      <c r="AI106" s="222"/>
      <c r="AJ106" s="224"/>
    </row>
    <row r="107" spans="1:123" s="30" customFormat="1" ht="16">
      <c r="A107" s="140"/>
      <c r="B107" s="131" t="s">
        <v>6</v>
      </c>
      <c r="C107" s="29">
        <f>COUNTIFS($U$6:$U$92,"Pending",$A$6:$A$92,"SI")</f>
        <v>0</v>
      </c>
      <c r="D107" s="76">
        <f>(100*(COUNTIFS($U$6:$U$92,"Pending",$A$6:$A$92,"SI")))/COUNTIF($A$6:$A$92,"SI")</f>
        <v>0</v>
      </c>
      <c r="E107" s="134"/>
      <c r="F107" s="135"/>
      <c r="G107" s="135"/>
      <c r="H107" s="135"/>
      <c r="I107" s="135"/>
      <c r="J107" s="134"/>
      <c r="K107" s="135"/>
      <c r="L107" s="222"/>
      <c r="M107" s="222"/>
      <c r="N107" s="222"/>
      <c r="O107" s="222"/>
      <c r="P107" s="222"/>
      <c r="Q107" s="222"/>
      <c r="R107" s="222"/>
      <c r="S107" s="222"/>
      <c r="T107" s="222"/>
      <c r="U107" s="223"/>
      <c r="V107" s="222"/>
      <c r="W107" s="222"/>
      <c r="X107" s="222"/>
      <c r="Y107" s="222"/>
      <c r="Z107" s="222"/>
      <c r="AA107" s="222"/>
      <c r="AB107" s="222"/>
      <c r="AC107" s="222"/>
      <c r="AD107" s="222"/>
      <c r="AE107" s="222"/>
      <c r="AF107" s="520"/>
      <c r="AG107" s="222"/>
      <c r="AH107" s="223"/>
      <c r="AI107" s="222"/>
      <c r="AJ107" s="224"/>
    </row>
    <row r="108" spans="1:123" s="30" customFormat="1" ht="16">
      <c r="A108" s="140"/>
      <c r="B108" s="131" t="s">
        <v>12</v>
      </c>
      <c r="C108" s="29">
        <f>COUNTIFS($U$6:$U$92,"Not available",$A$6:$A$92,"SI")</f>
        <v>0</v>
      </c>
      <c r="D108" s="76">
        <f>(100*(COUNTIFS($U$6:$U$92,"Not available",$A$6:$A$92,"SI")))/COUNTIF($A$6:$A$92,"SI")</f>
        <v>0</v>
      </c>
      <c r="E108" s="134"/>
      <c r="F108" s="135"/>
      <c r="G108" s="135"/>
      <c r="H108" s="135"/>
      <c r="I108" s="135"/>
      <c r="J108" s="134"/>
      <c r="K108" s="135"/>
      <c r="L108" s="222"/>
      <c r="M108" s="222"/>
      <c r="N108" s="222"/>
      <c r="O108" s="222"/>
      <c r="P108" s="222"/>
      <c r="Q108" s="222"/>
      <c r="R108" s="222"/>
      <c r="S108" s="222"/>
      <c r="T108" s="222"/>
      <c r="U108" s="223"/>
      <c r="V108" s="222"/>
      <c r="W108" s="222"/>
      <c r="X108" s="222"/>
      <c r="Y108" s="222"/>
      <c r="Z108" s="222"/>
      <c r="AA108" s="222"/>
      <c r="AB108" s="222"/>
      <c r="AC108" s="222"/>
      <c r="AD108" s="222"/>
      <c r="AE108" s="222"/>
      <c r="AF108" s="520"/>
      <c r="AG108" s="222"/>
      <c r="AH108" s="223"/>
      <c r="AI108" s="222"/>
      <c r="AJ108" s="224"/>
    </row>
    <row r="109" spans="1:123" s="30" customFormat="1" ht="16">
      <c r="A109" s="140"/>
      <c r="B109" s="131" t="s">
        <v>5</v>
      </c>
      <c r="C109" s="29">
        <f>COUNTIFS($U$6:$U$92,"Not applicable",$A$6:$A$92,"SI")</f>
        <v>0</v>
      </c>
      <c r="D109" s="76">
        <f>(100*(COUNTIFS($U$6:$U$92,"Not applicable",$A$6:$A$92,"SI")))/COUNTIF($A$6:$A$92,"SI")</f>
        <v>0</v>
      </c>
      <c r="E109" s="134"/>
      <c r="F109" s="135"/>
      <c r="G109" s="135"/>
      <c r="H109" s="135"/>
      <c r="I109" s="135"/>
      <c r="J109" s="134"/>
      <c r="K109" s="135"/>
      <c r="L109" s="222"/>
      <c r="M109" s="222"/>
      <c r="N109" s="222"/>
      <c r="O109" s="222"/>
      <c r="P109" s="222"/>
      <c r="Q109" s="222"/>
      <c r="R109" s="222"/>
      <c r="S109" s="222"/>
      <c r="T109" s="222"/>
      <c r="U109" s="223"/>
      <c r="V109" s="222"/>
      <c r="W109" s="222"/>
      <c r="X109" s="222"/>
      <c r="Y109" s="222"/>
      <c r="Z109" s="222"/>
      <c r="AA109" s="222"/>
      <c r="AB109" s="222"/>
      <c r="AC109" s="222"/>
      <c r="AD109" s="222"/>
      <c r="AE109" s="222"/>
      <c r="AF109" s="520"/>
      <c r="AG109" s="222"/>
      <c r="AH109" s="223"/>
      <c r="AI109" s="222"/>
      <c r="AJ109" s="224"/>
    </row>
    <row r="110" spans="1:123" s="30" customFormat="1" ht="16">
      <c r="A110" s="140"/>
      <c r="B110" s="131" t="s">
        <v>7</v>
      </c>
      <c r="C110" s="29">
        <f>COUNTIFS($U$6:$U$92,"Alternative",$A$6:$A$92,"SI")</f>
        <v>0</v>
      </c>
      <c r="D110" s="76">
        <f>(100*(COUNTIFS($U$6:$U$92,"Alternative",$A$6:$A$92,"SI")))/COUNTIF($A$6:$A$92,"SI")</f>
        <v>0</v>
      </c>
      <c r="E110" s="134"/>
      <c r="F110" s="135"/>
      <c r="G110" s="135"/>
      <c r="H110" s="135"/>
      <c r="I110" s="135"/>
      <c r="J110" s="134"/>
      <c r="K110" s="135"/>
      <c r="L110" s="222"/>
      <c r="M110" s="222"/>
      <c r="N110" s="222"/>
      <c r="O110" s="222"/>
      <c r="P110" s="222"/>
      <c r="Q110" s="222"/>
      <c r="R110" s="222"/>
      <c r="S110" s="222"/>
      <c r="T110" s="222"/>
      <c r="U110" s="223"/>
      <c r="V110" s="222"/>
      <c r="W110" s="222"/>
      <c r="X110" s="222"/>
      <c r="Y110" s="222"/>
      <c r="Z110" s="222"/>
      <c r="AA110" s="222"/>
      <c r="AB110" s="222"/>
      <c r="AC110" s="222"/>
      <c r="AD110" s="222"/>
      <c r="AE110" s="222"/>
      <c r="AF110" s="520"/>
      <c r="AG110" s="222"/>
      <c r="AH110" s="223"/>
      <c r="AI110" s="222"/>
      <c r="AJ110" s="224"/>
    </row>
    <row r="111" spans="1:123" s="30" customFormat="1" ht="16">
      <c r="A111" s="140"/>
      <c r="B111" s="130" t="s">
        <v>19</v>
      </c>
      <c r="C111" s="75"/>
      <c r="D111" s="75"/>
      <c r="E111" s="134"/>
      <c r="F111" s="135"/>
      <c r="G111" s="135"/>
      <c r="H111" s="135"/>
      <c r="I111" s="135"/>
      <c r="J111" s="134"/>
      <c r="K111" s="135"/>
      <c r="L111" s="222"/>
      <c r="M111" s="222"/>
      <c r="N111" s="222"/>
      <c r="O111" s="222"/>
      <c r="P111" s="222"/>
      <c r="Q111" s="222"/>
      <c r="R111" s="222"/>
      <c r="S111" s="222"/>
      <c r="T111" s="222"/>
      <c r="U111" s="223"/>
      <c r="V111" s="222"/>
      <c r="W111" s="222"/>
      <c r="X111" s="222"/>
      <c r="Y111" s="222"/>
      <c r="Z111" s="222"/>
      <c r="AA111" s="222"/>
      <c r="AB111" s="222"/>
      <c r="AC111" s="222"/>
      <c r="AD111" s="222"/>
      <c r="AE111" s="222"/>
      <c r="AF111" s="520"/>
      <c r="AG111" s="222"/>
      <c r="AH111" s="223"/>
      <c r="AI111" s="222"/>
      <c r="AJ111" s="224"/>
    </row>
    <row r="112" spans="1:123" s="30" customFormat="1" ht="16">
      <c r="A112" s="140"/>
      <c r="B112" s="131" t="s">
        <v>10</v>
      </c>
      <c r="C112" s="29">
        <f>COUNTIFS($U$6:$U$92,"Complete",$A$6:$A$92,"RQ")</f>
        <v>0</v>
      </c>
      <c r="D112" s="76">
        <f>(100*(COUNTIFS($U$6:$U$92,"Complete",$A$6:$A$92,"RQ")))/COUNTIF($A$6:$A$92,"RQ")</f>
        <v>0</v>
      </c>
      <c r="E112" s="134"/>
      <c r="F112" s="135"/>
      <c r="G112" s="135"/>
      <c r="H112" s="135"/>
      <c r="I112" s="135"/>
      <c r="J112" s="134"/>
      <c r="K112" s="135"/>
      <c r="L112" s="222"/>
      <c r="M112" s="222"/>
      <c r="N112" s="222"/>
      <c r="O112" s="222"/>
      <c r="P112" s="222"/>
      <c r="Q112" s="222"/>
      <c r="R112" s="222"/>
      <c r="S112" s="222"/>
      <c r="T112" s="222"/>
      <c r="U112" s="223"/>
      <c r="V112" s="222"/>
      <c r="W112" s="222"/>
      <c r="X112" s="222"/>
      <c r="Y112" s="222"/>
      <c r="Z112" s="222"/>
      <c r="AA112" s="222"/>
      <c r="AB112" s="222"/>
      <c r="AC112" s="222"/>
      <c r="AD112" s="222"/>
      <c r="AE112" s="222"/>
      <c r="AF112" s="520"/>
      <c r="AG112" s="222"/>
      <c r="AH112" s="223"/>
      <c r="AI112" s="222"/>
      <c r="AJ112" s="224"/>
    </row>
    <row r="113" spans="1:36" s="30" customFormat="1" ht="16">
      <c r="A113" s="140"/>
      <c r="B113" s="131" t="s">
        <v>11</v>
      </c>
      <c r="C113" s="29">
        <f>COUNTIFS($U$5:$U$92,"Incomplete",$A$5:$A$92,"RQ")</f>
        <v>9</v>
      </c>
      <c r="D113" s="76">
        <f>(100*(COUNTIFS($U$6:$U$92,"Incomplete",$A$6:$A$92,"RQ")))/COUNTIF($A$6:$A$92,"RQ")</f>
        <v>100</v>
      </c>
      <c r="E113" s="134"/>
      <c r="F113" s="135"/>
      <c r="G113" s="135"/>
      <c r="H113" s="135"/>
      <c r="I113" s="135"/>
      <c r="J113" s="134"/>
      <c r="K113" s="135"/>
      <c r="L113" s="222"/>
      <c r="M113" s="222"/>
      <c r="N113" s="222"/>
      <c r="O113" s="222"/>
      <c r="P113" s="222"/>
      <c r="Q113" s="222"/>
      <c r="R113" s="222"/>
      <c r="S113" s="222"/>
      <c r="T113" s="222"/>
      <c r="U113" s="223"/>
      <c r="V113" s="222"/>
      <c r="W113" s="222"/>
      <c r="X113" s="222"/>
      <c r="Y113" s="222"/>
      <c r="Z113" s="222"/>
      <c r="AA113" s="222"/>
      <c r="AB113" s="222"/>
      <c r="AC113" s="222"/>
      <c r="AD113" s="222"/>
      <c r="AE113" s="222"/>
      <c r="AF113" s="520"/>
      <c r="AG113" s="222"/>
      <c r="AH113" s="223"/>
      <c r="AI113" s="222"/>
      <c r="AJ113" s="224"/>
    </row>
    <row r="114" spans="1:36" s="30" customFormat="1" ht="16">
      <c r="A114" s="140"/>
      <c r="B114" s="131" t="s">
        <v>6</v>
      </c>
      <c r="C114" s="29">
        <f>COUNTIFS($U$5:$U$92,"Pending",$A$5:$A$92,"RQ")</f>
        <v>0</v>
      </c>
      <c r="D114" s="76">
        <f>(100*(COUNTIFS($U$6:$U$92,"Pending",$A$6:$A$92,"RQ")))/COUNTIF($A$6:$A$92,"RQ")</f>
        <v>0</v>
      </c>
      <c r="E114" s="134"/>
      <c r="F114" s="135"/>
      <c r="G114" s="135"/>
      <c r="H114" s="135"/>
      <c r="I114" s="135"/>
      <c r="J114" s="134"/>
      <c r="K114" s="135"/>
      <c r="L114" s="222"/>
      <c r="M114" s="222"/>
      <c r="N114" s="222"/>
      <c r="O114" s="222"/>
      <c r="P114" s="222"/>
      <c r="Q114" s="222"/>
      <c r="R114" s="222"/>
      <c r="S114" s="222"/>
      <c r="T114" s="222"/>
      <c r="U114" s="223"/>
      <c r="V114" s="222"/>
      <c r="W114" s="222"/>
      <c r="X114" s="222"/>
      <c r="Y114" s="222"/>
      <c r="Z114" s="222"/>
      <c r="AA114" s="222"/>
      <c r="AB114" s="222"/>
      <c r="AC114" s="222"/>
      <c r="AD114" s="222"/>
      <c r="AE114" s="222"/>
      <c r="AF114" s="520"/>
      <c r="AG114" s="222"/>
      <c r="AH114" s="223"/>
      <c r="AI114" s="222"/>
      <c r="AJ114" s="224"/>
    </row>
    <row r="115" spans="1:36" s="30" customFormat="1" ht="16">
      <c r="A115" s="140"/>
      <c r="B115" s="131" t="s">
        <v>12</v>
      </c>
      <c r="C115" s="29">
        <f>COUNTIFS($U$6:$U$92,"Not available",$A$6:$A$92,"RQ")</f>
        <v>0</v>
      </c>
      <c r="D115" s="76">
        <f>(100*(COUNTIFS($U$6:$U$92,"Not available",$A$6:$A$92,"RQ")))/COUNTIF($A$6:$A$92,"RQ")</f>
        <v>0</v>
      </c>
      <c r="E115" s="134"/>
      <c r="F115" s="135"/>
      <c r="G115" s="135"/>
      <c r="H115" s="135"/>
      <c r="I115" s="135"/>
      <c r="J115" s="134"/>
      <c r="K115" s="135"/>
      <c r="L115" s="222"/>
      <c r="M115" s="222"/>
      <c r="N115" s="222"/>
      <c r="O115" s="222"/>
      <c r="P115" s="222"/>
      <c r="Q115" s="222"/>
      <c r="R115" s="222"/>
      <c r="S115" s="222"/>
      <c r="T115" s="222"/>
      <c r="U115" s="223"/>
      <c r="V115" s="222"/>
      <c r="W115" s="222"/>
      <c r="X115" s="222"/>
      <c r="Y115" s="222"/>
      <c r="Z115" s="222"/>
      <c r="AA115" s="222"/>
      <c r="AB115" s="222"/>
      <c r="AC115" s="222"/>
      <c r="AD115" s="222"/>
      <c r="AE115" s="222"/>
      <c r="AF115" s="520"/>
      <c r="AG115" s="222"/>
      <c r="AH115" s="223"/>
      <c r="AI115" s="222"/>
      <c r="AJ115" s="224"/>
    </row>
    <row r="116" spans="1:36" s="30" customFormat="1" ht="16">
      <c r="A116" s="140"/>
      <c r="B116" s="131" t="s">
        <v>5</v>
      </c>
      <c r="C116" s="29">
        <f>COUNTIFS($D$6:$D$92,"Not applicable",$A$6:$A$92,"RQ")</f>
        <v>0</v>
      </c>
      <c r="D116" s="76">
        <f>(100*(COUNTIFS($U$6:$U$92,"Not applicable",$A$6:$A$92,"RQ")))/COUNTIF($A$6:$A$92,"RQ")</f>
        <v>0</v>
      </c>
      <c r="E116" s="134"/>
      <c r="F116" s="135"/>
      <c r="G116" s="135"/>
      <c r="H116" s="135"/>
      <c r="I116" s="135"/>
      <c r="J116" s="134"/>
      <c r="K116" s="135"/>
      <c r="L116" s="222"/>
      <c r="M116" s="222"/>
      <c r="N116" s="222"/>
      <c r="O116" s="222"/>
      <c r="P116" s="222"/>
      <c r="Q116" s="222"/>
      <c r="R116" s="222"/>
      <c r="S116" s="222"/>
      <c r="T116" s="222"/>
      <c r="U116" s="223"/>
      <c r="V116" s="222"/>
      <c r="W116" s="222"/>
      <c r="X116" s="222"/>
      <c r="Y116" s="222"/>
      <c r="Z116" s="222"/>
      <c r="AA116" s="222"/>
      <c r="AB116" s="222"/>
      <c r="AC116" s="222"/>
      <c r="AD116" s="222"/>
      <c r="AE116" s="222"/>
      <c r="AF116" s="520"/>
      <c r="AG116" s="222"/>
      <c r="AH116" s="223"/>
      <c r="AI116" s="222"/>
      <c r="AJ116" s="224"/>
    </row>
    <row r="117" spans="1:36" s="30" customFormat="1" ht="16">
      <c r="A117" s="140"/>
      <c r="B117" s="131" t="s">
        <v>7</v>
      </c>
      <c r="C117" s="29">
        <f>COUNTIFS($U$6:$U$92,"Alternative",$A$6:$A$92,"RQ")</f>
        <v>0</v>
      </c>
      <c r="D117" s="76">
        <f>(100*(COUNTIFS($U$6:$U$92,"Alternative",$A$6:$A$92,"RQ")))/COUNTIF($A$6:$A$92,"RQ")</f>
        <v>0</v>
      </c>
      <c r="E117" s="134"/>
      <c r="F117" s="135"/>
      <c r="G117" s="135"/>
      <c r="H117" s="135"/>
      <c r="I117" s="135"/>
      <c r="J117" s="134"/>
      <c r="K117" s="135"/>
      <c r="L117" s="222"/>
      <c r="M117" s="222"/>
      <c r="N117" s="222"/>
      <c r="O117" s="222"/>
      <c r="P117" s="222"/>
      <c r="Q117" s="222"/>
      <c r="R117" s="222"/>
      <c r="S117" s="222"/>
      <c r="T117" s="222"/>
      <c r="U117" s="223"/>
      <c r="V117" s="222"/>
      <c r="W117" s="222"/>
      <c r="X117" s="222"/>
      <c r="Y117" s="222"/>
      <c r="Z117" s="222"/>
      <c r="AA117" s="222"/>
      <c r="AB117" s="222"/>
      <c r="AC117" s="222"/>
      <c r="AD117" s="222"/>
      <c r="AE117" s="222"/>
      <c r="AF117" s="520"/>
      <c r="AG117" s="222"/>
      <c r="AH117" s="223"/>
      <c r="AI117" s="222"/>
      <c r="AJ117" s="224"/>
    </row>
    <row r="118" spans="1:36" s="30" customFormat="1" ht="16">
      <c r="A118" s="140"/>
      <c r="B118" s="130" t="s">
        <v>22</v>
      </c>
      <c r="C118" s="75"/>
      <c r="D118" s="75"/>
      <c r="E118" s="134"/>
      <c r="F118" s="135"/>
      <c r="G118" s="135"/>
      <c r="H118" s="135"/>
      <c r="I118" s="135"/>
      <c r="J118" s="134"/>
      <c r="K118" s="135"/>
      <c r="L118" s="222"/>
      <c r="M118" s="222"/>
      <c r="N118" s="222"/>
      <c r="O118" s="222"/>
      <c r="P118" s="222"/>
      <c r="Q118" s="222"/>
      <c r="R118" s="222"/>
      <c r="S118" s="222"/>
      <c r="T118" s="222"/>
      <c r="U118" s="223"/>
      <c r="V118" s="222"/>
      <c r="W118" s="222"/>
      <c r="X118" s="222"/>
      <c r="Y118" s="222"/>
      <c r="Z118" s="222"/>
      <c r="AA118" s="222"/>
      <c r="AB118" s="222"/>
      <c r="AC118" s="222"/>
      <c r="AD118" s="222"/>
      <c r="AE118" s="222"/>
      <c r="AF118" s="520"/>
      <c r="AG118" s="222"/>
      <c r="AH118" s="223"/>
      <c r="AI118" s="222"/>
      <c r="AJ118" s="224"/>
    </row>
    <row r="119" spans="1:36" s="30" customFormat="1" ht="16">
      <c r="A119" s="140"/>
      <c r="B119" s="131" t="s">
        <v>10</v>
      </c>
      <c r="C119" s="29">
        <f>COUNTIF($U$6:$U$92,"Complete")</f>
        <v>0</v>
      </c>
      <c r="D119" s="76">
        <f>(C119/(COUNTIF($A$6:$A$92,"SI")+COUNTIFS($A$6:$A$92,"RQ"))*100)</f>
        <v>0</v>
      </c>
      <c r="E119" s="134"/>
      <c r="F119" s="135"/>
      <c r="G119" s="135"/>
      <c r="H119" s="135"/>
      <c r="I119" s="135"/>
      <c r="J119" s="134"/>
      <c r="K119" s="135"/>
      <c r="L119" s="222"/>
      <c r="M119" s="222"/>
      <c r="N119" s="222"/>
      <c r="O119" s="222"/>
      <c r="P119" s="222"/>
      <c r="Q119" s="222"/>
      <c r="R119" s="222"/>
      <c r="S119" s="222"/>
      <c r="T119" s="222"/>
      <c r="U119" s="223"/>
      <c r="V119" s="222"/>
      <c r="W119" s="222"/>
      <c r="X119" s="222"/>
      <c r="Y119" s="222"/>
      <c r="Z119" s="222"/>
      <c r="AA119" s="222"/>
      <c r="AB119" s="222"/>
      <c r="AC119" s="222"/>
      <c r="AD119" s="222"/>
      <c r="AE119" s="222"/>
      <c r="AF119" s="520"/>
      <c r="AG119" s="222"/>
      <c r="AH119" s="223"/>
      <c r="AI119" s="222"/>
      <c r="AJ119" s="224"/>
    </row>
    <row r="120" spans="1:36" s="30" customFormat="1" ht="16">
      <c r="A120" s="140"/>
      <c r="B120" s="131" t="s">
        <v>11</v>
      </c>
      <c r="C120" s="29">
        <f>COUNTIF($U$6:$U$92,"Incomplete")</f>
        <v>24</v>
      </c>
      <c r="D120" s="76">
        <f>(C120/(COUNTIF($A$6:$A$92,"SI")+COUNTIFS($A$6:$A$92,"RQ"))*100)</f>
        <v>100</v>
      </c>
      <c r="E120" s="134"/>
      <c r="F120" s="135"/>
      <c r="G120" s="135"/>
      <c r="H120" s="135"/>
      <c r="I120" s="135"/>
      <c r="J120" s="134"/>
      <c r="K120" s="135"/>
      <c r="L120" s="222"/>
      <c r="M120" s="222"/>
      <c r="N120" s="222"/>
      <c r="O120" s="222"/>
      <c r="P120" s="222"/>
      <c r="Q120" s="222"/>
      <c r="R120" s="222"/>
      <c r="S120" s="222"/>
      <c r="T120" s="222"/>
      <c r="U120" s="223"/>
      <c r="V120" s="222"/>
      <c r="W120" s="222"/>
      <c r="X120" s="222"/>
      <c r="Y120" s="222"/>
      <c r="Z120" s="222"/>
      <c r="AA120" s="222"/>
      <c r="AB120" s="222"/>
      <c r="AC120" s="222"/>
      <c r="AD120" s="222"/>
      <c r="AE120" s="222"/>
      <c r="AF120" s="520"/>
      <c r="AG120" s="222"/>
      <c r="AH120" s="223"/>
      <c r="AI120" s="222"/>
      <c r="AJ120" s="224"/>
    </row>
    <row r="121" spans="1:36" s="30" customFormat="1" ht="16">
      <c r="A121" s="140"/>
      <c r="B121" s="131" t="s">
        <v>6</v>
      </c>
      <c r="C121" s="29">
        <f>COUNTIF($D$6:$D$92,"Pending")</f>
        <v>0</v>
      </c>
      <c r="D121" s="76">
        <f>(C121/(COUNTIF($A$6:$A$92,"SI")+COUNTIFS($A$6:$A$92,"RQ"))*100)</f>
        <v>0</v>
      </c>
      <c r="E121" s="134"/>
      <c r="F121" s="135"/>
      <c r="G121" s="135"/>
      <c r="H121" s="135"/>
      <c r="I121" s="135"/>
      <c r="J121" s="134"/>
      <c r="K121" s="135"/>
      <c r="L121" s="222"/>
      <c r="M121" s="222"/>
      <c r="N121" s="222"/>
      <c r="O121" s="222"/>
      <c r="P121" s="222"/>
      <c r="Q121" s="222"/>
      <c r="R121" s="222"/>
      <c r="S121" s="222"/>
      <c r="T121" s="222"/>
      <c r="U121" s="223"/>
      <c r="V121" s="222"/>
      <c r="W121" s="222"/>
      <c r="X121" s="222"/>
      <c r="Y121" s="222"/>
      <c r="Z121" s="222"/>
      <c r="AA121" s="222"/>
      <c r="AB121" s="222"/>
      <c r="AC121" s="222"/>
      <c r="AD121" s="222"/>
      <c r="AE121" s="222"/>
      <c r="AF121" s="520"/>
      <c r="AG121" s="222"/>
      <c r="AH121" s="223"/>
      <c r="AI121" s="222"/>
      <c r="AJ121" s="224"/>
    </row>
    <row r="122" spans="1:36" s="30" customFormat="1" ht="16">
      <c r="A122" s="140"/>
      <c r="B122" s="131" t="s">
        <v>12</v>
      </c>
      <c r="C122" s="29">
        <f>COUNTIF($U$6:$U$92,"Not available")</f>
        <v>0</v>
      </c>
      <c r="D122" s="76">
        <f>(C122/(COUNTIF($A$6:$A$92,"SI")+COUNTIFS($A$6:$A$92,"RQ"))*100)</f>
        <v>0</v>
      </c>
      <c r="E122" s="134"/>
      <c r="F122" s="135"/>
      <c r="G122" s="135"/>
      <c r="H122" s="135"/>
      <c r="I122" s="135"/>
      <c r="J122" s="134"/>
      <c r="K122" s="135"/>
      <c r="L122" s="222"/>
      <c r="M122" s="222"/>
      <c r="N122" s="222"/>
      <c r="O122" s="222"/>
      <c r="P122" s="222"/>
      <c r="Q122" s="222"/>
      <c r="R122" s="222"/>
      <c r="S122" s="222"/>
      <c r="T122" s="222"/>
      <c r="U122" s="223"/>
      <c r="V122" s="222"/>
      <c r="W122" s="222"/>
      <c r="X122" s="222"/>
      <c r="Y122" s="222"/>
      <c r="Z122" s="222"/>
      <c r="AA122" s="222"/>
      <c r="AB122" s="222"/>
      <c r="AC122" s="222"/>
      <c r="AD122" s="222"/>
      <c r="AE122" s="222"/>
      <c r="AF122" s="520"/>
      <c r="AG122" s="222"/>
      <c r="AH122" s="223"/>
      <c r="AI122" s="222"/>
      <c r="AJ122" s="224"/>
    </row>
    <row r="123" spans="1:36" s="30" customFormat="1" ht="16">
      <c r="A123" s="140"/>
      <c r="B123" s="131" t="s">
        <v>5</v>
      </c>
      <c r="C123" s="29">
        <f>COUNTIF($D$6:$D$92,"Not applicable")</f>
        <v>0</v>
      </c>
      <c r="D123" s="76">
        <f>(C123/(COUNTIF($A$6:$A$92,"SI")+COUNTIFS($A$6:$A$92,"RQ"))*100)</f>
        <v>0</v>
      </c>
      <c r="E123" s="134"/>
      <c r="F123" s="135"/>
      <c r="G123" s="135"/>
      <c r="H123" s="135"/>
      <c r="I123" s="135"/>
      <c r="J123" s="134"/>
      <c r="K123" s="135"/>
      <c r="L123" s="222"/>
      <c r="M123" s="222"/>
      <c r="N123" s="222"/>
      <c r="O123" s="222"/>
      <c r="P123" s="222"/>
      <c r="Q123" s="222"/>
      <c r="R123" s="222"/>
      <c r="S123" s="222"/>
      <c r="T123" s="222"/>
      <c r="U123" s="223"/>
      <c r="V123" s="222"/>
      <c r="W123" s="222"/>
      <c r="X123" s="222"/>
      <c r="Y123" s="222"/>
      <c r="Z123" s="222"/>
      <c r="AA123" s="222"/>
      <c r="AB123" s="222"/>
      <c r="AC123" s="222"/>
      <c r="AD123" s="222"/>
      <c r="AE123" s="222"/>
      <c r="AF123" s="520"/>
      <c r="AG123" s="222"/>
      <c r="AH123" s="223"/>
      <c r="AI123" s="222"/>
      <c r="AJ123" s="224"/>
    </row>
    <row r="124" spans="1:36" s="30" customFormat="1" ht="16">
      <c r="A124" s="140"/>
      <c r="B124" s="131" t="s">
        <v>7</v>
      </c>
      <c r="C124" s="29">
        <f>COUNTIF($U$6:$U$92,"Alternative")</f>
        <v>0</v>
      </c>
      <c r="D124" s="76">
        <f>(C124/(COUNTIF($A$6:$A$92,"SI")+COUNTIFS($A$6:$A$92,"RQ"))*100)</f>
        <v>0</v>
      </c>
      <c r="E124" s="134"/>
      <c r="F124" s="135"/>
      <c r="G124" s="135"/>
      <c r="H124" s="135"/>
      <c r="I124" s="135"/>
      <c r="J124" s="134"/>
      <c r="K124" s="135"/>
      <c r="L124" s="222"/>
      <c r="M124" s="222"/>
      <c r="N124" s="222"/>
      <c r="O124" s="222"/>
      <c r="P124" s="222"/>
      <c r="Q124" s="222"/>
      <c r="R124" s="222"/>
      <c r="S124" s="222"/>
      <c r="T124" s="222"/>
      <c r="U124" s="223"/>
      <c r="V124" s="222"/>
      <c r="W124" s="222"/>
      <c r="X124" s="222"/>
      <c r="Y124" s="222"/>
      <c r="Z124" s="222"/>
      <c r="AA124" s="222"/>
      <c r="AB124" s="222"/>
      <c r="AC124" s="222"/>
      <c r="AD124" s="222"/>
      <c r="AE124" s="222"/>
      <c r="AF124" s="520"/>
      <c r="AG124" s="222"/>
      <c r="AH124" s="223"/>
      <c r="AI124" s="222"/>
      <c r="AJ124" s="224"/>
    </row>
    <row r="125" spans="1:36" s="30" customFormat="1" ht="16">
      <c r="A125" s="140"/>
      <c r="B125" s="132"/>
      <c r="C125" s="108"/>
      <c r="D125" s="108"/>
      <c r="E125" s="134"/>
      <c r="F125" s="135"/>
      <c r="G125" s="135"/>
      <c r="H125" s="135"/>
      <c r="I125" s="135"/>
      <c r="J125" s="134"/>
      <c r="K125" s="135"/>
      <c r="L125" s="222"/>
      <c r="M125" s="222"/>
      <c r="N125" s="222"/>
      <c r="O125" s="222"/>
      <c r="P125" s="222"/>
      <c r="Q125" s="222"/>
      <c r="R125" s="222"/>
      <c r="S125" s="222"/>
      <c r="T125" s="222"/>
      <c r="U125" s="223"/>
      <c r="V125" s="222"/>
      <c r="W125" s="222"/>
      <c r="X125" s="222"/>
      <c r="Y125" s="222"/>
      <c r="Z125" s="222"/>
      <c r="AA125" s="222"/>
      <c r="AB125" s="222"/>
      <c r="AC125" s="222"/>
      <c r="AD125" s="222"/>
      <c r="AE125" s="222"/>
      <c r="AF125" s="520"/>
      <c r="AG125" s="222"/>
      <c r="AH125" s="223"/>
      <c r="AI125" s="222"/>
      <c r="AJ125" s="224"/>
    </row>
    <row r="127" spans="1:36" s="30" customFormat="1" ht="16">
      <c r="A127" s="140"/>
      <c r="B127" s="128" t="s">
        <v>40</v>
      </c>
      <c r="C127" s="31"/>
      <c r="D127" s="31"/>
      <c r="E127" s="134"/>
      <c r="F127" s="135"/>
      <c r="G127" s="135"/>
      <c r="H127" s="135"/>
      <c r="I127" s="135"/>
      <c r="J127" s="134"/>
      <c r="K127" s="135"/>
      <c r="L127" s="222"/>
      <c r="M127" s="222"/>
      <c r="N127" s="222"/>
      <c r="O127" s="222"/>
      <c r="P127" s="222"/>
      <c r="Q127" s="222"/>
      <c r="R127" s="222"/>
      <c r="S127" s="222"/>
      <c r="T127" s="222"/>
      <c r="U127" s="223"/>
      <c r="V127" s="222"/>
      <c r="W127" s="222"/>
      <c r="X127" s="222"/>
      <c r="Y127" s="222"/>
      <c r="Z127" s="222"/>
      <c r="AA127" s="222"/>
      <c r="AB127" s="222"/>
      <c r="AC127" s="222"/>
      <c r="AD127" s="222"/>
      <c r="AE127" s="222"/>
      <c r="AF127" s="520"/>
      <c r="AG127" s="222"/>
      <c r="AH127" s="223"/>
      <c r="AI127" s="222"/>
      <c r="AJ127" s="224"/>
    </row>
    <row r="128" spans="1:36" s="30" customFormat="1" ht="16">
      <c r="A128" s="140"/>
      <c r="B128" s="129" t="s">
        <v>0</v>
      </c>
      <c r="C128" s="73" t="s">
        <v>20</v>
      </c>
      <c r="D128" s="74" t="s">
        <v>17</v>
      </c>
      <c r="E128" s="134"/>
      <c r="F128" s="135"/>
      <c r="G128" s="135"/>
      <c r="H128" s="135"/>
      <c r="I128" s="135"/>
      <c r="J128" s="134"/>
      <c r="K128" s="135"/>
      <c r="L128" s="222"/>
      <c r="M128" s="222"/>
      <c r="N128" s="222"/>
      <c r="O128" s="222"/>
      <c r="P128" s="222"/>
      <c r="Q128" s="222"/>
      <c r="R128" s="222"/>
      <c r="S128" s="222"/>
      <c r="T128" s="222"/>
      <c r="U128" s="223"/>
      <c r="V128" s="222"/>
      <c r="W128" s="222"/>
      <c r="X128" s="222"/>
      <c r="Y128" s="222"/>
      <c r="Z128" s="222"/>
      <c r="AA128" s="222"/>
      <c r="AB128" s="222"/>
      <c r="AC128" s="222"/>
      <c r="AD128" s="222"/>
      <c r="AE128" s="222"/>
      <c r="AF128" s="520"/>
      <c r="AG128" s="222"/>
      <c r="AH128" s="223"/>
      <c r="AI128" s="222"/>
      <c r="AJ128" s="224"/>
    </row>
    <row r="129" spans="1:38" s="30" customFormat="1" ht="16">
      <c r="A129" s="140"/>
      <c r="B129" s="130" t="s">
        <v>18</v>
      </c>
      <c r="C129" s="75"/>
      <c r="D129" s="77"/>
      <c r="E129" s="134"/>
      <c r="F129" s="135"/>
      <c r="G129" s="135"/>
      <c r="H129" s="135"/>
      <c r="I129" s="135"/>
      <c r="J129" s="134"/>
      <c r="K129" s="135"/>
      <c r="L129" s="222"/>
      <c r="M129" s="222"/>
      <c r="N129" s="222"/>
      <c r="O129" s="222"/>
      <c r="P129" s="222"/>
      <c r="Q129" s="222"/>
      <c r="R129" s="222"/>
      <c r="S129" s="222"/>
      <c r="T129" s="222"/>
      <c r="U129" s="223"/>
      <c r="V129" s="222"/>
      <c r="W129" s="222"/>
      <c r="X129" s="222"/>
      <c r="Y129" s="222"/>
      <c r="Z129" s="222"/>
      <c r="AA129" s="222"/>
      <c r="AB129" s="222"/>
      <c r="AC129" s="222"/>
      <c r="AD129" s="222"/>
      <c r="AE129" s="222"/>
      <c r="AF129" s="520"/>
      <c r="AG129" s="222"/>
      <c r="AH129" s="223"/>
      <c r="AI129" s="222"/>
      <c r="AJ129" s="224"/>
    </row>
    <row r="130" spans="1:38" s="30" customFormat="1" ht="16">
      <c r="A130" s="140"/>
      <c r="B130" s="133" t="s">
        <v>41</v>
      </c>
      <c r="C130" s="29">
        <f>COUNTIFS($AH$5:$AH$92,"Green",$A$5:$A$92,"SI")</f>
        <v>0</v>
      </c>
      <c r="D130" s="78">
        <f>(100*(COUNTIFS($AH$6:$AH$92,"Green",$A$6:$A$92,"SI")))/COUNTIF($A$6:$A$92,"SI")</f>
        <v>0</v>
      </c>
      <c r="E130" s="134"/>
      <c r="F130" s="135"/>
      <c r="G130" s="135"/>
      <c r="H130" s="135"/>
      <c r="I130" s="135"/>
      <c r="J130" s="134"/>
      <c r="K130" s="135"/>
      <c r="L130" s="222"/>
      <c r="M130" s="222"/>
      <c r="N130" s="222"/>
      <c r="O130" s="222"/>
      <c r="P130" s="222"/>
      <c r="Q130" s="222"/>
      <c r="R130" s="222"/>
      <c r="S130" s="222"/>
      <c r="T130" s="222"/>
      <c r="U130" s="223"/>
      <c r="V130" s="222"/>
      <c r="W130" s="222"/>
      <c r="X130" s="222"/>
      <c r="Y130" s="222"/>
      <c r="Z130" s="222"/>
      <c r="AA130" s="222"/>
      <c r="AB130" s="222"/>
      <c r="AC130" s="222"/>
      <c r="AD130" s="222"/>
      <c r="AE130" s="222"/>
      <c r="AF130" s="520"/>
      <c r="AG130" s="222"/>
      <c r="AH130" s="223"/>
      <c r="AI130" s="222"/>
      <c r="AJ130" s="224"/>
    </row>
    <row r="131" spans="1:38" s="30" customFormat="1" ht="16">
      <c r="A131" s="140"/>
      <c r="B131" s="133" t="s">
        <v>42</v>
      </c>
      <c r="C131" s="29">
        <f>COUNTIFS($AH$5:$AH$92,"Yellow",$A$5:$A$92,"SI")</f>
        <v>0</v>
      </c>
      <c r="D131" s="78">
        <f>(100*(COUNTIFS($AH$6:$AH$92,"Yellow",$A$6:$A$92,"SI")))/COUNTIF($A$6:$A$92,"SI")</f>
        <v>0</v>
      </c>
      <c r="E131" s="134"/>
      <c r="F131" s="135"/>
      <c r="G131" s="135"/>
      <c r="H131" s="135"/>
      <c r="I131" s="135"/>
      <c r="J131" s="134"/>
      <c r="K131" s="135"/>
      <c r="L131" s="222"/>
      <c r="M131" s="222"/>
      <c r="N131" s="222"/>
      <c r="O131" s="222"/>
      <c r="P131" s="222"/>
      <c r="Q131" s="222"/>
      <c r="R131" s="222"/>
      <c r="S131" s="222"/>
      <c r="T131" s="222"/>
      <c r="U131" s="223"/>
      <c r="V131" s="222"/>
      <c r="W131" s="222"/>
      <c r="X131" s="222"/>
      <c r="Y131" s="222"/>
      <c r="Z131" s="222"/>
      <c r="AA131" s="222"/>
      <c r="AB131" s="222"/>
      <c r="AC131" s="222"/>
      <c r="AD131" s="222"/>
      <c r="AE131" s="222"/>
      <c r="AF131" s="520"/>
      <c r="AG131" s="222"/>
      <c r="AH131" s="223"/>
      <c r="AI131" s="222"/>
      <c r="AJ131" s="224"/>
    </row>
    <row r="132" spans="1:38" s="30" customFormat="1" ht="16">
      <c r="A132" s="140"/>
      <c r="B132" s="133" t="s">
        <v>43</v>
      </c>
      <c r="C132" s="29">
        <f>COUNTIFS($AH$5:$AH$92,"Orange",$A$5:$A$92,"SI")</f>
        <v>0</v>
      </c>
      <c r="D132" s="78">
        <f>(100*(COUNTIFS($AH$6:$AH$92,"Orange",$A$6:$A$92,"SI")))/COUNTIF($A$6:$A$92,"SI")</f>
        <v>0</v>
      </c>
      <c r="E132" s="134"/>
      <c r="F132" s="135"/>
      <c r="G132" s="135"/>
      <c r="H132" s="135"/>
      <c r="I132" s="135"/>
      <c r="J132" s="134"/>
      <c r="K132" s="135"/>
      <c r="L132" s="222"/>
      <c r="M132" s="222"/>
      <c r="N132" s="222"/>
      <c r="O132" s="222"/>
      <c r="P132" s="222"/>
      <c r="Q132" s="222"/>
      <c r="R132" s="222"/>
      <c r="S132" s="222"/>
      <c r="T132" s="222"/>
      <c r="U132" s="223"/>
      <c r="V132" s="222"/>
      <c r="W132" s="222"/>
      <c r="X132" s="222"/>
      <c r="Y132" s="222"/>
      <c r="Z132" s="222"/>
      <c r="AA132" s="222"/>
      <c r="AB132" s="222"/>
      <c r="AC132" s="222"/>
      <c r="AD132" s="222"/>
      <c r="AE132" s="222"/>
      <c r="AF132" s="520"/>
      <c r="AG132" s="222"/>
      <c r="AH132" s="223"/>
      <c r="AI132" s="222"/>
      <c r="AJ132" s="224"/>
    </row>
    <row r="133" spans="1:38" s="30" customFormat="1" ht="16">
      <c r="A133" s="140"/>
      <c r="B133" s="133" t="s">
        <v>44</v>
      </c>
      <c r="C133" s="29">
        <f>COUNTIFS($AH$5:$AH$92,"Red",$A$5:$A$92,"SI")</f>
        <v>9</v>
      </c>
      <c r="D133" s="78">
        <f>(100*(COUNTIFS($AH$6:$AH$92,"Red",$A$6:$A$92,"SI")))/COUNTIF($A$6:$A$92,"SI")</f>
        <v>60</v>
      </c>
      <c r="E133" s="134"/>
      <c r="F133" s="135"/>
      <c r="G133" s="135"/>
      <c r="H133" s="135"/>
      <c r="I133" s="135"/>
      <c r="J133" s="134"/>
      <c r="K133" s="135"/>
      <c r="L133" s="222"/>
      <c r="M133" s="222"/>
      <c r="N133" s="222"/>
      <c r="O133" s="222"/>
      <c r="P133" s="222"/>
      <c r="Q133" s="222"/>
      <c r="R133" s="222"/>
      <c r="S133" s="222"/>
      <c r="T133" s="222"/>
      <c r="U133" s="223"/>
      <c r="V133" s="222"/>
      <c r="W133" s="222"/>
      <c r="X133" s="222"/>
      <c r="Y133" s="222"/>
      <c r="Z133" s="222"/>
      <c r="AA133" s="222"/>
      <c r="AB133" s="222"/>
      <c r="AC133" s="222"/>
      <c r="AD133" s="222"/>
      <c r="AE133" s="222"/>
      <c r="AF133" s="520"/>
      <c r="AG133" s="222"/>
      <c r="AH133" s="223"/>
      <c r="AI133" s="222"/>
      <c r="AJ133" s="224"/>
    </row>
    <row r="134" spans="1:38" s="30" customFormat="1" ht="16">
      <c r="A134" s="140"/>
      <c r="B134" s="133" t="s">
        <v>65</v>
      </c>
      <c r="C134" s="29">
        <f>COUNTIFS($AH$5:$AH$92,"Qualitative",$A$5:$A$92,"SI")</f>
        <v>0</v>
      </c>
      <c r="D134" s="78">
        <f>(100*(COUNTIFS($AH$6:$AH$92,"Qualitative",$A$6:$A$92,"SI")))/COUNTIF($A$6:$A$92,"SI")</f>
        <v>0</v>
      </c>
      <c r="E134" s="134"/>
      <c r="F134" s="135"/>
      <c r="G134" s="135"/>
      <c r="H134" s="135"/>
      <c r="I134" s="135"/>
      <c r="J134" s="134"/>
      <c r="K134" s="135"/>
      <c r="L134" s="222"/>
      <c r="M134" s="222"/>
      <c r="N134" s="222"/>
      <c r="O134" s="222"/>
      <c r="P134" s="222"/>
      <c r="Q134" s="222"/>
      <c r="R134" s="222"/>
      <c r="S134" s="222"/>
      <c r="T134" s="222"/>
      <c r="U134" s="223"/>
      <c r="V134" s="222"/>
      <c r="W134" s="222"/>
      <c r="X134" s="222"/>
      <c r="Y134" s="222"/>
      <c r="Z134" s="222"/>
      <c r="AA134" s="222"/>
      <c r="AB134" s="222"/>
      <c r="AC134" s="222"/>
      <c r="AD134" s="222"/>
      <c r="AE134" s="222"/>
      <c r="AF134" s="520"/>
      <c r="AG134" s="222"/>
      <c r="AH134" s="223"/>
      <c r="AI134" s="222"/>
      <c r="AJ134" s="224"/>
    </row>
    <row r="135" spans="1:38" s="30" customFormat="1" ht="16">
      <c r="A135" s="140"/>
      <c r="B135" s="133" t="s">
        <v>45</v>
      </c>
      <c r="C135" s="29">
        <f>COUNTIFS($AH$5:$AH$92,"Not Available",$A$5:$A$92,"SI")</f>
        <v>0</v>
      </c>
      <c r="D135" s="78">
        <f>(100*(COUNTIFS($AH$6:$AH$92,"Not Available",$A$6:$A$92,"SI")))/COUNTIF($A$6:$A$92,"SI")</f>
        <v>0</v>
      </c>
      <c r="E135" s="134"/>
      <c r="F135" s="135"/>
      <c r="G135" s="135"/>
      <c r="H135" s="135"/>
      <c r="I135" s="135"/>
      <c r="J135" s="134"/>
      <c r="K135" s="135"/>
      <c r="L135" s="222"/>
      <c r="M135" s="222"/>
      <c r="N135" s="222"/>
      <c r="O135" s="222"/>
      <c r="P135" s="222"/>
      <c r="Q135" s="222"/>
      <c r="R135" s="222"/>
      <c r="S135" s="222"/>
      <c r="T135" s="222"/>
      <c r="U135" s="223"/>
      <c r="V135" s="222"/>
      <c r="W135" s="222"/>
      <c r="X135" s="222"/>
      <c r="Y135" s="222"/>
      <c r="Z135" s="222"/>
      <c r="AA135" s="222"/>
      <c r="AB135" s="222"/>
      <c r="AC135" s="222"/>
      <c r="AD135" s="222"/>
      <c r="AE135" s="222"/>
      <c r="AF135" s="520"/>
      <c r="AG135" s="222"/>
      <c r="AH135" s="223"/>
      <c r="AI135" s="222"/>
      <c r="AJ135" s="224"/>
    </row>
    <row r="136" spans="1:38" s="30" customFormat="1" ht="16">
      <c r="A136" s="140"/>
      <c r="B136" s="133" t="s">
        <v>46</v>
      </c>
      <c r="C136" s="29">
        <f>COUNTIFS($AH$5:$AH$92,"Not Applicable",$A$5:$A$92,"SI")</f>
        <v>0</v>
      </c>
      <c r="D136" s="78">
        <f>(100*(COUNTIFS($AH$6:$AH$92,"Not Applicable",$A$6:$A$92,"SI")))/COUNTIF($A$6:$A$92,"SI")</f>
        <v>0</v>
      </c>
      <c r="E136" s="134"/>
      <c r="F136" s="135"/>
      <c r="G136" s="135"/>
      <c r="H136" s="135"/>
      <c r="I136" s="135"/>
      <c r="J136" s="134"/>
      <c r="K136" s="135"/>
      <c r="L136" s="222"/>
      <c r="M136" s="222"/>
      <c r="N136" s="222"/>
      <c r="O136" s="222"/>
      <c r="P136" s="222"/>
      <c r="Q136" s="222"/>
      <c r="R136" s="222"/>
      <c r="S136" s="222"/>
      <c r="T136" s="222"/>
      <c r="U136" s="223"/>
      <c r="V136" s="222"/>
      <c r="W136" s="222"/>
      <c r="X136" s="222"/>
      <c r="Y136" s="222"/>
      <c r="Z136" s="222"/>
      <c r="AA136" s="222"/>
      <c r="AB136" s="222"/>
      <c r="AC136" s="222"/>
      <c r="AD136" s="222"/>
      <c r="AE136" s="222"/>
      <c r="AF136" s="520"/>
      <c r="AG136" s="222"/>
      <c r="AH136" s="223"/>
      <c r="AI136" s="222"/>
      <c r="AJ136" s="224"/>
    </row>
    <row r="137" spans="1:38" s="30" customFormat="1" ht="16">
      <c r="A137" s="140"/>
      <c r="B137" s="132"/>
      <c r="C137" s="31"/>
      <c r="D137" s="31"/>
      <c r="E137" s="134"/>
      <c r="F137" s="135"/>
      <c r="G137" s="135"/>
      <c r="H137" s="135"/>
      <c r="I137" s="135"/>
      <c r="J137" s="134"/>
      <c r="K137" s="135"/>
      <c r="L137" s="222"/>
      <c r="M137" s="222"/>
      <c r="N137" s="222"/>
      <c r="O137" s="222"/>
      <c r="P137" s="222"/>
      <c r="Q137" s="222"/>
      <c r="R137" s="222"/>
      <c r="S137" s="222"/>
      <c r="T137" s="222"/>
      <c r="U137" s="223"/>
      <c r="V137" s="222"/>
      <c r="W137" s="222"/>
      <c r="X137" s="222"/>
      <c r="Y137" s="222"/>
      <c r="Z137" s="222"/>
      <c r="AA137" s="222"/>
      <c r="AB137" s="222"/>
      <c r="AC137" s="222"/>
      <c r="AD137" s="222"/>
      <c r="AE137" s="222"/>
      <c r="AF137" s="520"/>
      <c r="AG137" s="222"/>
      <c r="AH137" s="223"/>
      <c r="AI137" s="222"/>
      <c r="AJ137" s="224"/>
    </row>
    <row r="139" spans="1:38" ht="15" customHeight="1">
      <c r="B139" s="85"/>
      <c r="C139" s="80"/>
      <c r="D139" s="81"/>
      <c r="E139" s="79"/>
      <c r="F139" s="79"/>
      <c r="G139" s="79"/>
      <c r="H139" s="79"/>
      <c r="I139" s="79"/>
      <c r="J139" s="361"/>
      <c r="K139" s="79"/>
      <c r="L139" s="214"/>
      <c r="M139" s="215"/>
      <c r="N139" s="216"/>
      <c r="O139" s="216"/>
      <c r="P139" s="214"/>
      <c r="Q139" s="217"/>
      <c r="R139" s="217"/>
      <c r="S139" s="217"/>
      <c r="T139" s="217"/>
      <c r="U139" s="218"/>
      <c r="V139" s="217"/>
      <c r="W139" s="217"/>
      <c r="X139" s="217"/>
      <c r="Y139" s="217"/>
      <c r="Z139" s="217"/>
      <c r="AA139" s="217"/>
      <c r="AB139" s="217"/>
      <c r="AC139" s="217"/>
      <c r="AD139" s="217"/>
      <c r="AE139" s="217"/>
      <c r="AF139" s="518"/>
      <c r="AG139" s="217"/>
      <c r="AH139" s="218"/>
      <c r="AI139" s="217"/>
      <c r="AJ139" s="217"/>
    </row>
    <row r="140" spans="1:38" ht="15" customHeight="1">
      <c r="B140" s="85"/>
      <c r="C140" s="99"/>
      <c r="D140" s="100"/>
      <c r="E140" s="101"/>
      <c r="F140" s="101"/>
      <c r="G140" s="101"/>
      <c r="H140" s="101"/>
      <c r="I140" s="101"/>
      <c r="J140" s="362"/>
      <c r="K140" s="85"/>
      <c r="L140" s="214"/>
      <c r="M140" s="215"/>
      <c r="N140" s="216"/>
      <c r="O140" s="216"/>
      <c r="P140" s="214"/>
      <c r="Q140" s="217"/>
      <c r="R140" s="217"/>
      <c r="S140" s="217"/>
      <c r="T140" s="217"/>
      <c r="U140" s="218"/>
      <c r="V140" s="217"/>
      <c r="W140" s="217"/>
      <c r="X140" s="217"/>
      <c r="Y140" s="217"/>
      <c r="Z140" s="217"/>
      <c r="AA140" s="217"/>
      <c r="AB140" s="217"/>
      <c r="AC140" s="217"/>
      <c r="AD140" s="217"/>
      <c r="AE140" s="217"/>
      <c r="AF140" s="518"/>
      <c r="AG140" s="217"/>
      <c r="AH140" s="218"/>
      <c r="AI140" s="217"/>
      <c r="AJ140" s="217"/>
    </row>
    <row r="141" spans="1:38" ht="15" customHeight="1">
      <c r="B141" s="82"/>
      <c r="C141" s="83"/>
      <c r="D141" s="84"/>
      <c r="E141" s="32"/>
      <c r="F141" s="32"/>
      <c r="G141" s="32"/>
      <c r="H141" s="32"/>
      <c r="I141" s="32"/>
      <c r="J141" s="363"/>
      <c r="K141" s="82"/>
      <c r="L141" s="214"/>
      <c r="M141" s="215"/>
      <c r="N141" s="216"/>
      <c r="O141" s="216"/>
      <c r="P141" s="214"/>
      <c r="Q141" s="217"/>
      <c r="R141" s="217"/>
      <c r="S141" s="217"/>
      <c r="T141" s="217"/>
      <c r="U141" s="218"/>
      <c r="V141" s="217"/>
      <c r="W141" s="217"/>
      <c r="X141" s="217"/>
      <c r="Y141" s="217"/>
      <c r="Z141" s="217"/>
      <c r="AA141" s="217"/>
      <c r="AB141" s="217"/>
      <c r="AC141" s="217"/>
      <c r="AD141" s="217"/>
      <c r="AE141" s="217"/>
      <c r="AF141" s="518"/>
      <c r="AG141" s="217"/>
      <c r="AH141" s="218"/>
      <c r="AI141" s="217"/>
      <c r="AJ141" s="217"/>
    </row>
    <row r="142" spans="1:38" s="53" customFormat="1">
      <c r="A142" s="236"/>
      <c r="B142" s="30"/>
      <c r="C142" s="30"/>
      <c r="D142" s="30"/>
      <c r="E142" s="65"/>
      <c r="F142" s="30"/>
      <c r="G142" s="30"/>
      <c r="H142" s="30"/>
      <c r="I142" s="30"/>
      <c r="J142" s="65"/>
      <c r="K142" s="30"/>
      <c r="L142" s="220"/>
      <c r="M142" s="220"/>
      <c r="N142" s="220"/>
      <c r="O142" s="220"/>
      <c r="P142" s="220"/>
      <c r="Q142" s="220"/>
      <c r="R142" s="220"/>
      <c r="S142" s="220"/>
      <c r="T142" s="220"/>
      <c r="U142" s="221"/>
      <c r="V142" s="220"/>
      <c r="W142" s="220"/>
      <c r="X142" s="220"/>
      <c r="Y142" s="220"/>
      <c r="Z142" s="220"/>
      <c r="AA142" s="220"/>
      <c r="AB142" s="220"/>
      <c r="AC142" s="220"/>
      <c r="AD142" s="220"/>
      <c r="AE142" s="220"/>
      <c r="AF142" s="519"/>
      <c r="AG142" s="220"/>
      <c r="AH142" s="221"/>
      <c r="AI142" s="220"/>
      <c r="AJ142" s="220"/>
      <c r="AK142" s="30"/>
      <c r="AL142" s="30"/>
    </row>
    <row r="1048252" spans="1:38" s="66" customFormat="1" ht="17" customHeight="1">
      <c r="A1048252" s="141"/>
      <c r="B1048252" s="30"/>
      <c r="C1048252" s="30"/>
      <c r="D1048252" s="30"/>
      <c r="E1048252" s="65"/>
      <c r="F1048252" s="30"/>
      <c r="G1048252" s="30"/>
      <c r="H1048252" s="30"/>
      <c r="I1048252" s="30"/>
      <c r="J1048252" s="65"/>
      <c r="K1048252" s="30"/>
      <c r="L1048252" s="220"/>
      <c r="M1048252" s="220"/>
      <c r="N1048252" s="220"/>
      <c r="O1048252" s="220"/>
      <c r="P1048252" s="220"/>
      <c r="Q1048252" s="220"/>
      <c r="R1048252" s="220"/>
      <c r="S1048252" s="220"/>
      <c r="T1048252" s="220"/>
      <c r="U1048252" s="221"/>
      <c r="V1048252" s="220"/>
      <c r="W1048252" s="220"/>
      <c r="X1048252" s="220"/>
      <c r="Y1048252" s="220"/>
      <c r="Z1048252" s="220"/>
      <c r="AA1048252" s="220"/>
      <c r="AB1048252" s="220"/>
      <c r="AC1048252" s="220"/>
      <c r="AD1048252" s="220"/>
      <c r="AE1048252" s="220"/>
      <c r="AF1048252" s="519"/>
      <c r="AG1048252" s="220"/>
      <c r="AH1048252" s="221"/>
      <c r="AI1048252" s="220"/>
      <c r="AJ1048252" s="220"/>
      <c r="AK1048252" s="30"/>
      <c r="AL1048252" s="30"/>
    </row>
  </sheetData>
  <autoFilter ref="A1:AJ96" xr:uid="{00000000-0009-0000-0000-000001000000}"/>
  <mergeCells count="193">
    <mergeCell ref="E88:E91"/>
    <mergeCell ref="AH6:AH10"/>
    <mergeCell ref="AH11:AH14"/>
    <mergeCell ref="AH15:AH18"/>
    <mergeCell ref="AH21:AH30"/>
    <mergeCell ref="AH79:AH85"/>
    <mergeCell ref="AH64:AH67"/>
    <mergeCell ref="U79:U85"/>
    <mergeCell ref="F79:F85"/>
    <mergeCell ref="F88:F91"/>
    <mergeCell ref="U39:U42"/>
    <mergeCell ref="M63:T63"/>
    <mergeCell ref="I64:I75"/>
    <mergeCell ref="I49:I52"/>
    <mergeCell ref="R83:S83"/>
    <mergeCell ref="M79:O79"/>
    <mergeCell ref="M80:O80"/>
    <mergeCell ref="M81:O81"/>
    <mergeCell ref="M82:O82"/>
    <mergeCell ref="M83:O83"/>
    <mergeCell ref="M64:T64"/>
    <mergeCell ref="U64:U67"/>
    <mergeCell ref="L65:L66"/>
    <mergeCell ref="D37:D38"/>
    <mergeCell ref="E21:E30"/>
    <mergeCell ref="E33:E36"/>
    <mergeCell ref="D21:D30"/>
    <mergeCell ref="I21:I30"/>
    <mergeCell ref="F21:F30"/>
    <mergeCell ref="M32:T32"/>
    <mergeCell ref="O28:P28"/>
    <mergeCell ref="Q28:R28"/>
    <mergeCell ref="S28:T28"/>
    <mergeCell ref="O29:P29"/>
    <mergeCell ref="Q29:R29"/>
    <mergeCell ref="S29:T29"/>
    <mergeCell ref="O26:P26"/>
    <mergeCell ref="Q26:R26"/>
    <mergeCell ref="S26:T26"/>
    <mergeCell ref="I79:I83"/>
    <mergeCell ref="P79:Q79"/>
    <mergeCell ref="R79:S79"/>
    <mergeCell ref="P80:Q80"/>
    <mergeCell ref="R80:S80"/>
    <mergeCell ref="P81:Q81"/>
    <mergeCell ref="R81:S81"/>
    <mergeCell ref="P82:Q82"/>
    <mergeCell ref="R82:S82"/>
    <mergeCell ref="P83:Q83"/>
    <mergeCell ref="D39:D40"/>
    <mergeCell ref="M92:T92"/>
    <mergeCell ref="I88:I91"/>
    <mergeCell ref="L88:L89"/>
    <mergeCell ref="M88:O88"/>
    <mergeCell ref="P88:R88"/>
    <mergeCell ref="S88:T89"/>
    <mergeCell ref="S90:T90"/>
    <mergeCell ref="P84:Q84"/>
    <mergeCell ref="R84:S84"/>
    <mergeCell ref="M85:T85"/>
    <mergeCell ref="M84:O84"/>
    <mergeCell ref="M65:N66"/>
    <mergeCell ref="O65:R65"/>
    <mergeCell ref="S65:T65"/>
    <mergeCell ref="M67:N67"/>
    <mergeCell ref="D68:D71"/>
    <mergeCell ref="E64:E67"/>
    <mergeCell ref="M91:T91"/>
    <mergeCell ref="M87:T87"/>
    <mergeCell ref="D72:D75"/>
    <mergeCell ref="M76:T76"/>
    <mergeCell ref="M77:T77"/>
    <mergeCell ref="D53:D56"/>
    <mergeCell ref="U53:U56"/>
    <mergeCell ref="D49:D52"/>
    <mergeCell ref="E49:E52"/>
    <mergeCell ref="C49:C52"/>
    <mergeCell ref="B2:B3"/>
    <mergeCell ref="C2:D3"/>
    <mergeCell ref="E2:K2"/>
    <mergeCell ref="L2:T2"/>
    <mergeCell ref="U2:U3"/>
    <mergeCell ref="V2:AC2"/>
    <mergeCell ref="U57:U60"/>
    <mergeCell ref="D57:D60"/>
    <mergeCell ref="E6:E10"/>
    <mergeCell ref="E11:E14"/>
    <mergeCell ref="E15:E18"/>
    <mergeCell ref="U6:U10"/>
    <mergeCell ref="D6:D10"/>
    <mergeCell ref="F6:F10"/>
    <mergeCell ref="I6:I10"/>
    <mergeCell ref="D11:D14"/>
    <mergeCell ref="F11:F14"/>
    <mergeCell ref="I11:I14"/>
    <mergeCell ref="D15:D18"/>
    <mergeCell ref="F15:F18"/>
    <mergeCell ref="I15:I18"/>
    <mergeCell ref="K25:K27"/>
    <mergeCell ref="K28:K30"/>
    <mergeCell ref="U21:U30"/>
    <mergeCell ref="L94:T94"/>
    <mergeCell ref="Q16:T16"/>
    <mergeCell ref="M17:P17"/>
    <mergeCell ref="Q17:T17"/>
    <mergeCell ref="M18:P18"/>
    <mergeCell ref="Q18:T18"/>
    <mergeCell ref="U11:U14"/>
    <mergeCell ref="U15:U18"/>
    <mergeCell ref="M15:P15"/>
    <mergeCell ref="Q15:T15"/>
    <mergeCell ref="M23:N23"/>
    <mergeCell ref="M24:N24"/>
    <mergeCell ref="M19:T19"/>
    <mergeCell ref="M20:T20"/>
    <mergeCell ref="S25:T25"/>
    <mergeCell ref="O21:P21"/>
    <mergeCell ref="U49:U52"/>
    <mergeCell ref="U88:U91"/>
    <mergeCell ref="U72:U75"/>
    <mergeCell ref="M78:T78"/>
    <mergeCell ref="U68:U71"/>
    <mergeCell ref="O22:P22"/>
    <mergeCell ref="Q22:R22"/>
    <mergeCell ref="M27:N27"/>
    <mergeCell ref="M28:N28"/>
    <mergeCell ref="M29:N29"/>
    <mergeCell ref="M30:N30"/>
    <mergeCell ref="M21:N21"/>
    <mergeCell ref="M22:N22"/>
    <mergeCell ref="M16:P16"/>
    <mergeCell ref="AJ2:AJ3"/>
    <mergeCell ref="M3:T3"/>
    <mergeCell ref="AD2:AD3"/>
    <mergeCell ref="AE2:AE3"/>
    <mergeCell ref="AF2:AF3"/>
    <mergeCell ref="AG2:AG3"/>
    <mergeCell ref="AH2:AH3"/>
    <mergeCell ref="AI2:AI3"/>
    <mergeCell ref="S22:T22"/>
    <mergeCell ref="O23:P23"/>
    <mergeCell ref="Q23:R23"/>
    <mergeCell ref="O30:P30"/>
    <mergeCell ref="Q30:R30"/>
    <mergeCell ref="S30:T30"/>
    <mergeCell ref="S27:T27"/>
    <mergeCell ref="S23:T23"/>
    <mergeCell ref="O24:P24"/>
    <mergeCell ref="Q24:R24"/>
    <mergeCell ref="S24:T24"/>
    <mergeCell ref="O25:P25"/>
    <mergeCell ref="Q25:R25"/>
    <mergeCell ref="L96:T96"/>
    <mergeCell ref="M6:T6"/>
    <mergeCell ref="M7:T7"/>
    <mergeCell ref="M8:T8"/>
    <mergeCell ref="M10:T10"/>
    <mergeCell ref="M11:T11"/>
    <mergeCell ref="M13:T13"/>
    <mergeCell ref="M14:T14"/>
    <mergeCell ref="M52:N52"/>
    <mergeCell ref="M47:T47"/>
    <mergeCell ref="M49:T49"/>
    <mergeCell ref="L50:L51"/>
    <mergeCell ref="M50:N51"/>
    <mergeCell ref="O50:R50"/>
    <mergeCell ref="S50:T50"/>
    <mergeCell ref="M25:N25"/>
    <mergeCell ref="M26:N26"/>
    <mergeCell ref="K22:K24"/>
    <mergeCell ref="Q21:R21"/>
    <mergeCell ref="S21:T21"/>
    <mergeCell ref="D43:D46"/>
    <mergeCell ref="U37:U38"/>
    <mergeCell ref="U43:U46"/>
    <mergeCell ref="H33:H46"/>
    <mergeCell ref="J33:J46"/>
    <mergeCell ref="G33:G46"/>
    <mergeCell ref="F33:F46"/>
    <mergeCell ref="K33:K34"/>
    <mergeCell ref="L33:N33"/>
    <mergeCell ref="I33:I46"/>
    <mergeCell ref="M36:T36"/>
    <mergeCell ref="U33:U36"/>
    <mergeCell ref="S34:T34"/>
    <mergeCell ref="S35:T35"/>
    <mergeCell ref="Q34:R34"/>
    <mergeCell ref="Q35:R35"/>
    <mergeCell ref="O34:P34"/>
    <mergeCell ref="O35:P35"/>
    <mergeCell ref="O33:T33"/>
    <mergeCell ref="O27:P27"/>
    <mergeCell ref="Q27:R27"/>
  </mergeCells>
  <phoneticPr fontId="12" type="noConversion"/>
  <conditionalFormatting sqref="C103">
    <cfRule type="containsText" dxfId="1112" priority="416" operator="containsText" text="Alternative">
      <formula>NOT(ISERROR(SEARCH("Alternative",C103)))</formula>
    </cfRule>
    <cfRule type="containsText" dxfId="1111" priority="418" operator="containsText" text="Not available">
      <formula>NOT(ISERROR(SEARCH("Not available",C103)))</formula>
    </cfRule>
    <cfRule type="containsText" dxfId="1110" priority="419" operator="containsText" text="Incomplete">
      <formula>NOT(ISERROR(SEARCH("Incomplete",C103)))</formula>
    </cfRule>
    <cfRule type="containsText" dxfId="1109" priority="420" operator="containsText" text="Complete">
      <formula>NOT(ISERROR(SEARCH("Complete",C103)))</formula>
    </cfRule>
  </conditionalFormatting>
  <conditionalFormatting sqref="B103:C103 B104">
    <cfRule type="containsText" dxfId="1108" priority="417" operator="containsText" text="Pending">
      <formula>NOT(ISERROR(SEARCH("Pending",B103)))</formula>
    </cfRule>
  </conditionalFormatting>
  <conditionalFormatting sqref="C102">
    <cfRule type="containsText" dxfId="1107" priority="411" operator="containsText" text="Alternative">
      <formula>NOT(ISERROR(SEARCH("Alternative",C102)))</formula>
    </cfRule>
    <cfRule type="containsText" dxfId="1106" priority="413" operator="containsText" text="Not available">
      <formula>NOT(ISERROR(SEARCH("Not available",C102)))</formula>
    </cfRule>
    <cfRule type="containsText" dxfId="1105" priority="414" operator="containsText" text="Incomplete">
      <formula>NOT(ISERROR(SEARCH("Incomplete",C102)))</formula>
    </cfRule>
    <cfRule type="containsText" dxfId="1104" priority="415" operator="containsText" text="Complete">
      <formula>NOT(ISERROR(SEARCH("Complete",C102)))</formula>
    </cfRule>
  </conditionalFormatting>
  <conditionalFormatting sqref="C102">
    <cfRule type="containsText" dxfId="1103" priority="412" operator="containsText" text="Pending">
      <formula>NOT(ISERROR(SEARCH("Pending",C102)))</formula>
    </cfRule>
  </conditionalFormatting>
  <conditionalFormatting sqref="B125">
    <cfRule type="containsText" dxfId="1102" priority="410" operator="containsText" text="Pending">
      <formula>NOT(ISERROR(SEARCH("Pending",B125)))</formula>
    </cfRule>
  </conditionalFormatting>
  <conditionalFormatting sqref="B111">
    <cfRule type="containsText" dxfId="1101" priority="409" operator="containsText" text="Pending">
      <formula>NOT(ISERROR(SEARCH("Pending",B111)))</formula>
    </cfRule>
  </conditionalFormatting>
  <conditionalFormatting sqref="B118">
    <cfRule type="containsText" dxfId="1100" priority="408" operator="containsText" text="Pending">
      <formula>NOT(ISERROR(SEARCH("Pending",B118)))</formula>
    </cfRule>
  </conditionalFormatting>
  <conditionalFormatting sqref="B105:B110">
    <cfRule type="containsText" dxfId="1099" priority="407" operator="containsText" text="Complete">
      <formula>NOT(ISERROR(SEARCH("Complete",B105)))</formula>
    </cfRule>
  </conditionalFormatting>
  <conditionalFormatting sqref="B105:B110">
    <cfRule type="containsText" dxfId="1098" priority="402" operator="containsText" text="Not applicable">
      <formula>NOT(ISERROR(SEARCH("Not applicable",B105)))</formula>
    </cfRule>
    <cfRule type="containsText" dxfId="1097" priority="403" operator="containsText" text="Pending">
      <formula>NOT(ISERROR(SEARCH("Pending",B105)))</formula>
    </cfRule>
    <cfRule type="containsText" dxfId="1096" priority="404" operator="containsText" text="Alternative">
      <formula>NOT(ISERROR(SEARCH("Alternative",B105)))</formula>
    </cfRule>
    <cfRule type="containsText" dxfId="1095" priority="405" operator="containsText" text="Not Available">
      <formula>NOT(ISERROR(SEARCH("Not Available",B105)))</formula>
    </cfRule>
    <cfRule type="containsText" dxfId="1094" priority="406" operator="containsText" text="Incomplete">
      <formula>NOT(ISERROR(SEARCH("Incomplete",B105)))</formula>
    </cfRule>
  </conditionalFormatting>
  <conditionalFormatting sqref="B112:B117">
    <cfRule type="containsText" dxfId="1093" priority="401" operator="containsText" text="Complete">
      <formula>NOT(ISERROR(SEARCH("Complete",B112)))</formula>
    </cfRule>
  </conditionalFormatting>
  <conditionalFormatting sqref="B112:B117">
    <cfRule type="containsText" dxfId="1092" priority="396" operator="containsText" text="Not applicable">
      <formula>NOT(ISERROR(SEARCH("Not applicable",B112)))</formula>
    </cfRule>
    <cfRule type="containsText" dxfId="1091" priority="397" operator="containsText" text="Pending">
      <formula>NOT(ISERROR(SEARCH("Pending",B112)))</formula>
    </cfRule>
    <cfRule type="containsText" dxfId="1090" priority="398" operator="containsText" text="Alternative">
      <formula>NOT(ISERROR(SEARCH("Alternative",B112)))</formula>
    </cfRule>
    <cfRule type="containsText" dxfId="1089" priority="399" operator="containsText" text="Not Available">
      <formula>NOT(ISERROR(SEARCH("Not Available",B112)))</formula>
    </cfRule>
    <cfRule type="containsText" dxfId="1088" priority="400" operator="containsText" text="Incomplete">
      <formula>NOT(ISERROR(SEARCH("Incomplete",B112)))</formula>
    </cfRule>
  </conditionalFormatting>
  <conditionalFormatting sqref="B119:B124">
    <cfRule type="containsText" dxfId="1087" priority="395" operator="containsText" text="Complete">
      <formula>NOT(ISERROR(SEARCH("Complete",B119)))</formula>
    </cfRule>
  </conditionalFormatting>
  <conditionalFormatting sqref="B119:B124">
    <cfRule type="containsText" dxfId="1086" priority="390" operator="containsText" text="Not applicable">
      <formula>NOT(ISERROR(SEARCH("Not applicable",B119)))</formula>
    </cfRule>
    <cfRule type="containsText" dxfId="1085" priority="391" operator="containsText" text="Pending">
      <formula>NOT(ISERROR(SEARCH("Pending",B119)))</formula>
    </cfRule>
    <cfRule type="containsText" dxfId="1084" priority="392" operator="containsText" text="Alternative">
      <formula>NOT(ISERROR(SEARCH("Alternative",B119)))</formula>
    </cfRule>
    <cfRule type="containsText" dxfId="1083" priority="393" operator="containsText" text="Not Available">
      <formula>NOT(ISERROR(SEARCH("Not Available",B119)))</formula>
    </cfRule>
    <cfRule type="containsText" dxfId="1082" priority="394" operator="containsText" text="Incomplete">
      <formula>NOT(ISERROR(SEARCH("Incomplete",B119)))</formula>
    </cfRule>
  </conditionalFormatting>
  <conditionalFormatting sqref="D103">
    <cfRule type="containsText" dxfId="1081" priority="385" operator="containsText" text="Alternative">
      <formula>NOT(ISERROR(SEARCH("Alternative",D103)))</formula>
    </cfRule>
    <cfRule type="containsText" dxfId="1080" priority="387" operator="containsText" text="Not available">
      <formula>NOT(ISERROR(SEARCH("Not available",D103)))</formula>
    </cfRule>
    <cfRule type="containsText" dxfId="1079" priority="388" operator="containsText" text="Incomplete">
      <formula>NOT(ISERROR(SEARCH("Incomplete",D103)))</formula>
    </cfRule>
    <cfRule type="containsText" dxfId="1078" priority="389" operator="containsText" text="Complete">
      <formula>NOT(ISERROR(SEARCH("Complete",D103)))</formula>
    </cfRule>
  </conditionalFormatting>
  <conditionalFormatting sqref="D103">
    <cfRule type="containsText" dxfId="1077" priority="386" operator="containsText" text="Pending">
      <formula>NOT(ISERROR(SEARCH("Pending",D103)))</formula>
    </cfRule>
  </conditionalFormatting>
  <conditionalFormatting sqref="B128">
    <cfRule type="containsText" dxfId="1076" priority="384" operator="containsText" text="Pending">
      <formula>NOT(ISERROR(SEARCH("Pending",B128)))</formula>
    </cfRule>
  </conditionalFormatting>
  <conditionalFormatting sqref="B129">
    <cfRule type="containsText" dxfId="1075" priority="383" operator="containsText" text="Pending">
      <formula>NOT(ISERROR(SEARCH("Pending",B129)))</formula>
    </cfRule>
  </conditionalFormatting>
  <conditionalFormatting sqref="C137">
    <cfRule type="containsText" dxfId="1074" priority="378" operator="containsText" text="Alternative">
      <formula>NOT(ISERROR(SEARCH("Alternative",C137)))</formula>
    </cfRule>
    <cfRule type="containsText" dxfId="1073" priority="380" operator="containsText" text="Not available">
      <formula>NOT(ISERROR(SEARCH("Not available",C137)))</formula>
    </cfRule>
    <cfRule type="containsText" dxfId="1072" priority="381" operator="containsText" text="Incomplete">
      <formula>NOT(ISERROR(SEARCH("Incomplete",C137)))</formula>
    </cfRule>
    <cfRule type="containsText" dxfId="1071" priority="382" operator="containsText" text="Complete">
      <formula>NOT(ISERROR(SEARCH("Complete",C137)))</formula>
    </cfRule>
  </conditionalFormatting>
  <conditionalFormatting sqref="B137:C137">
    <cfRule type="containsText" dxfId="1070" priority="379" operator="containsText" text="Pending">
      <formula>NOT(ISERROR(SEARCH("Pending",B137)))</formula>
    </cfRule>
  </conditionalFormatting>
  <conditionalFormatting sqref="B130">
    <cfRule type="containsText" dxfId="1069" priority="373" operator="containsText" text="No Benchmark">
      <formula>NOT(ISERROR(SEARCH("No Benchmark",B130)))</formula>
    </cfRule>
    <cfRule type="containsText" dxfId="1068" priority="374" operator="containsText" text="Red">
      <formula>NOT(ISERROR(SEARCH("Red",B130)))</formula>
    </cfRule>
    <cfRule type="containsText" dxfId="1067" priority="375" operator="containsText" text="Orange">
      <formula>NOT(ISERROR(SEARCH("Orange",B130)))</formula>
    </cfRule>
    <cfRule type="containsText" dxfId="1066" priority="376" operator="containsText" text="Yellow">
      <formula>NOT(ISERROR(SEARCH("Yellow",B130)))</formula>
    </cfRule>
    <cfRule type="containsText" dxfId="1065" priority="377" operator="containsText" text="Green">
      <formula>NOT(ISERROR(SEARCH("Green",B130)))</formula>
    </cfRule>
  </conditionalFormatting>
  <conditionalFormatting sqref="B131">
    <cfRule type="containsText" dxfId="1064" priority="368" operator="containsText" text="No Benchmark">
      <formula>NOT(ISERROR(SEARCH("No Benchmark",B131)))</formula>
    </cfRule>
    <cfRule type="containsText" dxfId="1063" priority="369" operator="containsText" text="Red">
      <formula>NOT(ISERROR(SEARCH("Red",B131)))</formula>
    </cfRule>
    <cfRule type="containsText" dxfId="1062" priority="370" operator="containsText" text="Orange">
      <formula>NOT(ISERROR(SEARCH("Orange",B131)))</formula>
    </cfRule>
    <cfRule type="containsText" dxfId="1061" priority="371" operator="containsText" text="Yellow">
      <formula>NOT(ISERROR(SEARCH("Yellow",B131)))</formula>
    </cfRule>
    <cfRule type="containsText" dxfId="1060" priority="372" operator="containsText" text="Green">
      <formula>NOT(ISERROR(SEARCH("Green",B131)))</formula>
    </cfRule>
  </conditionalFormatting>
  <conditionalFormatting sqref="B132">
    <cfRule type="containsText" dxfId="1059" priority="363" operator="containsText" text="No Benchmark">
      <formula>NOT(ISERROR(SEARCH("No Benchmark",B132)))</formula>
    </cfRule>
    <cfRule type="containsText" dxfId="1058" priority="364" operator="containsText" text="Red">
      <formula>NOT(ISERROR(SEARCH("Red",B132)))</formula>
    </cfRule>
    <cfRule type="containsText" dxfId="1057" priority="365" operator="containsText" text="Orange">
      <formula>NOT(ISERROR(SEARCH("Orange",B132)))</formula>
    </cfRule>
    <cfRule type="containsText" dxfId="1056" priority="366" operator="containsText" text="Yellow">
      <formula>NOT(ISERROR(SEARCH("Yellow",B132)))</formula>
    </cfRule>
    <cfRule type="containsText" dxfId="1055" priority="367" operator="containsText" text="Green">
      <formula>NOT(ISERROR(SEARCH("Green",B132)))</formula>
    </cfRule>
  </conditionalFormatting>
  <conditionalFormatting sqref="B133">
    <cfRule type="containsText" dxfId="1054" priority="358" operator="containsText" text="No Benchmark">
      <formula>NOT(ISERROR(SEARCH("No Benchmark",B133)))</formula>
    </cfRule>
    <cfRule type="containsText" dxfId="1053" priority="359" operator="containsText" text="Red">
      <formula>NOT(ISERROR(SEARCH("Red",B133)))</formula>
    </cfRule>
    <cfRule type="containsText" dxfId="1052" priority="360" operator="containsText" text="Orange">
      <formula>NOT(ISERROR(SEARCH("Orange",B133)))</formula>
    </cfRule>
    <cfRule type="containsText" dxfId="1051" priority="361" operator="containsText" text="Yellow">
      <formula>NOT(ISERROR(SEARCH("Yellow",B133)))</formula>
    </cfRule>
    <cfRule type="containsText" dxfId="1050" priority="362" operator="containsText" text="Green">
      <formula>NOT(ISERROR(SEARCH("Green",B133)))</formula>
    </cfRule>
  </conditionalFormatting>
  <conditionalFormatting sqref="B134">
    <cfRule type="containsText" dxfId="1049" priority="353" operator="containsText" text="Qualitative">
      <formula>NOT(ISERROR(SEARCH("Qualitative",B134)))</formula>
    </cfRule>
    <cfRule type="containsText" dxfId="1048" priority="354" operator="containsText" text="Red">
      <formula>NOT(ISERROR(SEARCH("Red",B134)))</formula>
    </cfRule>
    <cfRule type="containsText" dxfId="1047" priority="355" operator="containsText" text="Orange">
      <formula>NOT(ISERROR(SEARCH("Orange",B134)))</formula>
    </cfRule>
    <cfRule type="containsText" dxfId="1046" priority="356" operator="containsText" text="Yellow">
      <formula>NOT(ISERROR(SEARCH("Yellow",B134)))</formula>
    </cfRule>
    <cfRule type="containsText" dxfId="1045" priority="357" operator="containsText" text="Green">
      <formula>NOT(ISERROR(SEARCH("Green",B134)))</formula>
    </cfRule>
  </conditionalFormatting>
  <conditionalFormatting sqref="B135">
    <cfRule type="containsText" dxfId="1044" priority="348" operator="containsText" text="No Benchmark">
      <formula>NOT(ISERROR(SEARCH("No Benchmark",B135)))</formula>
    </cfRule>
    <cfRule type="containsText" dxfId="1043" priority="349" operator="containsText" text="Red">
      <formula>NOT(ISERROR(SEARCH("Red",B135)))</formula>
    </cfRule>
    <cfRule type="containsText" dxfId="1042" priority="350" operator="containsText" text="Orange">
      <formula>NOT(ISERROR(SEARCH("Orange",B135)))</formula>
    </cfRule>
    <cfRule type="containsText" dxfId="1041" priority="351" operator="containsText" text="Yellow">
      <formula>NOT(ISERROR(SEARCH("Yellow",B135)))</formula>
    </cfRule>
    <cfRule type="containsText" dxfId="1040" priority="352" operator="containsText" text="Green">
      <formula>NOT(ISERROR(SEARCH("Green",B135)))</formula>
    </cfRule>
  </conditionalFormatting>
  <conditionalFormatting sqref="B136">
    <cfRule type="containsText" dxfId="1039" priority="343" operator="containsText" text="No Benchmark">
      <formula>NOT(ISERROR(SEARCH("No Benchmark",B136)))</formula>
    </cfRule>
    <cfRule type="containsText" dxfId="1038" priority="344" operator="containsText" text="Red">
      <formula>NOT(ISERROR(SEARCH("Red",B136)))</formula>
    </cfRule>
    <cfRule type="containsText" dxfId="1037" priority="345" operator="containsText" text="Orange">
      <formula>NOT(ISERROR(SEARCH("Orange",B136)))</formula>
    </cfRule>
    <cfRule type="containsText" dxfId="1036" priority="346" operator="containsText" text="Yellow">
      <formula>NOT(ISERROR(SEARCH("Yellow",B136)))</formula>
    </cfRule>
    <cfRule type="containsText" dxfId="1035" priority="347" operator="containsText" text="Green">
      <formula>NOT(ISERROR(SEARCH("Green",B136)))</formula>
    </cfRule>
  </conditionalFormatting>
  <conditionalFormatting sqref="U6">
    <cfRule type="containsText" dxfId="1034" priority="317" operator="containsText" text="Complete">
      <formula>NOT(ISERROR(SEARCH("Complete",U6)))</formula>
    </cfRule>
  </conditionalFormatting>
  <conditionalFormatting sqref="U6">
    <cfRule type="containsText" dxfId="1033" priority="312" operator="containsText" text="Not applicable">
      <formula>NOT(ISERROR(SEARCH("Not applicable",U6)))</formula>
    </cfRule>
    <cfRule type="containsText" dxfId="1032" priority="313" operator="containsText" text="Pending">
      <formula>NOT(ISERROR(SEARCH("Pending",U6)))</formula>
    </cfRule>
    <cfRule type="containsText" dxfId="1031" priority="314" operator="containsText" text="Alternative">
      <formula>NOT(ISERROR(SEARCH("Alternative",U6)))</formula>
    </cfRule>
    <cfRule type="containsText" dxfId="1030" priority="315" operator="containsText" text="Not Available">
      <formula>NOT(ISERROR(SEARCH("Not Available",U6)))</formula>
    </cfRule>
    <cfRule type="containsText" dxfId="1029" priority="316" operator="containsText" text="Incomplete">
      <formula>NOT(ISERROR(SEARCH("Incomplete",U6)))</formula>
    </cfRule>
  </conditionalFormatting>
  <conditionalFormatting sqref="U11:U12">
    <cfRule type="containsText" dxfId="1028" priority="240" operator="containsText" text="Complete">
      <formula>NOT(ISERROR(SEARCH("Complete",U11)))</formula>
    </cfRule>
  </conditionalFormatting>
  <conditionalFormatting sqref="U11:U12">
    <cfRule type="containsText" dxfId="1027" priority="235" operator="containsText" text="Not applicable">
      <formula>NOT(ISERROR(SEARCH("Not applicable",U11)))</formula>
    </cfRule>
    <cfRule type="containsText" dxfId="1026" priority="236" operator="containsText" text="Pending">
      <formula>NOT(ISERROR(SEARCH("Pending",U11)))</formula>
    </cfRule>
    <cfRule type="containsText" dxfId="1025" priority="237" operator="containsText" text="Alternative">
      <formula>NOT(ISERROR(SEARCH("Alternative",U11)))</formula>
    </cfRule>
    <cfRule type="containsText" dxfId="1024" priority="238" operator="containsText" text="Not Available">
      <formula>NOT(ISERROR(SEARCH("Not Available",U11)))</formula>
    </cfRule>
    <cfRule type="containsText" dxfId="1023" priority="239" operator="containsText" text="Incomplete">
      <formula>NOT(ISERROR(SEARCH("Incomplete",U11)))</formula>
    </cfRule>
  </conditionalFormatting>
  <conditionalFormatting sqref="U15:U16">
    <cfRule type="containsText" dxfId="1022" priority="234" operator="containsText" text="Complete">
      <formula>NOT(ISERROR(SEARCH("Complete",U15)))</formula>
    </cfRule>
  </conditionalFormatting>
  <conditionalFormatting sqref="U15:U16">
    <cfRule type="containsText" dxfId="1021" priority="229" operator="containsText" text="Not applicable">
      <formula>NOT(ISERROR(SEARCH("Not applicable",U15)))</formula>
    </cfRule>
    <cfRule type="containsText" dxfId="1020" priority="230" operator="containsText" text="Pending">
      <formula>NOT(ISERROR(SEARCH("Pending",U15)))</formula>
    </cfRule>
    <cfRule type="containsText" dxfId="1019" priority="231" operator="containsText" text="Alternative">
      <formula>NOT(ISERROR(SEARCH("Alternative",U15)))</formula>
    </cfRule>
    <cfRule type="containsText" dxfId="1018" priority="232" operator="containsText" text="Not Available">
      <formula>NOT(ISERROR(SEARCH("Not Available",U15)))</formula>
    </cfRule>
    <cfRule type="containsText" dxfId="1017" priority="233" operator="containsText" text="Incomplete">
      <formula>NOT(ISERROR(SEARCH("Incomplete",U15)))</formula>
    </cfRule>
  </conditionalFormatting>
  <conditionalFormatting sqref="U21">
    <cfRule type="containsText" dxfId="1016" priority="216" operator="containsText" text="Complete">
      <formula>NOT(ISERROR(SEARCH("Complete",U21)))</formula>
    </cfRule>
  </conditionalFormatting>
  <conditionalFormatting sqref="U21">
    <cfRule type="containsText" dxfId="1015" priority="211" operator="containsText" text="Not applicable">
      <formula>NOT(ISERROR(SEARCH("Not applicable",U21)))</formula>
    </cfRule>
    <cfRule type="containsText" dxfId="1014" priority="212" operator="containsText" text="Pending">
      <formula>NOT(ISERROR(SEARCH("Pending",U21)))</formula>
    </cfRule>
    <cfRule type="containsText" dxfId="1013" priority="213" operator="containsText" text="Alternative">
      <formula>NOT(ISERROR(SEARCH("Alternative",U21)))</formula>
    </cfRule>
    <cfRule type="containsText" dxfId="1012" priority="214" operator="containsText" text="Not Available">
      <formula>NOT(ISERROR(SEARCH("Not Available",U21)))</formula>
    </cfRule>
    <cfRule type="containsText" dxfId="1011" priority="215" operator="containsText" text="Incomplete">
      <formula>NOT(ISERROR(SEARCH("Incomplete",U21)))</formula>
    </cfRule>
  </conditionalFormatting>
  <conditionalFormatting sqref="U19">
    <cfRule type="containsText" dxfId="1010" priority="210" operator="containsText" text="Complete">
      <formula>NOT(ISERROR(SEARCH("Complete",U19)))</formula>
    </cfRule>
  </conditionalFormatting>
  <conditionalFormatting sqref="U19">
    <cfRule type="containsText" dxfId="1009" priority="205" operator="containsText" text="Not applicable">
      <formula>NOT(ISERROR(SEARCH("Not applicable",U19)))</formula>
    </cfRule>
    <cfRule type="containsText" dxfId="1008" priority="206" operator="containsText" text="Pending">
      <formula>NOT(ISERROR(SEARCH("Pending",U19)))</formula>
    </cfRule>
    <cfRule type="containsText" dxfId="1007" priority="207" operator="containsText" text="Alternative">
      <formula>NOT(ISERROR(SEARCH("Alternative",U19)))</formula>
    </cfRule>
    <cfRule type="containsText" dxfId="1006" priority="208" operator="containsText" text="Not Available">
      <formula>NOT(ISERROR(SEARCH("Not Available",U19)))</formula>
    </cfRule>
    <cfRule type="containsText" dxfId="1005" priority="209" operator="containsText" text="Incomplete">
      <formula>NOT(ISERROR(SEARCH("Incomplete",U19)))</formula>
    </cfRule>
  </conditionalFormatting>
  <conditionalFormatting sqref="U20">
    <cfRule type="containsText" dxfId="1004" priority="204" operator="containsText" text="Complete">
      <formula>NOT(ISERROR(SEARCH("Complete",U20)))</formula>
    </cfRule>
  </conditionalFormatting>
  <conditionalFormatting sqref="U20">
    <cfRule type="containsText" dxfId="1003" priority="199" operator="containsText" text="Not applicable">
      <formula>NOT(ISERROR(SEARCH("Not applicable",U20)))</formula>
    </cfRule>
    <cfRule type="containsText" dxfId="1002" priority="200" operator="containsText" text="Pending">
      <formula>NOT(ISERROR(SEARCH("Pending",U20)))</formula>
    </cfRule>
    <cfRule type="containsText" dxfId="1001" priority="201" operator="containsText" text="Alternative">
      <formula>NOT(ISERROR(SEARCH("Alternative",U20)))</formula>
    </cfRule>
    <cfRule type="containsText" dxfId="1000" priority="202" operator="containsText" text="Not Available">
      <formula>NOT(ISERROR(SEARCH("Not Available",U20)))</formula>
    </cfRule>
    <cfRule type="containsText" dxfId="999" priority="203" operator="containsText" text="Incomplete">
      <formula>NOT(ISERROR(SEARCH("Incomplete",U20)))</formula>
    </cfRule>
  </conditionalFormatting>
  <conditionalFormatting sqref="U32">
    <cfRule type="containsText" dxfId="998" priority="198" operator="containsText" text="Complete">
      <formula>NOT(ISERROR(SEARCH("Complete",U32)))</formula>
    </cfRule>
  </conditionalFormatting>
  <conditionalFormatting sqref="U32">
    <cfRule type="containsText" dxfId="997" priority="193" operator="containsText" text="Not applicable">
      <formula>NOT(ISERROR(SEARCH("Not applicable",U32)))</formula>
    </cfRule>
    <cfRule type="containsText" dxfId="996" priority="194" operator="containsText" text="Pending">
      <formula>NOT(ISERROR(SEARCH("Pending",U32)))</formula>
    </cfRule>
    <cfRule type="containsText" dxfId="995" priority="195" operator="containsText" text="Alternative">
      <formula>NOT(ISERROR(SEARCH("Alternative",U32)))</formula>
    </cfRule>
    <cfRule type="containsText" dxfId="994" priority="196" operator="containsText" text="Not Available">
      <formula>NOT(ISERROR(SEARCH("Not Available",U32)))</formula>
    </cfRule>
    <cfRule type="containsText" dxfId="993" priority="197" operator="containsText" text="Incomplete">
      <formula>NOT(ISERROR(SEARCH("Incomplete",U32)))</formula>
    </cfRule>
  </conditionalFormatting>
  <conditionalFormatting sqref="AF32">
    <cfRule type="containsText" dxfId="992" priority="192" operator="containsText" text="0">
      <formula>NOT(ISERROR(SEARCH("0",AF32)))</formula>
    </cfRule>
  </conditionalFormatting>
  <conditionalFormatting sqref="U33">
    <cfRule type="containsText" dxfId="991" priority="191" operator="containsText" text="Complete">
      <formula>NOT(ISERROR(SEARCH("Complete",U33)))</formula>
    </cfRule>
  </conditionalFormatting>
  <conditionalFormatting sqref="U33">
    <cfRule type="containsText" dxfId="990" priority="186" operator="containsText" text="Not applicable">
      <formula>NOT(ISERROR(SEARCH("Not applicable",U33)))</formula>
    </cfRule>
    <cfRule type="containsText" dxfId="989" priority="187" operator="containsText" text="Pending">
      <formula>NOT(ISERROR(SEARCH("Pending",U33)))</formula>
    </cfRule>
    <cfRule type="containsText" dxfId="988" priority="188" operator="containsText" text="Alternative">
      <formula>NOT(ISERROR(SEARCH("Alternative",U33)))</formula>
    </cfRule>
    <cfRule type="containsText" dxfId="987" priority="189" operator="containsText" text="Not Available">
      <formula>NOT(ISERROR(SEARCH("Not Available",U33)))</formula>
    </cfRule>
    <cfRule type="containsText" dxfId="986" priority="190" operator="containsText" text="Incomplete">
      <formula>NOT(ISERROR(SEARCH("Incomplete",U33)))</formula>
    </cfRule>
  </conditionalFormatting>
  <conditionalFormatting sqref="U47">
    <cfRule type="containsText" dxfId="985" priority="185" operator="containsText" text="Complete">
      <formula>NOT(ISERROR(SEARCH("Complete",U47)))</formula>
    </cfRule>
  </conditionalFormatting>
  <conditionalFormatting sqref="U47">
    <cfRule type="containsText" dxfId="984" priority="180" operator="containsText" text="Not applicable">
      <formula>NOT(ISERROR(SEARCH("Not applicable",U47)))</formula>
    </cfRule>
    <cfRule type="containsText" dxfId="983" priority="181" operator="containsText" text="Pending">
      <formula>NOT(ISERROR(SEARCH("Pending",U47)))</formula>
    </cfRule>
    <cfRule type="containsText" dxfId="982" priority="182" operator="containsText" text="Alternative">
      <formula>NOT(ISERROR(SEARCH("Alternative",U47)))</formula>
    </cfRule>
    <cfRule type="containsText" dxfId="981" priority="183" operator="containsText" text="Not Available">
      <formula>NOT(ISERROR(SEARCH("Not Available",U47)))</formula>
    </cfRule>
    <cfRule type="containsText" dxfId="980" priority="184" operator="containsText" text="Incomplete">
      <formula>NOT(ISERROR(SEARCH("Incomplete",U47)))</formula>
    </cfRule>
  </conditionalFormatting>
  <conditionalFormatting sqref="U37">
    <cfRule type="containsText" dxfId="979" priority="179" operator="containsText" text="Complete">
      <formula>NOT(ISERROR(SEARCH("Complete",U37)))</formula>
    </cfRule>
  </conditionalFormatting>
  <conditionalFormatting sqref="U37">
    <cfRule type="containsText" dxfId="978" priority="174" operator="containsText" text="Not applicable">
      <formula>NOT(ISERROR(SEARCH("Not applicable",U37)))</formula>
    </cfRule>
    <cfRule type="containsText" dxfId="977" priority="175" operator="containsText" text="Pending">
      <formula>NOT(ISERROR(SEARCH("Pending",U37)))</formula>
    </cfRule>
    <cfRule type="containsText" dxfId="976" priority="176" operator="containsText" text="Alternative">
      <formula>NOT(ISERROR(SEARCH("Alternative",U37)))</formula>
    </cfRule>
    <cfRule type="containsText" dxfId="975" priority="177" operator="containsText" text="Not Available">
      <formula>NOT(ISERROR(SEARCH("Not Available",U37)))</formula>
    </cfRule>
    <cfRule type="containsText" dxfId="974" priority="178" operator="containsText" text="Incomplete">
      <formula>NOT(ISERROR(SEARCH("Incomplete",U37)))</formula>
    </cfRule>
  </conditionalFormatting>
  <conditionalFormatting sqref="U43">
    <cfRule type="containsText" dxfId="973" priority="173" operator="containsText" text="Complete">
      <formula>NOT(ISERROR(SEARCH("Complete",U43)))</formula>
    </cfRule>
  </conditionalFormatting>
  <conditionalFormatting sqref="U43">
    <cfRule type="containsText" dxfId="972" priority="168" operator="containsText" text="Not applicable">
      <formula>NOT(ISERROR(SEARCH("Not applicable",U43)))</formula>
    </cfRule>
    <cfRule type="containsText" dxfId="971" priority="169" operator="containsText" text="Pending">
      <formula>NOT(ISERROR(SEARCH("Pending",U43)))</formula>
    </cfRule>
    <cfRule type="containsText" dxfId="970" priority="170" operator="containsText" text="Alternative">
      <formula>NOT(ISERROR(SEARCH("Alternative",U43)))</formula>
    </cfRule>
    <cfRule type="containsText" dxfId="969" priority="171" operator="containsText" text="Not Available">
      <formula>NOT(ISERROR(SEARCH("Not Available",U43)))</formula>
    </cfRule>
    <cfRule type="containsText" dxfId="968" priority="172" operator="containsText" text="Incomplete">
      <formula>NOT(ISERROR(SEARCH("Incomplete",U43)))</formula>
    </cfRule>
  </conditionalFormatting>
  <conditionalFormatting sqref="U49">
    <cfRule type="containsText" dxfId="967" priority="167" operator="containsText" text="Complete">
      <formula>NOT(ISERROR(SEARCH("Complete",U49)))</formula>
    </cfRule>
  </conditionalFormatting>
  <conditionalFormatting sqref="U49">
    <cfRule type="containsText" dxfId="966" priority="162" operator="containsText" text="Not applicable">
      <formula>NOT(ISERROR(SEARCH("Not applicable",U49)))</formula>
    </cfRule>
    <cfRule type="containsText" dxfId="965" priority="163" operator="containsText" text="Pending">
      <formula>NOT(ISERROR(SEARCH("Pending",U49)))</formula>
    </cfRule>
    <cfRule type="containsText" dxfId="964" priority="164" operator="containsText" text="Alternative">
      <formula>NOT(ISERROR(SEARCH("Alternative",U49)))</formula>
    </cfRule>
    <cfRule type="containsText" dxfId="963" priority="165" operator="containsText" text="Not Available">
      <formula>NOT(ISERROR(SEARCH("Not Available",U49)))</formula>
    </cfRule>
    <cfRule type="containsText" dxfId="962" priority="166" operator="containsText" text="Incomplete">
      <formula>NOT(ISERROR(SEARCH("Incomplete",U49)))</formula>
    </cfRule>
  </conditionalFormatting>
  <conditionalFormatting sqref="U53">
    <cfRule type="containsText" dxfId="961" priority="161" operator="containsText" text="Complete">
      <formula>NOT(ISERROR(SEARCH("Complete",U53)))</formula>
    </cfRule>
  </conditionalFormatting>
  <conditionalFormatting sqref="U53">
    <cfRule type="containsText" dxfId="960" priority="156" operator="containsText" text="Not applicable">
      <formula>NOT(ISERROR(SEARCH("Not applicable",U53)))</formula>
    </cfRule>
    <cfRule type="containsText" dxfId="959" priority="157" operator="containsText" text="Pending">
      <formula>NOT(ISERROR(SEARCH("Pending",U53)))</formula>
    </cfRule>
    <cfRule type="containsText" dxfId="958" priority="158" operator="containsText" text="Alternative">
      <formula>NOT(ISERROR(SEARCH("Alternative",U53)))</formula>
    </cfRule>
    <cfRule type="containsText" dxfId="957" priority="159" operator="containsText" text="Not Available">
      <formula>NOT(ISERROR(SEARCH("Not Available",U53)))</formula>
    </cfRule>
    <cfRule type="containsText" dxfId="956" priority="160" operator="containsText" text="Incomplete">
      <formula>NOT(ISERROR(SEARCH("Incomplete",U53)))</formula>
    </cfRule>
  </conditionalFormatting>
  <conditionalFormatting sqref="U57">
    <cfRule type="containsText" dxfId="955" priority="155" operator="containsText" text="Complete">
      <formula>NOT(ISERROR(SEARCH("Complete",U57)))</formula>
    </cfRule>
  </conditionalFormatting>
  <conditionalFormatting sqref="U57">
    <cfRule type="containsText" dxfId="954" priority="150" operator="containsText" text="Not applicable">
      <formula>NOT(ISERROR(SEARCH("Not applicable",U57)))</formula>
    </cfRule>
    <cfRule type="containsText" dxfId="953" priority="151" operator="containsText" text="Pending">
      <formula>NOT(ISERROR(SEARCH("Pending",U57)))</formula>
    </cfRule>
    <cfRule type="containsText" dxfId="952" priority="152" operator="containsText" text="Alternative">
      <formula>NOT(ISERROR(SEARCH("Alternative",U57)))</formula>
    </cfRule>
    <cfRule type="containsText" dxfId="951" priority="153" operator="containsText" text="Not Available">
      <formula>NOT(ISERROR(SEARCH("Not Available",U57)))</formula>
    </cfRule>
    <cfRule type="containsText" dxfId="950" priority="154" operator="containsText" text="Incomplete">
      <formula>NOT(ISERROR(SEARCH("Incomplete",U57)))</formula>
    </cfRule>
  </conditionalFormatting>
  <conditionalFormatting sqref="U64">
    <cfRule type="containsText" dxfId="931" priority="131" operator="containsText" text="Complete">
      <formula>NOT(ISERROR(SEARCH("Complete",U64)))</formula>
    </cfRule>
  </conditionalFormatting>
  <conditionalFormatting sqref="U64">
    <cfRule type="containsText" dxfId="930" priority="126" operator="containsText" text="Not applicable">
      <formula>NOT(ISERROR(SEARCH("Not applicable",U64)))</formula>
    </cfRule>
    <cfRule type="containsText" dxfId="929" priority="127" operator="containsText" text="Pending">
      <formula>NOT(ISERROR(SEARCH("Pending",U64)))</formula>
    </cfRule>
    <cfRule type="containsText" dxfId="928" priority="128" operator="containsText" text="Alternative">
      <formula>NOT(ISERROR(SEARCH("Alternative",U64)))</formula>
    </cfRule>
    <cfRule type="containsText" dxfId="927" priority="129" operator="containsText" text="Not Available">
      <formula>NOT(ISERROR(SEARCH("Not Available",U64)))</formula>
    </cfRule>
    <cfRule type="containsText" dxfId="926" priority="130" operator="containsText" text="Incomplete">
      <formula>NOT(ISERROR(SEARCH("Incomplete",U64)))</formula>
    </cfRule>
  </conditionalFormatting>
  <conditionalFormatting sqref="U68">
    <cfRule type="containsText" dxfId="925" priority="125" operator="containsText" text="Complete">
      <formula>NOT(ISERROR(SEARCH("Complete",U68)))</formula>
    </cfRule>
  </conditionalFormatting>
  <conditionalFormatting sqref="U68">
    <cfRule type="containsText" dxfId="924" priority="120" operator="containsText" text="Not applicable">
      <formula>NOT(ISERROR(SEARCH("Not applicable",U68)))</formula>
    </cfRule>
    <cfRule type="containsText" dxfId="923" priority="121" operator="containsText" text="Pending">
      <formula>NOT(ISERROR(SEARCH("Pending",U68)))</formula>
    </cfRule>
    <cfRule type="containsText" dxfId="922" priority="122" operator="containsText" text="Alternative">
      <formula>NOT(ISERROR(SEARCH("Alternative",U68)))</formula>
    </cfRule>
    <cfRule type="containsText" dxfId="921" priority="123" operator="containsText" text="Not Available">
      <formula>NOT(ISERROR(SEARCH("Not Available",U68)))</formula>
    </cfRule>
    <cfRule type="containsText" dxfId="920" priority="124" operator="containsText" text="Incomplete">
      <formula>NOT(ISERROR(SEARCH("Incomplete",U68)))</formula>
    </cfRule>
  </conditionalFormatting>
  <conditionalFormatting sqref="U72">
    <cfRule type="containsText" dxfId="919" priority="119" operator="containsText" text="Complete">
      <formula>NOT(ISERROR(SEARCH("Complete",U72)))</formula>
    </cfRule>
  </conditionalFormatting>
  <conditionalFormatting sqref="U72">
    <cfRule type="containsText" dxfId="918" priority="114" operator="containsText" text="Not applicable">
      <formula>NOT(ISERROR(SEARCH("Not applicable",U72)))</formula>
    </cfRule>
    <cfRule type="containsText" dxfId="917" priority="115" operator="containsText" text="Pending">
      <formula>NOT(ISERROR(SEARCH("Pending",U72)))</formula>
    </cfRule>
    <cfRule type="containsText" dxfId="916" priority="116" operator="containsText" text="Alternative">
      <formula>NOT(ISERROR(SEARCH("Alternative",U72)))</formula>
    </cfRule>
    <cfRule type="containsText" dxfId="915" priority="117" operator="containsText" text="Not Available">
      <formula>NOT(ISERROR(SEARCH("Not Available",U72)))</formula>
    </cfRule>
    <cfRule type="containsText" dxfId="914" priority="118" operator="containsText" text="Incomplete">
      <formula>NOT(ISERROR(SEARCH("Incomplete",U72)))</formula>
    </cfRule>
  </conditionalFormatting>
  <conditionalFormatting sqref="U76">
    <cfRule type="containsText" dxfId="913" priority="113" operator="containsText" text="Complete">
      <formula>NOT(ISERROR(SEARCH("Complete",U76)))</formula>
    </cfRule>
  </conditionalFormatting>
  <conditionalFormatting sqref="U76">
    <cfRule type="containsText" dxfId="912" priority="108" operator="containsText" text="Not applicable">
      <formula>NOT(ISERROR(SEARCH("Not applicable",U76)))</formula>
    </cfRule>
    <cfRule type="containsText" dxfId="911" priority="109" operator="containsText" text="Pending">
      <formula>NOT(ISERROR(SEARCH("Pending",U76)))</formula>
    </cfRule>
    <cfRule type="containsText" dxfId="910" priority="110" operator="containsText" text="Alternative">
      <formula>NOT(ISERROR(SEARCH("Alternative",U76)))</formula>
    </cfRule>
    <cfRule type="containsText" dxfId="909" priority="111" operator="containsText" text="Not Available">
      <formula>NOT(ISERROR(SEARCH("Not Available",U76)))</formula>
    </cfRule>
    <cfRule type="containsText" dxfId="908" priority="112" operator="containsText" text="Incomplete">
      <formula>NOT(ISERROR(SEARCH("Incomplete",U76)))</formula>
    </cfRule>
  </conditionalFormatting>
  <conditionalFormatting sqref="U77">
    <cfRule type="containsText" dxfId="907" priority="107" operator="containsText" text="Complete">
      <formula>NOT(ISERROR(SEARCH("Complete",U77)))</formula>
    </cfRule>
  </conditionalFormatting>
  <conditionalFormatting sqref="U77">
    <cfRule type="containsText" dxfId="906" priority="102" operator="containsText" text="Not applicable">
      <formula>NOT(ISERROR(SEARCH("Not applicable",U77)))</formula>
    </cfRule>
    <cfRule type="containsText" dxfId="905" priority="103" operator="containsText" text="Pending">
      <formula>NOT(ISERROR(SEARCH("Pending",U77)))</formula>
    </cfRule>
    <cfRule type="containsText" dxfId="904" priority="104" operator="containsText" text="Alternative">
      <formula>NOT(ISERROR(SEARCH("Alternative",U77)))</formula>
    </cfRule>
    <cfRule type="containsText" dxfId="903" priority="105" operator="containsText" text="Not Available">
      <formula>NOT(ISERROR(SEARCH("Not Available",U77)))</formula>
    </cfRule>
    <cfRule type="containsText" dxfId="902" priority="106" operator="containsText" text="Incomplete">
      <formula>NOT(ISERROR(SEARCH("Incomplete",U77)))</formula>
    </cfRule>
  </conditionalFormatting>
  <conditionalFormatting sqref="U78">
    <cfRule type="containsText" dxfId="901" priority="101" operator="containsText" text="Complete">
      <formula>NOT(ISERROR(SEARCH("Complete",U78)))</formula>
    </cfRule>
  </conditionalFormatting>
  <conditionalFormatting sqref="U78">
    <cfRule type="containsText" dxfId="900" priority="96" operator="containsText" text="Not applicable">
      <formula>NOT(ISERROR(SEARCH("Not applicable",U78)))</formula>
    </cfRule>
    <cfRule type="containsText" dxfId="899" priority="97" operator="containsText" text="Pending">
      <formula>NOT(ISERROR(SEARCH("Pending",U78)))</formula>
    </cfRule>
    <cfRule type="containsText" dxfId="898" priority="98" operator="containsText" text="Alternative">
      <formula>NOT(ISERROR(SEARCH("Alternative",U78)))</formula>
    </cfRule>
    <cfRule type="containsText" dxfId="897" priority="99" operator="containsText" text="Not Available">
      <formula>NOT(ISERROR(SEARCH("Not Available",U78)))</formula>
    </cfRule>
    <cfRule type="containsText" dxfId="896" priority="100" operator="containsText" text="Incomplete">
      <formula>NOT(ISERROR(SEARCH("Incomplete",U78)))</formula>
    </cfRule>
  </conditionalFormatting>
  <conditionalFormatting sqref="U79">
    <cfRule type="containsText" dxfId="895" priority="95" operator="containsText" text="Complete">
      <formula>NOT(ISERROR(SEARCH("Complete",U79)))</formula>
    </cfRule>
  </conditionalFormatting>
  <conditionalFormatting sqref="U79">
    <cfRule type="containsText" dxfId="894" priority="90" operator="containsText" text="Not applicable">
      <formula>NOT(ISERROR(SEARCH("Not applicable",U79)))</formula>
    </cfRule>
    <cfRule type="containsText" dxfId="893" priority="91" operator="containsText" text="Pending">
      <formula>NOT(ISERROR(SEARCH("Pending",U79)))</formula>
    </cfRule>
    <cfRule type="containsText" dxfId="892" priority="92" operator="containsText" text="Alternative">
      <formula>NOT(ISERROR(SEARCH("Alternative",U79)))</formula>
    </cfRule>
    <cfRule type="containsText" dxfId="891" priority="93" operator="containsText" text="Not Available">
      <formula>NOT(ISERROR(SEARCH("Not Available",U79)))</formula>
    </cfRule>
    <cfRule type="containsText" dxfId="890" priority="94" operator="containsText" text="Incomplete">
      <formula>NOT(ISERROR(SEARCH("Incomplete",U79)))</formula>
    </cfRule>
  </conditionalFormatting>
  <conditionalFormatting sqref="U88">
    <cfRule type="containsText" dxfId="889" priority="83" operator="containsText" text="Complete">
      <formula>NOT(ISERROR(SEARCH("Complete",U88)))</formula>
    </cfRule>
  </conditionalFormatting>
  <conditionalFormatting sqref="U88">
    <cfRule type="containsText" dxfId="888" priority="78" operator="containsText" text="Not applicable">
      <formula>NOT(ISERROR(SEARCH("Not applicable",U88)))</formula>
    </cfRule>
    <cfRule type="containsText" dxfId="887" priority="79" operator="containsText" text="Pending">
      <formula>NOT(ISERROR(SEARCH("Pending",U88)))</formula>
    </cfRule>
    <cfRule type="containsText" dxfId="886" priority="80" operator="containsText" text="Alternative">
      <formula>NOT(ISERROR(SEARCH("Alternative",U88)))</formula>
    </cfRule>
    <cfRule type="containsText" dxfId="885" priority="81" operator="containsText" text="Not Available">
      <formula>NOT(ISERROR(SEARCH("Not Available",U88)))</formula>
    </cfRule>
    <cfRule type="containsText" dxfId="884" priority="82" operator="containsText" text="Incomplete">
      <formula>NOT(ISERROR(SEARCH("Incomplete",U88)))</formula>
    </cfRule>
  </conditionalFormatting>
  <conditionalFormatting sqref="U92">
    <cfRule type="containsText" dxfId="883" priority="77" operator="containsText" text="Complete">
      <formula>NOT(ISERROR(SEARCH("Complete",U92)))</formula>
    </cfRule>
  </conditionalFormatting>
  <conditionalFormatting sqref="U92">
    <cfRule type="containsText" dxfId="882" priority="72" operator="containsText" text="Not applicable">
      <formula>NOT(ISERROR(SEARCH("Not applicable",U92)))</formula>
    </cfRule>
    <cfRule type="containsText" dxfId="881" priority="73" operator="containsText" text="Pending">
      <formula>NOT(ISERROR(SEARCH("Pending",U92)))</formula>
    </cfRule>
    <cfRule type="containsText" dxfId="880" priority="74" operator="containsText" text="Alternative">
      <formula>NOT(ISERROR(SEARCH("Alternative",U92)))</formula>
    </cfRule>
    <cfRule type="containsText" dxfId="879" priority="75" operator="containsText" text="Not Available">
      <formula>NOT(ISERROR(SEARCH("Not Available",U92)))</formula>
    </cfRule>
    <cfRule type="containsText" dxfId="878" priority="76" operator="containsText" text="Incomplete">
      <formula>NOT(ISERROR(SEARCH("Incomplete",U92)))</formula>
    </cfRule>
  </conditionalFormatting>
  <conditionalFormatting sqref="U39">
    <cfRule type="containsText" dxfId="877" priority="71" operator="containsText" text="Complete">
      <formula>NOT(ISERROR(SEARCH("Complete",U39)))</formula>
    </cfRule>
  </conditionalFormatting>
  <conditionalFormatting sqref="U39">
    <cfRule type="containsText" dxfId="876" priority="66" operator="containsText" text="Not applicable">
      <formula>NOT(ISERROR(SEARCH("Not applicable",U39)))</formula>
    </cfRule>
    <cfRule type="containsText" dxfId="875" priority="67" operator="containsText" text="Pending">
      <formula>NOT(ISERROR(SEARCH("Pending",U39)))</formula>
    </cfRule>
    <cfRule type="containsText" dxfId="874" priority="68" operator="containsText" text="Alternative">
      <formula>NOT(ISERROR(SEARCH("Alternative",U39)))</formula>
    </cfRule>
    <cfRule type="containsText" dxfId="873" priority="69" operator="containsText" text="Not Available">
      <formula>NOT(ISERROR(SEARCH("Not Available",U39)))</formula>
    </cfRule>
    <cfRule type="containsText" dxfId="872" priority="70" operator="containsText" text="Incomplete">
      <formula>NOT(ISERROR(SEARCH("Incomplete",U39)))</formula>
    </cfRule>
  </conditionalFormatting>
  <conditionalFormatting sqref="C125">
    <cfRule type="containsText" dxfId="871" priority="61" operator="containsText" text="Alternative">
      <formula>NOT(ISERROR(SEARCH("Alternative",C125)))</formula>
    </cfRule>
    <cfRule type="containsText" dxfId="870" priority="63" operator="containsText" text="Not available">
      <formula>NOT(ISERROR(SEARCH("Not available",C125)))</formula>
    </cfRule>
    <cfRule type="containsText" dxfId="869" priority="64" operator="containsText" text="Incomplete">
      <formula>NOT(ISERROR(SEARCH("Incomplete",C125)))</formula>
    </cfRule>
    <cfRule type="containsText" dxfId="868" priority="65" operator="containsText" text="Complete">
      <formula>NOT(ISERROR(SEARCH("Complete",C125)))</formula>
    </cfRule>
  </conditionalFormatting>
  <conditionalFormatting sqref="C125">
    <cfRule type="containsText" dxfId="867" priority="62" operator="containsText" text="Pending">
      <formula>NOT(ISERROR(SEARCH("Pending",C125)))</formula>
    </cfRule>
  </conditionalFormatting>
  <conditionalFormatting sqref="C127">
    <cfRule type="containsText" dxfId="866" priority="56" operator="containsText" text="Alternative">
      <formula>NOT(ISERROR(SEARCH("Alternative",C127)))</formula>
    </cfRule>
    <cfRule type="containsText" dxfId="865" priority="58" operator="containsText" text="Not available">
      <formula>NOT(ISERROR(SEARCH("Not available",C127)))</formula>
    </cfRule>
    <cfRule type="containsText" dxfId="864" priority="59" operator="containsText" text="Incomplete">
      <formula>NOT(ISERROR(SEARCH("Incomplete",C127)))</formula>
    </cfRule>
    <cfRule type="containsText" dxfId="863" priority="60" operator="containsText" text="Complete">
      <formula>NOT(ISERROR(SEARCH("Complete",C127)))</formula>
    </cfRule>
  </conditionalFormatting>
  <conditionalFormatting sqref="C127">
    <cfRule type="containsText" dxfId="862" priority="57" operator="containsText" text="Pending">
      <formula>NOT(ISERROR(SEARCH("Pending",C127)))</formula>
    </cfRule>
  </conditionalFormatting>
  <conditionalFormatting sqref="C128">
    <cfRule type="containsText" dxfId="861" priority="55" operator="containsText" text="Pending">
      <formula>NOT(ISERROR(SEARCH("Pending",C128)))</formula>
    </cfRule>
  </conditionalFormatting>
  <conditionalFormatting sqref="C128">
    <cfRule type="containsText" dxfId="860" priority="51" operator="containsText" text="Alternative">
      <formula>NOT(ISERROR(SEARCH("Alternative",C128)))</formula>
    </cfRule>
    <cfRule type="containsText" dxfId="859" priority="52" operator="containsText" text="Not available">
      <formula>NOT(ISERROR(SEARCH("Not available",C128)))</formula>
    </cfRule>
    <cfRule type="containsText" dxfId="858" priority="53" operator="containsText" text="Incomplete">
      <formula>NOT(ISERROR(SEARCH("Incomplete",C128)))</formula>
    </cfRule>
    <cfRule type="containsText" dxfId="857" priority="54" operator="containsText" text="Complete">
      <formula>NOT(ISERROR(SEARCH("Complete",C128)))</formula>
    </cfRule>
  </conditionalFormatting>
  <conditionalFormatting sqref="D128">
    <cfRule type="containsText" dxfId="856" priority="46" operator="containsText" text="Alternative">
      <formula>NOT(ISERROR(SEARCH("Alternative",D128)))</formula>
    </cfRule>
    <cfRule type="containsText" dxfId="855" priority="48" operator="containsText" text="Not available">
      <formula>NOT(ISERROR(SEARCH("Not available",D128)))</formula>
    </cfRule>
    <cfRule type="containsText" dxfId="854" priority="49" operator="containsText" text="Incomplete">
      <formula>NOT(ISERROR(SEARCH("Incomplete",D128)))</formula>
    </cfRule>
    <cfRule type="containsText" dxfId="853" priority="50" operator="containsText" text="Complete">
      <formula>NOT(ISERROR(SEARCH("Complete",D128)))</formula>
    </cfRule>
  </conditionalFormatting>
  <conditionalFormatting sqref="D128">
    <cfRule type="containsText" dxfId="852" priority="47" operator="containsText" text="Pending">
      <formula>NOT(ISERROR(SEARCH("Pending",D128)))</formula>
    </cfRule>
  </conditionalFormatting>
  <conditionalFormatting sqref="AH6">
    <cfRule type="containsText" dxfId="851" priority="41" operator="containsText" text="Qualitative">
      <formula>NOT(ISERROR(SEARCH("Qualitative",AH6)))</formula>
    </cfRule>
    <cfRule type="containsText" dxfId="850" priority="42" operator="containsText" text="Red">
      <formula>NOT(ISERROR(SEARCH("Red",AH6)))</formula>
    </cfRule>
    <cfRule type="containsText" dxfId="849" priority="43" operator="containsText" text="Orange">
      <formula>NOT(ISERROR(SEARCH("Orange",AH6)))</formula>
    </cfRule>
    <cfRule type="containsText" dxfId="848" priority="44" operator="containsText" text="Yellow">
      <formula>NOT(ISERROR(SEARCH("Yellow",AH6)))</formula>
    </cfRule>
    <cfRule type="containsText" dxfId="847" priority="45" operator="containsText" text="Green">
      <formula>NOT(ISERROR(SEARCH("Green",AH6)))</formula>
    </cfRule>
  </conditionalFormatting>
  <conditionalFormatting sqref="AH11">
    <cfRule type="containsText" dxfId="846" priority="36" operator="containsText" text="Qualitative">
      <formula>NOT(ISERROR(SEARCH("Qualitative",AH11)))</formula>
    </cfRule>
    <cfRule type="containsText" dxfId="845" priority="37" operator="containsText" text="Red">
      <formula>NOT(ISERROR(SEARCH("Red",AH11)))</formula>
    </cfRule>
    <cfRule type="containsText" dxfId="844" priority="38" operator="containsText" text="Orange">
      <formula>NOT(ISERROR(SEARCH("Orange",AH11)))</formula>
    </cfRule>
    <cfRule type="containsText" dxfId="843" priority="39" operator="containsText" text="Yellow">
      <formula>NOT(ISERROR(SEARCH("Yellow",AH11)))</formula>
    </cfRule>
    <cfRule type="containsText" dxfId="842" priority="40" operator="containsText" text="Green">
      <formula>NOT(ISERROR(SEARCH("Green",AH11)))</formula>
    </cfRule>
  </conditionalFormatting>
  <conditionalFormatting sqref="AH15">
    <cfRule type="containsText" dxfId="841" priority="31" operator="containsText" text="Qualitative">
      <formula>NOT(ISERROR(SEARCH("Qualitative",AH15)))</formula>
    </cfRule>
    <cfRule type="containsText" dxfId="840" priority="32" operator="containsText" text="Red">
      <formula>NOT(ISERROR(SEARCH("Red",AH15)))</formula>
    </cfRule>
    <cfRule type="containsText" dxfId="839" priority="33" operator="containsText" text="Orange">
      <formula>NOT(ISERROR(SEARCH("Orange",AH15)))</formula>
    </cfRule>
    <cfRule type="containsText" dxfId="838" priority="34" operator="containsText" text="Yellow">
      <formula>NOT(ISERROR(SEARCH("Yellow",AH15)))</formula>
    </cfRule>
    <cfRule type="containsText" dxfId="837" priority="35" operator="containsText" text="Green">
      <formula>NOT(ISERROR(SEARCH("Green",AH15)))</formula>
    </cfRule>
  </conditionalFormatting>
  <conditionalFormatting sqref="AH19">
    <cfRule type="containsText" dxfId="836" priority="26" operator="containsText" text="Qualitative">
      <formula>NOT(ISERROR(SEARCH("Qualitative",AH19)))</formula>
    </cfRule>
    <cfRule type="containsText" dxfId="835" priority="27" operator="containsText" text="Red">
      <formula>NOT(ISERROR(SEARCH("Red",AH19)))</formula>
    </cfRule>
    <cfRule type="containsText" dxfId="834" priority="28" operator="containsText" text="Orange">
      <formula>NOT(ISERROR(SEARCH("Orange",AH19)))</formula>
    </cfRule>
    <cfRule type="containsText" dxfId="833" priority="29" operator="containsText" text="Yellow">
      <formula>NOT(ISERROR(SEARCH("Yellow",AH19)))</formula>
    </cfRule>
    <cfRule type="containsText" dxfId="832" priority="30" operator="containsText" text="Green">
      <formula>NOT(ISERROR(SEARCH("Green",AH19)))</formula>
    </cfRule>
  </conditionalFormatting>
  <conditionalFormatting sqref="AH20">
    <cfRule type="containsText" dxfId="831" priority="21" operator="containsText" text="Qualitative">
      <formula>NOT(ISERROR(SEARCH("Qualitative",AH20)))</formula>
    </cfRule>
    <cfRule type="containsText" dxfId="830" priority="22" operator="containsText" text="Red">
      <formula>NOT(ISERROR(SEARCH("Red",AH20)))</formula>
    </cfRule>
    <cfRule type="containsText" dxfId="829" priority="23" operator="containsText" text="Orange">
      <formula>NOT(ISERROR(SEARCH("Orange",AH20)))</formula>
    </cfRule>
    <cfRule type="containsText" dxfId="828" priority="24" operator="containsText" text="Yellow">
      <formula>NOT(ISERROR(SEARCH("Yellow",AH20)))</formula>
    </cfRule>
    <cfRule type="containsText" dxfId="827" priority="25" operator="containsText" text="Green">
      <formula>NOT(ISERROR(SEARCH("Green",AH20)))</formula>
    </cfRule>
  </conditionalFormatting>
  <conditionalFormatting sqref="AH21">
    <cfRule type="containsText" dxfId="826" priority="16" operator="containsText" text="Qualitative">
      <formula>NOT(ISERROR(SEARCH("Qualitative",AH21)))</formula>
    </cfRule>
    <cfRule type="containsText" dxfId="825" priority="17" operator="containsText" text="Red">
      <formula>NOT(ISERROR(SEARCH("Red",AH21)))</formula>
    </cfRule>
    <cfRule type="containsText" dxfId="824" priority="18" operator="containsText" text="Orange">
      <formula>NOT(ISERROR(SEARCH("Orange",AH21)))</formula>
    </cfRule>
    <cfRule type="containsText" dxfId="823" priority="19" operator="containsText" text="Yellow">
      <formula>NOT(ISERROR(SEARCH("Yellow",AH21)))</formula>
    </cfRule>
    <cfRule type="containsText" dxfId="822" priority="20" operator="containsText" text="Green">
      <formula>NOT(ISERROR(SEARCH("Green",AH21)))</formula>
    </cfRule>
  </conditionalFormatting>
  <conditionalFormatting sqref="AH64">
    <cfRule type="containsText" dxfId="821" priority="11" operator="containsText" text="Qualitative">
      <formula>NOT(ISERROR(SEARCH("Qualitative",AH64)))</formula>
    </cfRule>
    <cfRule type="containsText" dxfId="820" priority="12" operator="containsText" text="Red">
      <formula>NOT(ISERROR(SEARCH("Red",AH64)))</formula>
    </cfRule>
    <cfRule type="containsText" dxfId="819" priority="13" operator="containsText" text="Orange">
      <formula>NOT(ISERROR(SEARCH("Orange",AH64)))</formula>
    </cfRule>
    <cfRule type="containsText" dxfId="818" priority="14" operator="containsText" text="Yellow">
      <formula>NOT(ISERROR(SEARCH("Yellow",AH64)))</formula>
    </cfRule>
    <cfRule type="containsText" dxfId="817" priority="15" operator="containsText" text="Green">
      <formula>NOT(ISERROR(SEARCH("Green",AH64)))</formula>
    </cfRule>
  </conditionalFormatting>
  <conditionalFormatting sqref="AH77">
    <cfRule type="containsText" dxfId="816" priority="6" operator="containsText" text="Qualitative">
      <formula>NOT(ISERROR(SEARCH("Qualitative",AH77)))</formula>
    </cfRule>
    <cfRule type="containsText" dxfId="815" priority="7" operator="containsText" text="Red">
      <formula>NOT(ISERROR(SEARCH("Red",AH77)))</formula>
    </cfRule>
    <cfRule type="containsText" dxfId="814" priority="8" operator="containsText" text="Orange">
      <formula>NOT(ISERROR(SEARCH("Orange",AH77)))</formula>
    </cfRule>
    <cfRule type="containsText" dxfId="813" priority="9" operator="containsText" text="Yellow">
      <formula>NOT(ISERROR(SEARCH("Yellow",AH77)))</formula>
    </cfRule>
    <cfRule type="containsText" dxfId="812" priority="10" operator="containsText" text="Green">
      <formula>NOT(ISERROR(SEARCH("Green",AH77)))</formula>
    </cfRule>
  </conditionalFormatting>
  <conditionalFormatting sqref="AH78">
    <cfRule type="containsText" dxfId="811" priority="1" operator="containsText" text="Qualitative">
      <formula>NOT(ISERROR(SEARCH("Qualitative",AH78)))</formula>
    </cfRule>
    <cfRule type="containsText" dxfId="810" priority="2" operator="containsText" text="Red">
      <formula>NOT(ISERROR(SEARCH("Red",AH78)))</formula>
    </cfRule>
    <cfRule type="containsText" dxfId="809" priority="3" operator="containsText" text="Orange">
      <formula>NOT(ISERROR(SEARCH("Orange",AH78)))</formula>
    </cfRule>
    <cfRule type="containsText" dxfId="808" priority="4" operator="containsText" text="Yellow">
      <formula>NOT(ISERROR(SEARCH("Yellow",AH78)))</formula>
    </cfRule>
    <cfRule type="containsText" dxfId="807" priority="5" operator="containsText" text="Green">
      <formula>NOT(ISERROR(SEARCH("Green",AH78)))</formula>
    </cfRule>
  </conditionalFormatting>
  <conditionalFormatting sqref="H97">
    <cfRule type="containsText" dxfId="806" priority="421" operator="containsText" text="Not available">
      <formula>NOT(ISERROR(SEARCH("Not available",#REF!)))</formula>
    </cfRule>
    <cfRule type="containsText" dxfId="805" priority="422" operator="containsText" text="Not applicable">
      <formula>NOT(ISERROR(SEARCH("Not applicable",#REF!)))</formula>
    </cfRule>
    <cfRule type="containsText" dxfId="804" priority="423" operator="containsText" text="alternative">
      <formula>NOT(ISERROR(SEARCH("alternative",#REF!)))</formula>
    </cfRule>
    <cfRule type="containsText" dxfId="803" priority="424" operator="containsText" text="pending">
      <formula>NOT(ISERROR(SEARCH("pending",#REF!)))</formula>
    </cfRule>
    <cfRule type="containsText" dxfId="802" priority="425" operator="containsText" text="Not available">
      <formula>NOT(ISERROR(SEARCH("Not available",#REF!)))</formula>
    </cfRule>
    <cfRule type="containsText" dxfId="801" priority="426" operator="containsText" text="incomplete">
      <formula>NOT(ISERROR(SEARCH("incomplete",#REF!)))</formula>
    </cfRule>
    <cfRule type="containsText" dxfId="800" priority="427" operator="containsText" text="Complete">
      <formula>NOT(ISERROR(SEARCH("Complete",#REF!)))</formula>
    </cfRule>
  </conditionalFormatting>
  <conditionalFormatting sqref="H139">
    <cfRule type="containsText" dxfId="799" priority="336" operator="containsText" text="Not available">
      <formula>NOT(ISERROR(SEARCH("Not available",#REF!)))</formula>
    </cfRule>
    <cfRule type="containsText" dxfId="798" priority="337" operator="containsText" text="Not applicable">
      <formula>NOT(ISERROR(SEARCH("Not applicable",#REF!)))</formula>
    </cfRule>
    <cfRule type="containsText" dxfId="797" priority="338" operator="containsText" text="alternative">
      <formula>NOT(ISERROR(SEARCH("alternative",#REF!)))</formula>
    </cfRule>
    <cfRule type="containsText" dxfId="796" priority="339" operator="containsText" text="pending">
      <formula>NOT(ISERROR(SEARCH("pending",#REF!)))</formula>
    </cfRule>
    <cfRule type="containsText" dxfId="795" priority="340" operator="containsText" text="Not available">
      <formula>NOT(ISERROR(SEARCH("Not available",#REF!)))</formula>
    </cfRule>
    <cfRule type="containsText" dxfId="794" priority="341" operator="containsText" text="incomplete">
      <formula>NOT(ISERROR(SEARCH("incomplete",#REF!)))</formula>
    </cfRule>
    <cfRule type="containsText" dxfId="793" priority="342" operator="containsText" text="Complete">
      <formula>NOT(ISERROR(SEARCH("Complete",#REF!)))</formula>
    </cfRule>
  </conditionalFormatting>
  <dataValidations count="5">
    <dataValidation allowBlank="1" showInputMessage="1" showErrorMessage="1" prompt="(if applicable) data from which the answer was derived" sqref="V3" xr:uid="{63B40697-E129-46E1-9F3C-398E3FD4C057}"/>
    <dataValidation allowBlank="1" showInputMessage="1" showErrorMessage="1" prompt="[bas] - Basic_x000a_[int] - Intermediate_x000a_[adv] - Advance" sqref="G95 G3:G33 G47:G52 G88:G93 G76:G85 G64:G67 G61" xr:uid="{A888D718-5E5A-4347-B29A-A68EC443A69E}"/>
    <dataValidation allowBlank="1" showInputMessage="1" showErrorMessage="1" prompt="[FF] - Form Fill_x000a_[SC] - Single Choice_x000a_[MC] - Mutliple Choice_x000a_[PT] - Predetermined Table_x000a_[TT] - Time Table" sqref="H3" xr:uid="{2C21C98A-84E5-477B-897B-8D53A68C1D1F}"/>
    <dataValidation type="list" allowBlank="1" showInputMessage="1" showErrorMessage="1" sqref="W32 AD32:AE32 Y32" xr:uid="{E2E717E4-04DC-47B8-B1C9-8303F91F70CF}">
      <formula1>#REF!</formula1>
    </dataValidation>
    <dataValidation type="list" allowBlank="1" showInputMessage="1" showErrorMessage="1" sqref="AC32" xr:uid="{BBF4AF6A-C6C6-436B-90AB-74646E18F127}">
      <formula1>#REF!</formula1>
    </dataValidation>
  </dataValidations>
  <hyperlinks>
    <hyperlink ref="L94:T94" r:id="rId1" display="Stakeholders Database" xr:uid="{897E3D5F-E4D7-41DE-91CC-4004B2A6D531}"/>
    <hyperlink ref="L96:T96" r:id="rId2" display="Policies, Plans and Initiatives Database" xr:uid="{496567A9-715E-4CD6-887D-65950478DD37}"/>
  </hyperlinks>
  <pageMargins left="0.25" right="0.25" top="0.75" bottom="0.75" header="0.3" footer="0.3"/>
  <pageSetup scale="49" fitToHeight="3" orientation="landscape" horizontalDpi="4294967292" verticalDpi="4294967292" r:id="rId3"/>
  <drawing r:id="rId4"/>
  <extLst>
    <ext xmlns:x14="http://schemas.microsoft.com/office/spreadsheetml/2009/9/main" uri="{CCE6A557-97BC-4b89-ADB6-D9C93CAAB3DF}">
      <x14:dataValidations xmlns:xm="http://schemas.microsoft.com/office/excel/2006/main" count="15">
        <x14:dataValidation type="list" allowBlank="1" showInputMessage="1" showErrorMessage="1" xr:uid="{E15409F6-3D03-4764-9BB7-D3D43EDEAAB0}">
          <x14:formula1>
            <xm:f>'Auxiliar Values'!$O$2:$O$9</xm:f>
          </x14:formula1>
          <xm:sqref>H6:H30 H32:H33 H47 H49:H52 H64:H67 H76:H85 H88:H92</xm:sqref>
        </x14:dataValidation>
        <x14:dataValidation type="list" allowBlank="1" showInputMessage="1" showErrorMessage="1" xr:uid="{C552B908-9B6B-40E4-A222-3390CC36360E}">
          <x14:formula1>
            <xm:f>'Drop lists '!$A$2:$A$7</xm:f>
          </x14:formula1>
          <xm:sqref>U6 U11:U12 U15:U16 U19:U21 U32:U33 U43 U37 U47 U49 U53 U57 U64 U68 U72 U76:U79 U88 U92 U39</xm:sqref>
        </x14:dataValidation>
        <x14:dataValidation type="list" allowBlank="1" showInputMessage="1" showErrorMessage="1" xr:uid="{48C357D5-FBA0-456F-89C2-17DAEB8229AE}">
          <x14:formula1>
            <xm:f>'Auxiliar Values'!$F$2:$F$3</xm:f>
          </x14:formula1>
          <xm:sqref>L32 L78 P80:P84</xm:sqref>
        </x14:dataValidation>
        <x14:dataValidation type="list" allowBlank="1" showInputMessage="1" showErrorMessage="1" xr:uid="{3CE3BDD9-B88C-4A15-A166-7E29055C12B2}">
          <x14:formula1>
            <xm:f>'Drop lists '!$C$2:$C$5</xm:f>
          </x14:formula1>
          <xm:sqref>AF32</xm:sqref>
        </x14:dataValidation>
        <x14:dataValidation type="list" allowBlank="1" showInputMessage="1" showErrorMessage="1" xr:uid="{7573B7DD-D172-44DA-8775-62E17E7BFBB7}">
          <x14:formula1>
            <xm:f>'Auxiliar Values'!$BV$144:$BV$145</xm:f>
          </x14:formula1>
          <xm:sqref>O35 S52 P52 S67 P67</xm:sqref>
        </x14:dataValidation>
        <x14:dataValidation type="list" allowBlank="1" showInputMessage="1" showErrorMessage="1" xr:uid="{D7C5B5A0-F563-43CA-9A39-EAD200CB83E8}">
          <x14:formula1>
            <xm:f>'Auxiliar Values'!$E$10:$E$11</xm:f>
          </x14:formula1>
          <xm:sqref>L47 L49 L64</xm:sqref>
        </x14:dataValidation>
        <x14:dataValidation type="list" allowBlank="1" showInputMessage="1" showErrorMessage="1" xr:uid="{572F1C8F-F686-483B-9AA3-4DCC81E76B7F}">
          <x14:formula1>
            <xm:f>'Auxiliar Values'!$C$2:$C$10</xm:f>
          </x14:formula1>
          <xm:sqref>L52 L67</xm:sqref>
        </x14:dataValidation>
        <x14:dataValidation type="list" allowBlank="1" showInputMessage="1" showErrorMessage="1" xr:uid="{2993229A-C05E-4E84-9550-529EDE1AE78D}">
          <x14:formula1>
            <xm:f>'Auxiliar Values'!$E$111:$E$114</xm:f>
          </x14:formula1>
          <xm:sqref>R52 R67</xm:sqref>
        </x14:dataValidation>
        <x14:dataValidation type="list" allowBlank="1" showInputMessage="1" showErrorMessage="1" xr:uid="{D9F25D5A-14EE-47D2-A606-86B70ECAB7BC}">
          <x14:formula1>
            <xm:f>'Auxiliar Values'!$AR$144:$AR$147</xm:f>
          </x14:formula1>
          <xm:sqref>L57 L72</xm:sqref>
        </x14:dataValidation>
        <x14:dataValidation type="list" allowBlank="1" showInputMessage="1" showErrorMessage="1" xr:uid="{42F0B286-B23C-49F1-83F8-B0F1E95406CB}">
          <x14:formula1>
            <xm:f>'Auxiliar Values'!$C$144:$C$145</xm:f>
          </x14:formula1>
          <xm:sqref>L76</xm:sqref>
        </x14:dataValidation>
        <x14:dataValidation type="list" allowBlank="1" showInputMessage="1" showErrorMessage="1" xr:uid="{EB97643A-B9D5-4AF4-B767-79C217F25399}">
          <x14:formula1>
            <xm:f>'/Users/crpp/Library/Containers/com.microsoft.Excel/Data/Documents/D:\CRPP\1 CALIBRATION\03_BIN\[03_BI - Data Entry + Assessment.xlsm]Drop lists '!#REF!</xm:f>
          </x14:formula1>
          <xm:sqref>AF76:AF78 AF92</xm:sqref>
        </x14:dataValidation>
        <x14:dataValidation type="list" allowBlank="1" showInputMessage="1" showErrorMessage="1" xr:uid="{9BC1F789-1B14-487F-8CF7-5E2B8EFB9DAD}">
          <x14:formula1>
            <xm:f>'/Users/crpp/Library/Containers/com.microsoft.Excel/Data/Documents/D:\CRPP\1 CALIBRATION\03_BIN\[03_BI - Data Entry + Assessment.xlsm]Auxiliar Values'!#REF!</xm:f>
          </x14:formula1>
          <xm:sqref>AC76:AE78 W76:W78 Y76:Y78 AC92:AE92 W92 Y92</xm:sqref>
        </x14:dataValidation>
        <x14:dataValidation type="list" allowBlank="1" showInputMessage="1" showErrorMessage="1" xr:uid="{8BAD898D-CA4C-4B6F-A734-89E3E66526FE}">
          <x14:formula1>
            <xm:f>'Auxiliar Values'!$G$159:$G$160</xm:f>
          </x14:formula1>
          <xm:sqref>L77</xm:sqref>
        </x14:dataValidation>
        <x14:dataValidation type="list" allowBlank="1" showInputMessage="1" showErrorMessage="1" xr:uid="{DB4BD622-8875-43EB-AC46-3EE083714437}">
          <x14:formula1>
            <xm:f>'Auxiliar Values'!$A$144:$A$145</xm:f>
          </x14:formula1>
          <xm:sqref>L92</xm:sqref>
        </x14:dataValidation>
        <x14:dataValidation type="list" allowBlank="1" showInputMessage="1" showErrorMessage="1" xr:uid="{6373CB3A-E468-42B0-B1DB-EBF103A32208}">
          <x14:formula1>
            <xm:f>'Drop lists '!$A$25:$A$31</xm:f>
          </x14:formula1>
          <xm:sqref>AH6 AH11 AH15 AH19:AH21 AH64 AH77:AH78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8B07F-5AFC-4FF9-82FC-BAA7AC1ADB17}">
  <sheetPr codeName="Sheet6">
    <tabColor theme="4"/>
    <outlinePr summaryBelow="0" summaryRight="0"/>
    <pageSetUpPr fitToPage="1"/>
  </sheetPr>
  <dimension ref="A1:DS1048269"/>
  <sheetViews>
    <sheetView showGridLines="0" tabSelected="1" zoomScale="125" zoomScaleNormal="60" zoomScalePageLayoutView="80" workbookViewId="0">
      <pane xSplit="4" ySplit="3" topLeftCell="E99" activePane="bottomRight" state="frozen"/>
      <selection activeCell="K26" sqref="K26:R26"/>
      <selection pane="topRight" activeCell="K26" sqref="K26:R26"/>
      <selection pane="bottomLeft" activeCell="K26" sqref="K26:R26"/>
      <selection pane="bottomRight" activeCell="D110" sqref="D110"/>
    </sheetView>
  </sheetViews>
  <sheetFormatPr baseColWidth="10" defaultColWidth="15.1640625" defaultRowHeight="17" outlineLevelCol="1"/>
  <cols>
    <col min="1" max="1" width="3.6640625" style="140" customWidth="1"/>
    <col min="2" max="2" width="12.6640625" style="30" customWidth="1"/>
    <col min="3" max="3" width="8.6640625" style="30" customWidth="1"/>
    <col min="4" max="4" width="50.6640625" style="30" customWidth="1"/>
    <col min="5" max="5" width="12.6640625" style="65" customWidth="1" outlineLevel="1"/>
    <col min="6" max="6" width="50.6640625" style="30" customWidth="1" outlineLevel="1"/>
    <col min="7" max="7" width="9.6640625" style="30" customWidth="1" outlineLevel="1"/>
    <col min="8" max="8" width="11" style="30" customWidth="1" outlineLevel="1"/>
    <col min="9" max="9" width="35.1640625" style="30" customWidth="1" outlineLevel="1"/>
    <col min="10" max="10" width="17.6640625" style="65" customWidth="1" outlineLevel="1"/>
    <col min="11" max="11" width="25.6640625" style="30" customWidth="1"/>
    <col min="12" max="12" width="19.6640625" style="220" customWidth="1"/>
    <col min="13" max="20" width="7.6640625" style="220" customWidth="1" outlineLevel="1"/>
    <col min="21" max="21" width="15.6640625" style="221" customWidth="1"/>
    <col min="22" max="22" width="25.5" style="220" customWidth="1" outlineLevel="1"/>
    <col min="23" max="23" width="15.1640625" style="220" customWidth="1" outlineLevel="1"/>
    <col min="24" max="24" width="16" style="220" customWidth="1" outlineLevel="1"/>
    <col min="25" max="25" width="15.1640625" style="220" customWidth="1" outlineLevel="1"/>
    <col min="26" max="26" width="12.6640625" style="220" customWidth="1" outlineLevel="1"/>
    <col min="27" max="27" width="20.6640625" style="220" customWidth="1" outlineLevel="1"/>
    <col min="28" max="28" width="14.1640625" style="220" customWidth="1" outlineLevel="1"/>
    <col min="29" max="29" width="16.6640625" style="220" customWidth="1" outlineLevel="1"/>
    <col min="30" max="31" width="15.1640625" style="220" customWidth="1" outlineLevel="1"/>
    <col min="32" max="32" width="15.6640625" style="519" customWidth="1" collapsed="1"/>
    <col min="33" max="33" width="50.6640625" style="220" customWidth="1"/>
    <col min="34" max="34" width="15.6640625" style="221" customWidth="1"/>
    <col min="35" max="36" width="50.6640625" style="220" customWidth="1"/>
    <col min="37" max="38" width="15.1640625" style="30"/>
    <col min="39" max="16384" width="15.1640625" style="61"/>
  </cols>
  <sheetData>
    <row r="1" spans="1:38" s="199" customFormat="1" ht="75.5" customHeight="1">
      <c r="A1" s="558"/>
      <c r="B1" s="1115"/>
      <c r="C1" s="567"/>
      <c r="D1" s="567"/>
      <c r="E1" s="539"/>
      <c r="F1" s="1113"/>
      <c r="G1" s="539"/>
      <c r="H1" s="539"/>
      <c r="I1" s="567"/>
      <c r="J1" s="539"/>
      <c r="K1" s="200"/>
      <c r="L1" s="200"/>
      <c r="M1" s="200"/>
      <c r="N1" s="200"/>
      <c r="O1" s="200"/>
      <c r="P1" s="200"/>
      <c r="Q1" s="200"/>
      <c r="R1" s="200"/>
      <c r="S1" s="200"/>
      <c r="T1" s="200"/>
      <c r="U1" s="830"/>
      <c r="V1" s="200"/>
      <c r="W1" s="567"/>
      <c r="X1" s="200"/>
      <c r="Y1" s="200"/>
      <c r="Z1" s="200"/>
      <c r="AA1" s="200"/>
      <c r="AB1" s="200"/>
      <c r="AC1" s="200"/>
      <c r="AD1" s="200"/>
      <c r="AE1" s="200"/>
      <c r="AF1" s="1114"/>
      <c r="AG1" s="200"/>
      <c r="AH1" s="830"/>
      <c r="AI1" s="200"/>
      <c r="AJ1" s="200"/>
    </row>
    <row r="2" spans="1:38" s="541" customFormat="1">
      <c r="A2" s="540"/>
      <c r="B2" s="1379"/>
      <c r="C2" s="1381" t="s">
        <v>69</v>
      </c>
      <c r="D2" s="1381"/>
      <c r="E2" s="1383" t="s">
        <v>70</v>
      </c>
      <c r="F2" s="1384"/>
      <c r="G2" s="1384"/>
      <c r="H2" s="1384"/>
      <c r="I2" s="1384"/>
      <c r="J2" s="1384"/>
      <c r="K2" s="1385"/>
      <c r="L2" s="1260" t="s">
        <v>71</v>
      </c>
      <c r="M2" s="1257"/>
      <c r="N2" s="1257"/>
      <c r="O2" s="1257"/>
      <c r="P2" s="1257"/>
      <c r="Q2" s="1257"/>
      <c r="R2" s="1257"/>
      <c r="S2" s="1257"/>
      <c r="T2" s="1257"/>
      <c r="U2" s="1261" t="s">
        <v>72</v>
      </c>
      <c r="V2" s="1256" t="s">
        <v>73</v>
      </c>
      <c r="W2" s="1257"/>
      <c r="X2" s="1257"/>
      <c r="Y2" s="1257"/>
      <c r="Z2" s="1257"/>
      <c r="AA2" s="1257"/>
      <c r="AB2" s="1257"/>
      <c r="AC2" s="1257"/>
      <c r="AD2" s="1254" t="s">
        <v>88</v>
      </c>
      <c r="AE2" s="1254" t="s">
        <v>90</v>
      </c>
      <c r="AF2" s="1258" t="s">
        <v>1</v>
      </c>
      <c r="AG2" s="1251" t="s">
        <v>464</v>
      </c>
      <c r="AH2" s="1268" t="s">
        <v>54</v>
      </c>
      <c r="AI2" s="1251" t="s">
        <v>465</v>
      </c>
      <c r="AJ2" s="1249" t="s">
        <v>466</v>
      </c>
    </row>
    <row r="3" spans="1:38" s="541" customFormat="1" ht="36" customHeight="1">
      <c r="A3" s="540"/>
      <c r="B3" s="1380"/>
      <c r="C3" s="1382"/>
      <c r="D3" s="1382"/>
      <c r="E3" s="542" t="s">
        <v>74</v>
      </c>
      <c r="F3" s="543" t="s">
        <v>458</v>
      </c>
      <c r="G3" s="543" t="s">
        <v>75</v>
      </c>
      <c r="H3" s="543" t="s">
        <v>76</v>
      </c>
      <c r="I3" s="543" t="s">
        <v>77</v>
      </c>
      <c r="J3" s="543" t="s">
        <v>78</v>
      </c>
      <c r="K3" s="544" t="s">
        <v>79</v>
      </c>
      <c r="L3" s="201" t="s">
        <v>80</v>
      </c>
      <c r="M3" s="1253" t="s">
        <v>14</v>
      </c>
      <c r="N3" s="1253"/>
      <c r="O3" s="1253"/>
      <c r="P3" s="1253"/>
      <c r="Q3" s="1253"/>
      <c r="R3" s="1253"/>
      <c r="S3" s="1253"/>
      <c r="T3" s="1253"/>
      <c r="U3" s="1262"/>
      <c r="V3" s="815" t="s">
        <v>81</v>
      </c>
      <c r="W3" s="815" t="s">
        <v>82</v>
      </c>
      <c r="X3" s="815" t="s">
        <v>83</v>
      </c>
      <c r="Y3" s="815" t="s">
        <v>84</v>
      </c>
      <c r="Z3" s="815" t="s">
        <v>85</v>
      </c>
      <c r="AA3" s="815" t="s">
        <v>86</v>
      </c>
      <c r="AB3" s="815" t="s">
        <v>87</v>
      </c>
      <c r="AC3" s="815" t="s">
        <v>89</v>
      </c>
      <c r="AD3" s="1255"/>
      <c r="AE3" s="1255"/>
      <c r="AF3" s="1259"/>
      <c r="AG3" s="1252"/>
      <c r="AH3" s="1269"/>
      <c r="AI3" s="1252"/>
      <c r="AJ3" s="1250"/>
    </row>
    <row r="4" spans="1:38" s="549" customFormat="1" ht="27" customHeight="1">
      <c r="A4" s="545"/>
      <c r="B4" s="546" t="s">
        <v>1129</v>
      </c>
      <c r="C4" s="547" t="s">
        <v>1130</v>
      </c>
      <c r="D4" s="205"/>
      <c r="E4" s="548"/>
      <c r="F4" s="204"/>
      <c r="G4" s="204"/>
      <c r="H4" s="204"/>
      <c r="I4" s="204"/>
      <c r="J4" s="204"/>
      <c r="K4" s="204"/>
      <c r="L4" s="506"/>
      <c r="M4" s="507"/>
      <c r="N4" s="507"/>
      <c r="O4" s="507"/>
      <c r="P4" s="507"/>
      <c r="Q4" s="507"/>
      <c r="R4" s="507"/>
      <c r="S4" s="507"/>
      <c r="T4" s="508"/>
      <c r="U4" s="489"/>
      <c r="V4" s="205"/>
      <c r="W4" s="205"/>
      <c r="X4" s="205"/>
      <c r="Y4" s="205"/>
      <c r="Z4" s="205"/>
      <c r="AA4" s="205"/>
      <c r="AB4" s="205"/>
      <c r="AC4" s="205"/>
      <c r="AD4" s="206"/>
      <c r="AE4" s="206"/>
      <c r="AF4" s="206"/>
      <c r="AG4" s="207"/>
      <c r="AH4" s="972"/>
      <c r="AI4" s="973"/>
      <c r="AJ4" s="204"/>
    </row>
    <row r="5" spans="1:38" s="557" customFormat="1" ht="27" customHeight="1" thickBot="1">
      <c r="A5" s="550" t="s">
        <v>34</v>
      </c>
      <c r="B5" s="551" t="s">
        <v>1131</v>
      </c>
      <c r="C5" s="552" t="s">
        <v>1132</v>
      </c>
      <c r="D5" s="553"/>
      <c r="E5" s="554"/>
      <c r="F5" s="555"/>
      <c r="G5" s="144"/>
      <c r="H5" s="144"/>
      <c r="I5" s="144"/>
      <c r="J5" s="144"/>
      <c r="K5" s="144"/>
      <c r="L5" s="143"/>
      <c r="M5" s="144"/>
      <c r="N5" s="144"/>
      <c r="O5" s="144"/>
      <c r="P5" s="144"/>
      <c r="Q5" s="144"/>
      <c r="R5" s="144"/>
      <c r="S5" s="144"/>
      <c r="T5" s="483"/>
      <c r="U5" s="145"/>
      <c r="V5" s="146"/>
      <c r="W5" s="146"/>
      <c r="X5" s="146"/>
      <c r="Y5" s="146"/>
      <c r="Z5" s="146"/>
      <c r="AA5" s="146"/>
      <c r="AB5" s="146"/>
      <c r="AC5" s="146"/>
      <c r="AD5" s="145"/>
      <c r="AE5" s="145"/>
      <c r="AF5" s="145"/>
      <c r="AG5" s="147"/>
      <c r="AH5" s="747"/>
      <c r="AI5" s="147"/>
      <c r="AJ5" s="144"/>
      <c r="AK5" s="556"/>
      <c r="AL5" s="556"/>
    </row>
    <row r="6" spans="1:38" s="567" customFormat="1" ht="114.75" customHeight="1">
      <c r="A6" s="558" t="s">
        <v>2</v>
      </c>
      <c r="B6" s="559"/>
      <c r="C6" s="1426" t="s">
        <v>1133</v>
      </c>
      <c r="D6" s="1562" t="s">
        <v>1134</v>
      </c>
      <c r="E6" s="1488" t="s">
        <v>1228</v>
      </c>
      <c r="F6" s="1328" t="s">
        <v>1141</v>
      </c>
      <c r="G6" s="831" t="s">
        <v>91</v>
      </c>
      <c r="H6" s="829" t="s">
        <v>254</v>
      </c>
      <c r="I6" s="1595" t="s">
        <v>1140</v>
      </c>
      <c r="J6" s="828" t="s">
        <v>943</v>
      </c>
      <c r="K6" s="1018"/>
      <c r="L6" s="1597" t="s">
        <v>1137</v>
      </c>
      <c r="M6" s="1599" t="s">
        <v>1066</v>
      </c>
      <c r="N6" s="1599"/>
      <c r="O6" s="1599"/>
      <c r="P6" s="1599"/>
      <c r="Q6" s="1599"/>
      <c r="R6" s="1600" t="s">
        <v>1067</v>
      </c>
      <c r="S6" s="1600"/>
      <c r="T6" s="1601"/>
      <c r="U6" s="1159" t="s">
        <v>11</v>
      </c>
      <c r="V6" s="823"/>
      <c r="W6" s="823"/>
      <c r="X6" s="823"/>
      <c r="Y6" s="831"/>
      <c r="Z6" s="823"/>
      <c r="AA6" s="823"/>
      <c r="AB6" s="823"/>
      <c r="AC6" s="479"/>
      <c r="AD6" s="480"/>
      <c r="AE6" s="480"/>
      <c r="AF6" s="922"/>
      <c r="AG6" s="56"/>
      <c r="AH6" s="1162" t="s">
        <v>44</v>
      </c>
      <c r="AI6" s="56"/>
      <c r="AJ6" s="191"/>
      <c r="AK6" s="566"/>
      <c r="AL6" s="566"/>
    </row>
    <row r="7" spans="1:38" s="200" customFormat="1" ht="16.5" customHeight="1">
      <c r="A7" s="625"/>
      <c r="B7" s="626"/>
      <c r="C7" s="1427"/>
      <c r="D7" s="1563"/>
      <c r="E7" s="1489"/>
      <c r="F7" s="1329"/>
      <c r="G7" s="832"/>
      <c r="H7" s="830"/>
      <c r="I7" s="1596"/>
      <c r="J7" s="916"/>
      <c r="K7" s="1019"/>
      <c r="L7" s="1598"/>
      <c r="M7" s="1602" t="s">
        <v>1138</v>
      </c>
      <c r="N7" s="1602" t="s">
        <v>1069</v>
      </c>
      <c r="O7" s="1602"/>
      <c r="P7" s="1602" t="s">
        <v>691</v>
      </c>
      <c r="Q7" s="1602" t="s">
        <v>1071</v>
      </c>
      <c r="R7" s="1602" t="s">
        <v>1069</v>
      </c>
      <c r="S7" s="1602"/>
      <c r="T7" s="1603" t="s">
        <v>691</v>
      </c>
      <c r="U7" s="1160"/>
      <c r="V7" s="824"/>
      <c r="W7" s="824"/>
      <c r="X7" s="824"/>
      <c r="Y7" s="832"/>
      <c r="Z7" s="824"/>
      <c r="AA7" s="824"/>
      <c r="AB7" s="824"/>
      <c r="AC7" s="481"/>
      <c r="AD7" s="482"/>
      <c r="AE7" s="482"/>
      <c r="AF7" s="888"/>
      <c r="AG7" s="59"/>
      <c r="AH7" s="1163"/>
      <c r="AI7" s="59"/>
      <c r="AJ7" s="213"/>
      <c r="AK7" s="628"/>
      <c r="AL7" s="628"/>
    </row>
    <row r="8" spans="1:38" s="567" customFormat="1">
      <c r="A8" s="558"/>
      <c r="B8" s="559"/>
      <c r="C8" s="1427"/>
      <c r="D8" s="1563"/>
      <c r="E8" s="1489"/>
      <c r="F8" s="1329"/>
      <c r="G8" s="832"/>
      <c r="H8" s="830"/>
      <c r="I8" s="1596"/>
      <c r="J8" s="916"/>
      <c r="K8" s="1020"/>
      <c r="L8" s="1598"/>
      <c r="M8" s="1602"/>
      <c r="N8" s="1602"/>
      <c r="O8" s="1602"/>
      <c r="P8" s="1602"/>
      <c r="Q8" s="1602"/>
      <c r="R8" s="1602"/>
      <c r="S8" s="1602"/>
      <c r="T8" s="1603"/>
      <c r="U8" s="1160"/>
      <c r="V8" s="824"/>
      <c r="W8" s="824"/>
      <c r="X8" s="824"/>
      <c r="Y8" s="832"/>
      <c r="Z8" s="824"/>
      <c r="AA8" s="824"/>
      <c r="AB8" s="824"/>
      <c r="AC8" s="481"/>
      <c r="AD8" s="482"/>
      <c r="AE8" s="482"/>
      <c r="AF8" s="888"/>
      <c r="AG8" s="59"/>
      <c r="AH8" s="1163"/>
      <c r="AI8" s="59"/>
      <c r="AJ8" s="213"/>
      <c r="AK8" s="566"/>
      <c r="AL8" s="566"/>
    </row>
    <row r="9" spans="1:38" s="567" customFormat="1">
      <c r="A9" s="558"/>
      <c r="B9" s="559"/>
      <c r="C9" s="1427"/>
      <c r="D9" s="1563"/>
      <c r="E9" s="1489"/>
      <c r="F9" s="1329"/>
      <c r="G9" s="832"/>
      <c r="H9" s="830"/>
      <c r="I9" s="1596"/>
      <c r="J9" s="916"/>
      <c r="K9" s="1021" t="s">
        <v>341</v>
      </c>
      <c r="L9" s="1007"/>
      <c r="M9" s="930"/>
      <c r="N9" s="1452"/>
      <c r="O9" s="1452"/>
      <c r="P9" s="930"/>
      <c r="Q9" s="930"/>
      <c r="R9" s="1452"/>
      <c r="S9" s="1452"/>
      <c r="T9" s="1025"/>
      <c r="U9" s="1160"/>
      <c r="V9" s="824"/>
      <c r="W9" s="824"/>
      <c r="X9" s="824"/>
      <c r="Y9" s="832"/>
      <c r="Z9" s="824"/>
      <c r="AA9" s="824"/>
      <c r="AB9" s="824"/>
      <c r="AC9" s="481"/>
      <c r="AD9" s="482"/>
      <c r="AE9" s="482"/>
      <c r="AF9" s="888"/>
      <c r="AG9" s="59"/>
      <c r="AH9" s="1163"/>
      <c r="AI9" s="59"/>
      <c r="AJ9" s="213"/>
      <c r="AK9" s="566"/>
      <c r="AL9" s="566"/>
    </row>
    <row r="10" spans="1:38" s="567" customFormat="1" ht="18" thickBot="1">
      <c r="A10" s="558"/>
      <c r="B10" s="559"/>
      <c r="C10" s="573"/>
      <c r="D10" s="868"/>
      <c r="E10" s="575"/>
      <c r="F10" s="1329"/>
      <c r="G10" s="832"/>
      <c r="H10" s="830"/>
      <c r="I10" s="1596"/>
      <c r="J10" s="916"/>
      <c r="K10" s="1005" t="s">
        <v>138</v>
      </c>
      <c r="L10" s="1632"/>
      <c r="M10" s="1633"/>
      <c r="N10" s="1633"/>
      <c r="O10" s="1633"/>
      <c r="P10" s="1633"/>
      <c r="Q10" s="1633"/>
      <c r="R10" s="1633"/>
      <c r="S10" s="1633"/>
      <c r="T10" s="1634"/>
      <c r="U10" s="1160"/>
      <c r="V10" s="824"/>
      <c r="W10" s="824"/>
      <c r="X10" s="824"/>
      <c r="Y10" s="832"/>
      <c r="Z10" s="824"/>
      <c r="AA10" s="824"/>
      <c r="AB10" s="824"/>
      <c r="AC10" s="481"/>
      <c r="AD10" s="482"/>
      <c r="AE10" s="482"/>
      <c r="AF10" s="888"/>
      <c r="AG10" s="59"/>
      <c r="AH10" s="1163"/>
      <c r="AI10" s="59"/>
      <c r="AJ10" s="213"/>
      <c r="AK10" s="566"/>
      <c r="AL10" s="566"/>
    </row>
    <row r="11" spans="1:38" s="567" customFormat="1">
      <c r="A11" s="558"/>
      <c r="B11" s="559"/>
      <c r="C11" s="573"/>
      <c r="D11" s="868"/>
      <c r="E11" s="575"/>
      <c r="F11" s="1329"/>
      <c r="G11" s="832"/>
      <c r="H11" s="830"/>
      <c r="I11" s="1596"/>
      <c r="J11" s="916"/>
      <c r="K11" s="1022" t="s">
        <v>349</v>
      </c>
      <c r="L11" s="1007"/>
      <c r="M11" s="930"/>
      <c r="N11" s="1452"/>
      <c r="O11" s="1452"/>
      <c r="P11" s="930"/>
      <c r="Q11" s="930"/>
      <c r="R11" s="1452"/>
      <c r="S11" s="1452"/>
      <c r="T11" s="1025"/>
      <c r="U11" s="1160"/>
      <c r="V11" s="824"/>
      <c r="W11" s="824"/>
      <c r="X11" s="824"/>
      <c r="Y11" s="832"/>
      <c r="Z11" s="824"/>
      <c r="AA11" s="824"/>
      <c r="AB11" s="824"/>
      <c r="AC11" s="481"/>
      <c r="AD11" s="482"/>
      <c r="AE11" s="482"/>
      <c r="AF11" s="888"/>
      <c r="AG11" s="59"/>
      <c r="AH11" s="1163"/>
      <c r="AI11" s="59"/>
      <c r="AJ11" s="213"/>
      <c r="AK11" s="566"/>
      <c r="AL11" s="566"/>
    </row>
    <row r="12" spans="1:38" s="567" customFormat="1" ht="18" thickBot="1">
      <c r="A12" s="558"/>
      <c r="B12" s="559"/>
      <c r="C12" s="573"/>
      <c r="D12" s="868"/>
      <c r="E12" s="575"/>
      <c r="F12" s="1329"/>
      <c r="G12" s="832"/>
      <c r="H12" s="830"/>
      <c r="I12" s="1596"/>
      <c r="J12" s="916"/>
      <c r="K12" s="1005" t="s">
        <v>138</v>
      </c>
      <c r="L12" s="1632"/>
      <c r="M12" s="1633"/>
      <c r="N12" s="1633"/>
      <c r="O12" s="1633"/>
      <c r="P12" s="1633"/>
      <c r="Q12" s="1633"/>
      <c r="R12" s="1633"/>
      <c r="S12" s="1633"/>
      <c r="T12" s="1634"/>
      <c r="U12" s="1160"/>
      <c r="V12" s="824"/>
      <c r="W12" s="824"/>
      <c r="X12" s="824"/>
      <c r="Y12" s="832"/>
      <c r="Z12" s="824"/>
      <c r="AA12" s="824"/>
      <c r="AB12" s="824"/>
      <c r="AC12" s="481"/>
      <c r="AD12" s="482"/>
      <c r="AE12" s="482"/>
      <c r="AF12" s="888"/>
      <c r="AG12" s="59"/>
      <c r="AH12" s="1163"/>
      <c r="AI12" s="59"/>
      <c r="AJ12" s="213"/>
      <c r="AK12" s="566"/>
      <c r="AL12" s="566"/>
    </row>
    <row r="13" spans="1:38" s="567" customFormat="1">
      <c r="A13" s="558"/>
      <c r="B13" s="559"/>
      <c r="C13" s="573"/>
      <c r="D13" s="868"/>
      <c r="E13" s="575"/>
      <c r="F13" s="1329"/>
      <c r="G13" s="832"/>
      <c r="H13" s="830"/>
      <c r="I13" s="1596"/>
      <c r="J13" s="916"/>
      <c r="K13" s="1023" t="s">
        <v>1139</v>
      </c>
      <c r="L13" s="1007"/>
      <c r="M13" s="930"/>
      <c r="N13" s="1452"/>
      <c r="O13" s="1452"/>
      <c r="P13" s="930"/>
      <c r="Q13" s="930"/>
      <c r="R13" s="1452"/>
      <c r="S13" s="1452"/>
      <c r="T13" s="1025"/>
      <c r="U13" s="1160"/>
      <c r="V13" s="824"/>
      <c r="W13" s="824"/>
      <c r="X13" s="824"/>
      <c r="Y13" s="832"/>
      <c r="Z13" s="824"/>
      <c r="AA13" s="824"/>
      <c r="AB13" s="824"/>
      <c r="AC13" s="481"/>
      <c r="AD13" s="482"/>
      <c r="AE13" s="482"/>
      <c r="AF13" s="888"/>
      <c r="AG13" s="59"/>
      <c r="AH13" s="1163"/>
      <c r="AI13" s="59"/>
      <c r="AJ13" s="213"/>
      <c r="AK13" s="566"/>
      <c r="AL13" s="566"/>
    </row>
    <row r="14" spans="1:38" s="567" customFormat="1">
      <c r="A14" s="558"/>
      <c r="B14" s="559"/>
      <c r="C14" s="573"/>
      <c r="D14" s="868"/>
      <c r="E14" s="575"/>
      <c r="F14" s="1329"/>
      <c r="G14" s="832"/>
      <c r="H14" s="830"/>
      <c r="I14" s="1596"/>
      <c r="J14" s="916"/>
      <c r="K14" s="1041" t="s">
        <v>138</v>
      </c>
      <c r="L14" s="1635"/>
      <c r="M14" s="1636"/>
      <c r="N14" s="1636"/>
      <c r="O14" s="1636"/>
      <c r="P14" s="1636"/>
      <c r="Q14" s="1636"/>
      <c r="R14" s="1636"/>
      <c r="S14" s="1636"/>
      <c r="T14" s="1637"/>
      <c r="U14" s="1160"/>
      <c r="V14" s="824"/>
      <c r="W14" s="824"/>
      <c r="X14" s="824"/>
      <c r="Y14" s="832"/>
      <c r="Z14" s="824"/>
      <c r="AA14" s="824"/>
      <c r="AB14" s="824"/>
      <c r="AC14" s="481"/>
      <c r="AD14" s="482"/>
      <c r="AE14" s="482"/>
      <c r="AF14" s="888"/>
      <c r="AG14" s="59"/>
      <c r="AH14" s="1163"/>
      <c r="AI14" s="59"/>
      <c r="AJ14" s="213"/>
      <c r="AK14" s="566"/>
      <c r="AL14" s="566"/>
    </row>
    <row r="15" spans="1:38" s="567" customFormat="1" ht="26.5" customHeight="1">
      <c r="A15" s="558" t="s">
        <v>3</v>
      </c>
      <c r="B15" s="559"/>
      <c r="C15" s="629"/>
      <c r="D15" s="1507" t="s">
        <v>1135</v>
      </c>
      <c r="E15" s="895"/>
      <c r="F15" s="1329"/>
      <c r="G15" s="832"/>
      <c r="H15" s="830"/>
      <c r="I15" s="1596"/>
      <c r="J15" s="916"/>
      <c r="K15" s="898" t="s">
        <v>95</v>
      </c>
      <c r="L15" s="1042"/>
      <c r="M15" s="1042"/>
      <c r="N15" s="1042"/>
      <c r="O15" s="1042"/>
      <c r="P15" s="1042"/>
      <c r="Q15" s="1042"/>
      <c r="R15" s="1042"/>
      <c r="S15" s="1042"/>
      <c r="T15" s="1043"/>
      <c r="U15" s="1436" t="s">
        <v>11</v>
      </c>
      <c r="V15" s="822"/>
      <c r="W15" s="822"/>
      <c r="X15" s="822"/>
      <c r="Y15" s="232"/>
      <c r="Z15" s="822"/>
      <c r="AA15" s="822"/>
      <c r="AB15" s="822"/>
      <c r="AC15" s="233"/>
      <c r="AD15" s="234"/>
      <c r="AE15" s="234"/>
      <c r="AF15" s="478"/>
      <c r="AG15" s="235"/>
      <c r="AH15" s="473"/>
      <c r="AI15" s="235"/>
      <c r="AJ15" s="213"/>
      <c r="AK15" s="566"/>
      <c r="AL15" s="566"/>
    </row>
    <row r="16" spans="1:38" s="567" customFormat="1">
      <c r="A16" s="558"/>
      <c r="B16" s="559"/>
      <c r="C16" s="629"/>
      <c r="D16" s="1507"/>
      <c r="E16" s="895"/>
      <c r="F16" s="1329"/>
      <c r="G16" s="832"/>
      <c r="H16" s="830"/>
      <c r="I16" s="1596"/>
      <c r="J16" s="916"/>
      <c r="K16" s="898" t="s">
        <v>794</v>
      </c>
      <c r="L16" s="1011"/>
      <c r="M16" s="1011"/>
      <c r="N16" s="1011"/>
      <c r="O16" s="1011"/>
      <c r="P16" s="1011"/>
      <c r="Q16" s="1011"/>
      <c r="R16" s="1011"/>
      <c r="S16" s="1011"/>
      <c r="T16" s="1044"/>
      <c r="U16" s="1436"/>
      <c r="V16" s="822"/>
      <c r="W16" s="822"/>
      <c r="X16" s="822"/>
      <c r="Y16" s="232"/>
      <c r="Z16" s="822"/>
      <c r="AA16" s="822"/>
      <c r="AB16" s="822"/>
      <c r="AC16" s="233"/>
      <c r="AD16" s="234"/>
      <c r="AE16" s="234"/>
      <c r="AF16" s="478"/>
      <c r="AG16" s="235"/>
      <c r="AH16" s="473"/>
      <c r="AI16" s="235"/>
      <c r="AJ16" s="213"/>
      <c r="AK16" s="566"/>
      <c r="AL16" s="566"/>
    </row>
    <row r="17" spans="1:38" s="567" customFormat="1" ht="28">
      <c r="A17" s="558"/>
      <c r="B17" s="559"/>
      <c r="C17" s="629"/>
      <c r="D17" s="1507"/>
      <c r="E17" s="895"/>
      <c r="F17" s="1329"/>
      <c r="G17" s="832"/>
      <c r="H17" s="830"/>
      <c r="I17" s="1596"/>
      <c r="J17" s="916"/>
      <c r="K17" s="898" t="s">
        <v>693</v>
      </c>
      <c r="L17" s="1011"/>
      <c r="M17" s="1011"/>
      <c r="N17" s="1011"/>
      <c r="O17" s="1011"/>
      <c r="P17" s="1011"/>
      <c r="Q17" s="1011"/>
      <c r="R17" s="1011"/>
      <c r="S17" s="1011"/>
      <c r="T17" s="1011"/>
      <c r="U17" s="1436"/>
      <c r="V17" s="822"/>
      <c r="W17" s="822"/>
      <c r="X17" s="822"/>
      <c r="Y17" s="232"/>
      <c r="Z17" s="822"/>
      <c r="AA17" s="822"/>
      <c r="AB17" s="822"/>
      <c r="AC17" s="233"/>
      <c r="AD17" s="234"/>
      <c r="AE17" s="234"/>
      <c r="AF17" s="478"/>
      <c r="AG17" s="235"/>
      <c r="AH17" s="473"/>
      <c r="AI17" s="235"/>
      <c r="AJ17" s="213"/>
      <c r="AK17" s="566"/>
      <c r="AL17" s="566"/>
    </row>
    <row r="18" spans="1:38" s="567" customFormat="1">
      <c r="A18" s="558"/>
      <c r="B18" s="559"/>
      <c r="C18" s="629"/>
      <c r="D18" s="1507"/>
      <c r="E18" s="895"/>
      <c r="F18" s="1329"/>
      <c r="G18" s="832"/>
      <c r="H18" s="830"/>
      <c r="I18" s="1596"/>
      <c r="J18" s="916"/>
      <c r="K18" s="932" t="s">
        <v>96</v>
      </c>
      <c r="L18" s="1011"/>
      <c r="M18" s="1011"/>
      <c r="N18" s="1011"/>
      <c r="O18" s="1011"/>
      <c r="P18" s="1011"/>
      <c r="Q18" s="1011"/>
      <c r="R18" s="1011"/>
      <c r="S18" s="1011"/>
      <c r="T18" s="1011"/>
      <c r="U18" s="1436"/>
      <c r="V18" s="822"/>
      <c r="W18" s="822"/>
      <c r="X18" s="822"/>
      <c r="Y18" s="232"/>
      <c r="Z18" s="822"/>
      <c r="AA18" s="822"/>
      <c r="AB18" s="822"/>
      <c r="AC18" s="233"/>
      <c r="AD18" s="234"/>
      <c r="AE18" s="234"/>
      <c r="AF18" s="478"/>
      <c r="AG18" s="235"/>
      <c r="AH18" s="473"/>
      <c r="AI18" s="235"/>
      <c r="AJ18" s="213"/>
      <c r="AK18" s="566"/>
      <c r="AL18" s="566"/>
    </row>
    <row r="19" spans="1:38" s="567" customFormat="1" ht="26.5" customHeight="1">
      <c r="A19" s="558" t="s">
        <v>3</v>
      </c>
      <c r="B19" s="559"/>
      <c r="C19" s="629"/>
      <c r="D19" s="1507" t="s">
        <v>1136</v>
      </c>
      <c r="E19" s="895"/>
      <c r="F19" s="1329"/>
      <c r="G19" s="832"/>
      <c r="H19" s="830"/>
      <c r="I19" s="1596"/>
      <c r="J19" s="916"/>
      <c r="K19" s="934" t="s">
        <v>545</v>
      </c>
      <c r="L19" s="1011"/>
      <c r="M19" s="1011"/>
      <c r="N19" s="1011"/>
      <c r="O19" s="1011"/>
      <c r="P19" s="1011"/>
      <c r="Q19" s="1011"/>
      <c r="R19" s="1011"/>
      <c r="S19" s="1011"/>
      <c r="T19" s="1011"/>
      <c r="U19" s="1436" t="s">
        <v>11</v>
      </c>
      <c r="V19" s="822"/>
      <c r="W19" s="822"/>
      <c r="X19" s="822"/>
      <c r="Y19" s="232"/>
      <c r="Z19" s="822"/>
      <c r="AA19" s="822"/>
      <c r="AB19" s="822"/>
      <c r="AC19" s="233"/>
      <c r="AD19" s="234"/>
      <c r="AE19" s="234"/>
      <c r="AF19" s="478"/>
      <c r="AG19" s="235"/>
      <c r="AH19" s="473"/>
      <c r="AI19" s="235"/>
      <c r="AJ19" s="213"/>
      <c r="AK19" s="566"/>
      <c r="AL19" s="566"/>
    </row>
    <row r="20" spans="1:38" s="567" customFormat="1">
      <c r="A20" s="558"/>
      <c r="B20" s="559"/>
      <c r="C20" s="629"/>
      <c r="D20" s="1507"/>
      <c r="E20" s="895"/>
      <c r="F20" s="1329"/>
      <c r="G20" s="832"/>
      <c r="H20" s="830"/>
      <c r="I20" s="824"/>
      <c r="J20" s="916"/>
      <c r="K20" s="898" t="s">
        <v>640</v>
      </c>
      <c r="L20" s="1011"/>
      <c r="M20" s="1011"/>
      <c r="N20" s="1011"/>
      <c r="O20" s="1011"/>
      <c r="P20" s="1011"/>
      <c r="Q20" s="1011"/>
      <c r="R20" s="1011"/>
      <c r="S20" s="1011"/>
      <c r="T20" s="1011"/>
      <c r="U20" s="1436"/>
      <c r="V20" s="822"/>
      <c r="W20" s="822"/>
      <c r="X20" s="822"/>
      <c r="Y20" s="232"/>
      <c r="Z20" s="822"/>
      <c r="AA20" s="822"/>
      <c r="AB20" s="822"/>
      <c r="AC20" s="233"/>
      <c r="AD20" s="234"/>
      <c r="AE20" s="234"/>
      <c r="AF20" s="478"/>
      <c r="AG20" s="235"/>
      <c r="AH20" s="473"/>
      <c r="AI20" s="235"/>
      <c r="AJ20" s="213"/>
      <c r="AK20" s="566"/>
      <c r="AL20" s="566"/>
    </row>
    <row r="21" spans="1:38" s="567" customFormat="1">
      <c r="A21" s="558"/>
      <c r="B21" s="559"/>
      <c r="C21" s="629"/>
      <c r="D21" s="1507"/>
      <c r="E21" s="895"/>
      <c r="F21" s="1329"/>
      <c r="G21" s="832"/>
      <c r="H21" s="830"/>
      <c r="I21" s="824"/>
      <c r="J21" s="916"/>
      <c r="K21" s="898" t="s">
        <v>655</v>
      </c>
      <c r="L21" s="1011"/>
      <c r="M21" s="1011"/>
      <c r="N21" s="1011"/>
      <c r="O21" s="1011"/>
      <c r="P21" s="1011"/>
      <c r="Q21" s="1011"/>
      <c r="R21" s="1011"/>
      <c r="S21" s="1011"/>
      <c r="T21" s="1011"/>
      <c r="U21" s="1436"/>
      <c r="V21" s="822"/>
      <c r="W21" s="822"/>
      <c r="X21" s="822"/>
      <c r="Y21" s="232"/>
      <c r="Z21" s="822"/>
      <c r="AA21" s="822"/>
      <c r="AB21" s="822"/>
      <c r="AC21" s="233"/>
      <c r="AD21" s="234"/>
      <c r="AE21" s="234"/>
      <c r="AF21" s="478"/>
      <c r="AG21" s="235"/>
      <c r="AH21" s="473"/>
      <c r="AI21" s="235"/>
      <c r="AJ21" s="213"/>
      <c r="AK21" s="566"/>
      <c r="AL21" s="566"/>
    </row>
    <row r="22" spans="1:38" s="567" customFormat="1" ht="18" thickBot="1">
      <c r="A22" s="558"/>
      <c r="B22" s="559"/>
      <c r="C22" s="671"/>
      <c r="D22" s="1508"/>
      <c r="E22" s="1035"/>
      <c r="F22" s="1513"/>
      <c r="G22" s="918"/>
      <c r="H22" s="915"/>
      <c r="I22" s="919"/>
      <c r="J22" s="917"/>
      <c r="K22" s="903" t="s">
        <v>553</v>
      </c>
      <c r="L22" s="1036"/>
      <c r="M22" s="1036"/>
      <c r="N22" s="1036"/>
      <c r="O22" s="1036"/>
      <c r="P22" s="1036"/>
      <c r="Q22" s="1036"/>
      <c r="R22" s="1036"/>
      <c r="S22" s="1036"/>
      <c r="T22" s="1036"/>
      <c r="U22" s="1437"/>
      <c r="V22" s="409"/>
      <c r="W22" s="409"/>
      <c r="X22" s="409"/>
      <c r="Y22" s="410"/>
      <c r="Z22" s="409"/>
      <c r="AA22" s="409"/>
      <c r="AB22" s="409"/>
      <c r="AC22" s="411"/>
      <c r="AD22" s="412"/>
      <c r="AE22" s="412"/>
      <c r="AF22" s="738"/>
      <c r="AG22" s="413"/>
      <c r="AH22" s="474"/>
      <c r="AI22" s="413"/>
      <c r="AJ22" s="422"/>
      <c r="AK22" s="566"/>
      <c r="AL22" s="566"/>
    </row>
    <row r="23" spans="1:38" s="567" customFormat="1" ht="114.75" customHeight="1">
      <c r="A23" s="558" t="s">
        <v>2</v>
      </c>
      <c r="B23" s="559"/>
      <c r="C23" s="1426" t="s">
        <v>1142</v>
      </c>
      <c r="D23" s="1562" t="s">
        <v>1143</v>
      </c>
      <c r="E23" s="1564" t="s">
        <v>1214</v>
      </c>
      <c r="F23" s="1328" t="s">
        <v>1149</v>
      </c>
      <c r="G23" s="831" t="s">
        <v>91</v>
      </c>
      <c r="H23" s="829" t="s">
        <v>254</v>
      </c>
      <c r="I23" s="1605" t="s">
        <v>1140</v>
      </c>
      <c r="J23" s="828" t="s">
        <v>943</v>
      </c>
      <c r="K23" s="1616"/>
      <c r="L23" s="1621" t="s">
        <v>1137</v>
      </c>
      <c r="M23" s="1599" t="s">
        <v>1066</v>
      </c>
      <c r="N23" s="1599"/>
      <c r="O23" s="1599"/>
      <c r="P23" s="1599"/>
      <c r="Q23" s="1607"/>
      <c r="R23" s="1608" t="s">
        <v>1144</v>
      </c>
      <c r="S23" s="1600"/>
      <c r="T23" s="1609"/>
      <c r="U23" s="1159" t="s">
        <v>11</v>
      </c>
      <c r="V23" s="823"/>
      <c r="W23" s="823"/>
      <c r="X23" s="823"/>
      <c r="Y23" s="831"/>
      <c r="Z23" s="823"/>
      <c r="AA23" s="823"/>
      <c r="AB23" s="823"/>
      <c r="AC23" s="479"/>
      <c r="AD23" s="480"/>
      <c r="AE23" s="480"/>
      <c r="AF23" s="922"/>
      <c r="AG23" s="56"/>
      <c r="AH23" s="1162" t="s">
        <v>44</v>
      </c>
      <c r="AI23" s="56"/>
      <c r="AJ23" s="191"/>
      <c r="AK23" s="566"/>
      <c r="AL23" s="566"/>
    </row>
    <row r="24" spans="1:38" s="200" customFormat="1" ht="16.5" customHeight="1">
      <c r="A24" s="625"/>
      <c r="B24" s="626"/>
      <c r="C24" s="1427"/>
      <c r="D24" s="1563"/>
      <c r="E24" s="1565"/>
      <c r="F24" s="1329"/>
      <c r="G24" s="832"/>
      <c r="H24" s="830"/>
      <c r="I24" s="1606"/>
      <c r="J24" s="916"/>
      <c r="K24" s="1617"/>
      <c r="L24" s="1622"/>
      <c r="M24" s="1624" t="s">
        <v>1069</v>
      </c>
      <c r="N24" s="1625"/>
      <c r="O24" s="1628" t="s">
        <v>691</v>
      </c>
      <c r="P24" s="1624" t="s">
        <v>1071</v>
      </c>
      <c r="Q24" s="1630"/>
      <c r="R24" s="1610" t="s">
        <v>1069</v>
      </c>
      <c r="S24" s="1611"/>
      <c r="T24" s="1614" t="s">
        <v>691</v>
      </c>
      <c r="U24" s="1160"/>
      <c r="V24" s="824"/>
      <c r="W24" s="824"/>
      <c r="X24" s="824"/>
      <c r="Y24" s="832"/>
      <c r="Z24" s="824"/>
      <c r="AA24" s="824"/>
      <c r="AB24" s="824"/>
      <c r="AC24" s="481"/>
      <c r="AD24" s="482"/>
      <c r="AE24" s="482"/>
      <c r="AF24" s="888"/>
      <c r="AG24" s="59"/>
      <c r="AH24" s="1163"/>
      <c r="AI24" s="59"/>
      <c r="AJ24" s="213"/>
      <c r="AK24" s="628"/>
      <c r="AL24" s="628"/>
    </row>
    <row r="25" spans="1:38" s="567" customFormat="1">
      <c r="A25" s="558"/>
      <c r="B25" s="559"/>
      <c r="C25" s="1427"/>
      <c r="D25" s="1563"/>
      <c r="E25" s="1565"/>
      <c r="F25" s="1329"/>
      <c r="G25" s="832"/>
      <c r="H25" s="830"/>
      <c r="I25" s="1606"/>
      <c r="J25" s="916"/>
      <c r="K25" s="1618"/>
      <c r="L25" s="1623"/>
      <c r="M25" s="1626"/>
      <c r="N25" s="1627"/>
      <c r="O25" s="1629"/>
      <c r="P25" s="1626"/>
      <c r="Q25" s="1631"/>
      <c r="R25" s="1612"/>
      <c r="S25" s="1613"/>
      <c r="T25" s="1615"/>
      <c r="U25" s="1160"/>
      <c r="V25" s="824"/>
      <c r="W25" s="824"/>
      <c r="X25" s="824"/>
      <c r="Y25" s="832"/>
      <c r="Z25" s="824"/>
      <c r="AA25" s="824"/>
      <c r="AB25" s="824"/>
      <c r="AC25" s="481"/>
      <c r="AD25" s="482"/>
      <c r="AE25" s="482"/>
      <c r="AF25" s="888"/>
      <c r="AG25" s="59"/>
      <c r="AH25" s="1163"/>
      <c r="AI25" s="59"/>
      <c r="AJ25" s="213"/>
      <c r="AK25" s="566"/>
      <c r="AL25" s="566"/>
    </row>
    <row r="26" spans="1:38" s="567" customFormat="1" ht="42">
      <c r="A26" s="558"/>
      <c r="B26" s="559"/>
      <c r="C26" s="1427"/>
      <c r="D26" s="1563"/>
      <c r="E26" s="1565"/>
      <c r="F26" s="1329"/>
      <c r="G26" s="832"/>
      <c r="H26" s="830"/>
      <c r="I26" s="1606"/>
      <c r="J26" s="916"/>
      <c r="K26" s="1008" t="s">
        <v>1145</v>
      </c>
      <c r="L26" s="1007"/>
      <c r="M26" s="1524"/>
      <c r="N26" s="1604"/>
      <c r="O26" s="929"/>
      <c r="P26" s="1619"/>
      <c r="Q26" s="1620"/>
      <c r="R26" s="1524"/>
      <c r="S26" s="1604"/>
      <c r="T26" s="976"/>
      <c r="U26" s="1160"/>
      <c r="V26" s="824"/>
      <c r="W26" s="824"/>
      <c r="X26" s="824"/>
      <c r="Y26" s="832"/>
      <c r="Z26" s="824"/>
      <c r="AA26" s="824"/>
      <c r="AB26" s="824"/>
      <c r="AC26" s="481"/>
      <c r="AD26" s="482"/>
      <c r="AE26" s="482"/>
      <c r="AF26" s="888"/>
      <c r="AG26" s="59"/>
      <c r="AH26" s="1163"/>
      <c r="AI26" s="59"/>
      <c r="AJ26" s="213"/>
      <c r="AK26" s="566"/>
      <c r="AL26" s="566"/>
    </row>
    <row r="27" spans="1:38" s="567" customFormat="1" ht="42">
      <c r="A27" s="558"/>
      <c r="B27" s="559"/>
      <c r="C27" s="573"/>
      <c r="D27" s="868"/>
      <c r="E27" s="575"/>
      <c r="F27" s="1329"/>
      <c r="G27" s="832"/>
      <c r="H27" s="830"/>
      <c r="I27" s="1606"/>
      <c r="J27" s="916"/>
      <c r="K27" s="1008" t="s">
        <v>1146</v>
      </c>
      <c r="L27" s="1007"/>
      <c r="M27" s="1524"/>
      <c r="N27" s="1604"/>
      <c r="O27" s="929"/>
      <c r="P27" s="1619"/>
      <c r="Q27" s="1620"/>
      <c r="R27" s="1524"/>
      <c r="S27" s="1604"/>
      <c r="T27" s="976"/>
      <c r="U27" s="1160"/>
      <c r="V27" s="824"/>
      <c r="W27" s="824"/>
      <c r="X27" s="824"/>
      <c r="Y27" s="832"/>
      <c r="Z27" s="824"/>
      <c r="AA27" s="824"/>
      <c r="AB27" s="824"/>
      <c r="AC27" s="481"/>
      <c r="AD27" s="482"/>
      <c r="AE27" s="482"/>
      <c r="AF27" s="888"/>
      <c r="AG27" s="59"/>
      <c r="AH27" s="1163"/>
      <c r="AI27" s="59"/>
      <c r="AJ27" s="213"/>
      <c r="AK27" s="566"/>
      <c r="AL27" s="566"/>
    </row>
    <row r="28" spans="1:38" s="567" customFormat="1">
      <c r="A28" s="558"/>
      <c r="B28" s="559"/>
      <c r="C28" s="573"/>
      <c r="D28" s="868"/>
      <c r="E28" s="575"/>
      <c r="F28" s="1329"/>
      <c r="G28" s="832"/>
      <c r="H28" s="830"/>
      <c r="I28" s="1606"/>
      <c r="J28" s="916"/>
      <c r="K28" s="1008" t="s">
        <v>1147</v>
      </c>
      <c r="L28" s="1007"/>
      <c r="M28" s="1524"/>
      <c r="N28" s="1604"/>
      <c r="O28" s="929"/>
      <c r="P28" s="1619"/>
      <c r="Q28" s="1620"/>
      <c r="R28" s="1524"/>
      <c r="S28" s="1604"/>
      <c r="T28" s="976"/>
      <c r="U28" s="1160"/>
      <c r="V28" s="824"/>
      <c r="W28" s="824"/>
      <c r="X28" s="824"/>
      <c r="Y28" s="832"/>
      <c r="Z28" s="824"/>
      <c r="AA28" s="824"/>
      <c r="AB28" s="824"/>
      <c r="AC28" s="481"/>
      <c r="AD28" s="482"/>
      <c r="AE28" s="482"/>
      <c r="AF28" s="888"/>
      <c r="AG28" s="59"/>
      <c r="AH28" s="1163"/>
      <c r="AI28" s="59"/>
      <c r="AJ28" s="213"/>
      <c r="AK28" s="566"/>
      <c r="AL28" s="566"/>
    </row>
    <row r="29" spans="1:38" s="567" customFormat="1">
      <c r="A29" s="558"/>
      <c r="B29" s="559"/>
      <c r="C29" s="573"/>
      <c r="D29" s="868"/>
      <c r="E29" s="575"/>
      <c r="F29" s="1329"/>
      <c r="G29" s="832"/>
      <c r="H29" s="830"/>
      <c r="I29" s="1606"/>
      <c r="J29" s="916"/>
      <c r="K29" s="1009" t="s">
        <v>1148</v>
      </c>
      <c r="L29" s="1007"/>
      <c r="M29" s="1524"/>
      <c r="N29" s="1604"/>
      <c r="O29" s="929"/>
      <c r="P29" s="1619"/>
      <c r="Q29" s="1620"/>
      <c r="R29" s="1524"/>
      <c r="S29" s="1604"/>
      <c r="T29" s="1024"/>
      <c r="U29" s="1160"/>
      <c r="V29" s="824"/>
      <c r="W29" s="824"/>
      <c r="X29" s="824"/>
      <c r="Y29" s="832"/>
      <c r="Z29" s="824"/>
      <c r="AA29" s="824"/>
      <c r="AB29" s="824"/>
      <c r="AC29" s="481"/>
      <c r="AD29" s="482"/>
      <c r="AE29" s="482"/>
      <c r="AF29" s="888"/>
      <c r="AG29" s="59"/>
      <c r="AH29" s="1163"/>
      <c r="AI29" s="59"/>
      <c r="AJ29" s="213"/>
      <c r="AK29" s="566"/>
      <c r="AL29" s="566"/>
    </row>
    <row r="30" spans="1:38" s="567" customFormat="1" ht="26.5" customHeight="1">
      <c r="A30" s="558" t="s">
        <v>3</v>
      </c>
      <c r="B30" s="559"/>
      <c r="C30" s="629"/>
      <c r="D30" s="1507" t="s">
        <v>1176</v>
      </c>
      <c r="E30" s="895"/>
      <c r="F30" s="1329"/>
      <c r="G30" s="832"/>
      <c r="H30" s="830"/>
      <c r="I30" s="1606"/>
      <c r="J30" s="916"/>
      <c r="K30" s="1010" t="s">
        <v>95</v>
      </c>
      <c r="L30" s="1011"/>
      <c r="M30" s="1011"/>
      <c r="N30" s="1011"/>
      <c r="O30" s="1011"/>
      <c r="P30" s="1011"/>
      <c r="Q30" s="1011"/>
      <c r="R30" s="1011"/>
      <c r="S30" s="1011"/>
      <c r="T30" s="1011"/>
      <c r="U30" s="1436" t="s">
        <v>11</v>
      </c>
      <c r="V30" s="822"/>
      <c r="W30" s="822"/>
      <c r="X30" s="822"/>
      <c r="Y30" s="232"/>
      <c r="Z30" s="822"/>
      <c r="AA30" s="822"/>
      <c r="AB30" s="822"/>
      <c r="AC30" s="233"/>
      <c r="AD30" s="234"/>
      <c r="AE30" s="234"/>
      <c r="AF30" s="478"/>
      <c r="AG30" s="235"/>
      <c r="AH30" s="473"/>
      <c r="AI30" s="235"/>
      <c r="AJ30" s="213"/>
      <c r="AK30" s="566"/>
      <c r="AL30" s="566"/>
    </row>
    <row r="31" spans="1:38" s="567" customFormat="1">
      <c r="A31" s="558"/>
      <c r="B31" s="559"/>
      <c r="C31" s="629"/>
      <c r="D31" s="1507"/>
      <c r="E31" s="895"/>
      <c r="F31" s="1329"/>
      <c r="G31" s="832"/>
      <c r="H31" s="830"/>
      <c r="I31" s="1606"/>
      <c r="J31" s="916"/>
      <c r="K31" s="898" t="s">
        <v>794</v>
      </c>
      <c r="L31" s="1011"/>
      <c r="M31" s="1011"/>
      <c r="N31" s="1011"/>
      <c r="O31" s="1011"/>
      <c r="P31" s="1011"/>
      <c r="Q31" s="1011"/>
      <c r="R31" s="1011"/>
      <c r="S31" s="1011"/>
      <c r="T31" s="1011"/>
      <c r="U31" s="1436"/>
      <c r="V31" s="822"/>
      <c r="W31" s="822"/>
      <c r="X31" s="822"/>
      <c r="Y31" s="232"/>
      <c r="Z31" s="822"/>
      <c r="AA31" s="822"/>
      <c r="AB31" s="822"/>
      <c r="AC31" s="233"/>
      <c r="AD31" s="234"/>
      <c r="AE31" s="234"/>
      <c r="AF31" s="478"/>
      <c r="AG31" s="235"/>
      <c r="AH31" s="473"/>
      <c r="AI31" s="235"/>
      <c r="AJ31" s="213"/>
      <c r="AK31" s="566"/>
      <c r="AL31" s="566"/>
    </row>
    <row r="32" spans="1:38" s="567" customFormat="1" ht="28">
      <c r="A32" s="558"/>
      <c r="B32" s="559"/>
      <c r="C32" s="629"/>
      <c r="D32" s="1507"/>
      <c r="E32" s="895"/>
      <c r="F32" s="1329"/>
      <c r="G32" s="832"/>
      <c r="H32" s="830"/>
      <c r="I32" s="1606"/>
      <c r="J32" s="916"/>
      <c r="K32" s="898" t="s">
        <v>693</v>
      </c>
      <c r="L32" s="1011"/>
      <c r="M32" s="1011"/>
      <c r="N32" s="1011"/>
      <c r="O32" s="1011"/>
      <c r="P32" s="1011"/>
      <c r="Q32" s="1011"/>
      <c r="R32" s="1011"/>
      <c r="S32" s="1011"/>
      <c r="T32" s="1011"/>
      <c r="U32" s="1436"/>
      <c r="V32" s="822"/>
      <c r="W32" s="822"/>
      <c r="X32" s="822"/>
      <c r="Y32" s="232"/>
      <c r="Z32" s="822"/>
      <c r="AA32" s="822"/>
      <c r="AB32" s="822"/>
      <c r="AC32" s="233"/>
      <c r="AD32" s="234"/>
      <c r="AE32" s="234"/>
      <c r="AF32" s="478"/>
      <c r="AG32" s="235"/>
      <c r="AH32" s="473"/>
      <c r="AI32" s="235"/>
      <c r="AJ32" s="213"/>
      <c r="AK32" s="566"/>
      <c r="AL32" s="566"/>
    </row>
    <row r="33" spans="1:38" s="567" customFormat="1">
      <c r="A33" s="558"/>
      <c r="B33" s="559"/>
      <c r="C33" s="629"/>
      <c r="D33" s="1507"/>
      <c r="E33" s="895"/>
      <c r="F33" s="1329"/>
      <c r="G33" s="832"/>
      <c r="H33" s="830"/>
      <c r="I33" s="1606"/>
      <c r="J33" s="916"/>
      <c r="K33" s="898" t="s">
        <v>96</v>
      </c>
      <c r="L33" s="1011"/>
      <c r="M33" s="1011"/>
      <c r="N33" s="1011"/>
      <c r="O33" s="1011"/>
      <c r="P33" s="1011"/>
      <c r="Q33" s="1011"/>
      <c r="R33" s="1011"/>
      <c r="S33" s="1011"/>
      <c r="T33" s="1011"/>
      <c r="U33" s="1436"/>
      <c r="V33" s="822"/>
      <c r="W33" s="822"/>
      <c r="X33" s="822"/>
      <c r="Y33" s="232"/>
      <c r="Z33" s="822"/>
      <c r="AA33" s="822"/>
      <c r="AB33" s="822"/>
      <c r="AC33" s="233"/>
      <c r="AD33" s="234"/>
      <c r="AE33" s="234"/>
      <c r="AF33" s="478"/>
      <c r="AG33" s="235"/>
      <c r="AH33" s="473"/>
      <c r="AI33" s="235"/>
      <c r="AJ33" s="213"/>
      <c r="AK33" s="566"/>
      <c r="AL33" s="566"/>
    </row>
    <row r="34" spans="1:38" s="567" customFormat="1" ht="26.5" customHeight="1">
      <c r="A34" s="558" t="s">
        <v>3</v>
      </c>
      <c r="B34" s="559"/>
      <c r="C34" s="629"/>
      <c r="D34" s="1507" t="s">
        <v>1177</v>
      </c>
      <c r="E34" s="895"/>
      <c r="F34" s="1329"/>
      <c r="G34" s="832"/>
      <c r="H34" s="830"/>
      <c r="I34" s="1606"/>
      <c r="J34" s="916"/>
      <c r="K34" s="898" t="s">
        <v>545</v>
      </c>
      <c r="L34" s="931"/>
      <c r="M34" s="931"/>
      <c r="N34" s="931"/>
      <c r="O34" s="931"/>
      <c r="P34" s="931"/>
      <c r="Q34" s="931"/>
      <c r="R34" s="931"/>
      <c r="S34" s="931"/>
      <c r="T34" s="931"/>
      <c r="U34" s="1436" t="s">
        <v>11</v>
      </c>
      <c r="V34" s="822"/>
      <c r="W34" s="822"/>
      <c r="X34" s="822"/>
      <c r="Y34" s="232"/>
      <c r="Z34" s="822"/>
      <c r="AA34" s="822"/>
      <c r="AB34" s="822"/>
      <c r="AC34" s="233"/>
      <c r="AD34" s="234"/>
      <c r="AE34" s="234"/>
      <c r="AF34" s="478"/>
      <c r="AG34" s="235"/>
      <c r="AH34" s="473"/>
      <c r="AI34" s="235"/>
      <c r="AJ34" s="213"/>
      <c r="AK34" s="566"/>
      <c r="AL34" s="566"/>
    </row>
    <row r="35" spans="1:38" s="567" customFormat="1">
      <c r="A35" s="558"/>
      <c r="B35" s="559"/>
      <c r="C35" s="629"/>
      <c r="D35" s="1507"/>
      <c r="E35" s="895"/>
      <c r="F35" s="1329"/>
      <c r="G35" s="832"/>
      <c r="H35" s="830"/>
      <c r="I35" s="824"/>
      <c r="J35" s="916"/>
      <c r="K35" s="898" t="s">
        <v>640</v>
      </c>
      <c r="L35" s="931"/>
      <c r="M35" s="931"/>
      <c r="N35" s="931"/>
      <c r="O35" s="931"/>
      <c r="P35" s="931"/>
      <c r="Q35" s="931"/>
      <c r="R35" s="931"/>
      <c r="S35" s="931"/>
      <c r="T35" s="931"/>
      <c r="U35" s="1436"/>
      <c r="V35" s="822"/>
      <c r="W35" s="822"/>
      <c r="X35" s="822"/>
      <c r="Y35" s="232"/>
      <c r="Z35" s="822"/>
      <c r="AA35" s="822"/>
      <c r="AB35" s="822"/>
      <c r="AC35" s="233"/>
      <c r="AD35" s="234"/>
      <c r="AE35" s="234"/>
      <c r="AF35" s="478"/>
      <c r="AG35" s="235"/>
      <c r="AH35" s="473"/>
      <c r="AI35" s="235"/>
      <c r="AJ35" s="213"/>
      <c r="AK35" s="566"/>
      <c r="AL35" s="566"/>
    </row>
    <row r="36" spans="1:38" s="567" customFormat="1">
      <c r="A36" s="558"/>
      <c r="B36" s="559"/>
      <c r="C36" s="629"/>
      <c r="D36" s="1507"/>
      <c r="E36" s="895"/>
      <c r="F36" s="1329"/>
      <c r="G36" s="832"/>
      <c r="H36" s="830"/>
      <c r="I36" s="824"/>
      <c r="J36" s="916"/>
      <c r="K36" s="898" t="s">
        <v>655</v>
      </c>
      <c r="L36" s="931"/>
      <c r="M36" s="931"/>
      <c r="N36" s="931"/>
      <c r="O36" s="931"/>
      <c r="P36" s="931"/>
      <c r="Q36" s="931"/>
      <c r="R36" s="931"/>
      <c r="S36" s="931"/>
      <c r="T36" s="931"/>
      <c r="U36" s="1436"/>
      <c r="V36" s="822"/>
      <c r="W36" s="822"/>
      <c r="X36" s="822"/>
      <c r="Y36" s="232"/>
      <c r="Z36" s="822"/>
      <c r="AA36" s="822"/>
      <c r="AB36" s="822"/>
      <c r="AC36" s="233"/>
      <c r="AD36" s="234"/>
      <c r="AE36" s="234"/>
      <c r="AF36" s="478"/>
      <c r="AG36" s="235"/>
      <c r="AH36" s="473"/>
      <c r="AI36" s="235"/>
      <c r="AJ36" s="213"/>
      <c r="AK36" s="566"/>
      <c r="AL36" s="566"/>
    </row>
    <row r="37" spans="1:38" s="567" customFormat="1" ht="18" thickBot="1">
      <c r="A37" s="558"/>
      <c r="B37" s="559"/>
      <c r="C37" s="629"/>
      <c r="D37" s="1507"/>
      <c r="E37" s="895"/>
      <c r="F37" s="1329"/>
      <c r="G37" s="832"/>
      <c r="H37" s="830"/>
      <c r="I37" s="824"/>
      <c r="J37" s="916"/>
      <c r="K37" s="932" t="s">
        <v>553</v>
      </c>
      <c r="L37" s="931"/>
      <c r="M37" s="931"/>
      <c r="N37" s="931"/>
      <c r="O37" s="931"/>
      <c r="P37" s="931"/>
      <c r="Q37" s="931"/>
      <c r="R37" s="931"/>
      <c r="S37" s="931"/>
      <c r="T37" s="931"/>
      <c r="U37" s="1436"/>
      <c r="V37" s="822"/>
      <c r="W37" s="822"/>
      <c r="X37" s="822"/>
      <c r="Y37" s="232"/>
      <c r="Z37" s="822"/>
      <c r="AA37" s="822"/>
      <c r="AB37" s="822"/>
      <c r="AC37" s="233"/>
      <c r="AD37" s="234"/>
      <c r="AE37" s="234"/>
      <c r="AF37" s="478"/>
      <c r="AG37" s="235"/>
      <c r="AH37" s="473"/>
      <c r="AI37" s="235"/>
      <c r="AJ37" s="213"/>
      <c r="AK37" s="566"/>
      <c r="AL37" s="566"/>
    </row>
    <row r="38" spans="1:38" s="567" customFormat="1">
      <c r="A38" s="558" t="s">
        <v>2</v>
      </c>
      <c r="B38" s="559"/>
      <c r="C38" s="1426" t="s">
        <v>1160</v>
      </c>
      <c r="D38" s="1562" t="s">
        <v>1213</v>
      </c>
      <c r="E38" s="1564" t="s">
        <v>1214</v>
      </c>
      <c r="F38" s="1328" t="s">
        <v>1161</v>
      </c>
      <c r="G38" s="831" t="s">
        <v>91</v>
      </c>
      <c r="H38" s="829" t="s">
        <v>254</v>
      </c>
      <c r="I38" s="1605" t="s">
        <v>1140</v>
      </c>
      <c r="J38" s="828" t="s">
        <v>943</v>
      </c>
      <c r="K38" s="1638"/>
      <c r="L38" s="1621" t="s">
        <v>1137</v>
      </c>
      <c r="M38" s="1599" t="s">
        <v>1066</v>
      </c>
      <c r="N38" s="1599"/>
      <c r="O38" s="1599"/>
      <c r="P38" s="1599"/>
      <c r="Q38" s="1607"/>
      <c r="R38" s="1608" t="s">
        <v>1144</v>
      </c>
      <c r="S38" s="1600"/>
      <c r="T38" s="1609"/>
      <c r="U38" s="1159" t="s">
        <v>11</v>
      </c>
      <c r="V38" s="823"/>
      <c r="W38" s="823"/>
      <c r="X38" s="823"/>
      <c r="Y38" s="831"/>
      <c r="Z38" s="823"/>
      <c r="AA38" s="823"/>
      <c r="AB38" s="823"/>
      <c r="AC38" s="479"/>
      <c r="AD38" s="480"/>
      <c r="AE38" s="480"/>
      <c r="AF38" s="922"/>
      <c r="AG38" s="56"/>
      <c r="AH38" s="1162" t="s">
        <v>44</v>
      </c>
      <c r="AI38" s="56"/>
      <c r="AJ38" s="191"/>
      <c r="AK38" s="566"/>
      <c r="AL38" s="566"/>
    </row>
    <row r="39" spans="1:38" s="200" customFormat="1" ht="22.5" customHeight="1">
      <c r="A39" s="625"/>
      <c r="B39" s="626"/>
      <c r="C39" s="1427"/>
      <c r="D39" s="1563"/>
      <c r="E39" s="1565"/>
      <c r="F39" s="1329"/>
      <c r="G39" s="832"/>
      <c r="H39" s="830"/>
      <c r="I39" s="1606"/>
      <c r="J39" s="916"/>
      <c r="K39" s="1639"/>
      <c r="L39" s="1623"/>
      <c r="M39" s="1602" t="s">
        <v>1069</v>
      </c>
      <c r="N39" s="1602"/>
      <c r="O39" s="1014" t="s">
        <v>691</v>
      </c>
      <c r="P39" s="1602" t="s">
        <v>1071</v>
      </c>
      <c r="Q39" s="1640"/>
      <c r="R39" s="1641" t="s">
        <v>1069</v>
      </c>
      <c r="S39" s="1642"/>
      <c r="T39" s="1015" t="s">
        <v>691</v>
      </c>
      <c r="U39" s="1160"/>
      <c r="V39" s="824"/>
      <c r="W39" s="824"/>
      <c r="X39" s="824"/>
      <c r="Y39" s="832"/>
      <c r="Z39" s="824"/>
      <c r="AA39" s="824"/>
      <c r="AB39" s="824"/>
      <c r="AC39" s="481"/>
      <c r="AD39" s="482"/>
      <c r="AE39" s="482"/>
      <c r="AF39" s="888"/>
      <c r="AG39" s="59"/>
      <c r="AH39" s="1163"/>
      <c r="AI39" s="59"/>
      <c r="AJ39" s="213"/>
      <c r="AK39" s="628"/>
      <c r="AL39" s="628"/>
    </row>
    <row r="40" spans="1:38" s="567" customFormat="1">
      <c r="A40" s="558"/>
      <c r="B40" s="559"/>
      <c r="C40" s="1427"/>
      <c r="D40" s="1563"/>
      <c r="E40" s="1565"/>
      <c r="F40" s="1329"/>
      <c r="G40" s="832"/>
      <c r="H40" s="830"/>
      <c r="I40" s="1606"/>
      <c r="J40" s="916"/>
      <c r="K40" s="1016" t="s">
        <v>1150</v>
      </c>
      <c r="L40" s="1012"/>
      <c r="M40" s="1524"/>
      <c r="N40" s="1604"/>
      <c r="O40" s="930"/>
      <c r="P40" s="1619"/>
      <c r="Q40" s="1620"/>
      <c r="R40" s="1524"/>
      <c r="S40" s="1604"/>
      <c r="T40" s="1013"/>
      <c r="U40" s="1160"/>
      <c r="V40" s="824"/>
      <c r="W40" s="824"/>
      <c r="X40" s="824"/>
      <c r="Y40" s="832"/>
      <c r="Z40" s="824"/>
      <c r="AA40" s="824"/>
      <c r="AB40" s="824"/>
      <c r="AC40" s="481"/>
      <c r="AD40" s="482"/>
      <c r="AE40" s="482"/>
      <c r="AF40" s="888"/>
      <c r="AG40" s="59"/>
      <c r="AH40" s="1163"/>
      <c r="AI40" s="59"/>
      <c r="AJ40" s="213"/>
      <c r="AK40" s="566"/>
      <c r="AL40" s="566"/>
    </row>
    <row r="41" spans="1:38" s="567" customFormat="1">
      <c r="A41" s="558"/>
      <c r="B41" s="559"/>
      <c r="C41" s="1427"/>
      <c r="D41" s="1563"/>
      <c r="E41" s="1565"/>
      <c r="F41" s="1329"/>
      <c r="G41" s="832"/>
      <c r="H41" s="830"/>
      <c r="I41" s="1606"/>
      <c r="J41" s="916"/>
      <c r="K41" s="1016" t="s">
        <v>1151</v>
      </c>
      <c r="L41" s="1012"/>
      <c r="M41" s="1524"/>
      <c r="N41" s="1604"/>
      <c r="O41" s="930"/>
      <c r="P41" s="1619"/>
      <c r="Q41" s="1620"/>
      <c r="R41" s="1524"/>
      <c r="S41" s="1604"/>
      <c r="T41" s="1013"/>
      <c r="U41" s="1160"/>
      <c r="V41" s="824"/>
      <c r="W41" s="824"/>
      <c r="X41" s="824"/>
      <c r="Y41" s="832"/>
      <c r="Z41" s="824"/>
      <c r="AA41" s="824"/>
      <c r="AB41" s="824"/>
      <c r="AC41" s="481"/>
      <c r="AD41" s="482"/>
      <c r="AE41" s="482"/>
      <c r="AF41" s="888"/>
      <c r="AG41" s="59"/>
      <c r="AH41" s="1163"/>
      <c r="AI41" s="59"/>
      <c r="AJ41" s="213"/>
      <c r="AK41" s="566"/>
      <c r="AL41" s="566"/>
    </row>
    <row r="42" spans="1:38" s="567" customFormat="1" ht="28">
      <c r="A42" s="558"/>
      <c r="B42" s="559"/>
      <c r="C42" s="573"/>
      <c r="D42" s="868"/>
      <c r="E42" s="575"/>
      <c r="F42" s="1329"/>
      <c r="G42" s="832"/>
      <c r="H42" s="830"/>
      <c r="I42" s="1606"/>
      <c r="J42" s="916"/>
      <c r="K42" s="1016" t="s">
        <v>1152</v>
      </c>
      <c r="L42" s="1012"/>
      <c r="M42" s="1524"/>
      <c r="N42" s="1604"/>
      <c r="O42" s="930"/>
      <c r="P42" s="1619"/>
      <c r="Q42" s="1620"/>
      <c r="R42" s="1524"/>
      <c r="S42" s="1604"/>
      <c r="T42" s="1013"/>
      <c r="U42" s="1160"/>
      <c r="V42" s="824"/>
      <c r="W42" s="824"/>
      <c r="X42" s="824"/>
      <c r="Y42" s="832"/>
      <c r="Z42" s="824"/>
      <c r="AA42" s="824"/>
      <c r="AB42" s="824"/>
      <c r="AC42" s="481"/>
      <c r="AD42" s="482"/>
      <c r="AE42" s="482"/>
      <c r="AF42" s="888"/>
      <c r="AG42" s="59"/>
      <c r="AH42" s="1163"/>
      <c r="AI42" s="59"/>
      <c r="AJ42" s="213"/>
      <c r="AK42" s="566"/>
      <c r="AL42" s="566"/>
    </row>
    <row r="43" spans="1:38" s="567" customFormat="1">
      <c r="A43" s="558"/>
      <c r="B43" s="559"/>
      <c r="C43" s="573"/>
      <c r="D43" s="868"/>
      <c r="E43" s="575"/>
      <c r="F43" s="1329"/>
      <c r="G43" s="832"/>
      <c r="H43" s="830"/>
      <c r="I43" s="1606"/>
      <c r="J43" s="916"/>
      <c r="K43" s="1016" t="s">
        <v>1153</v>
      </c>
      <c r="L43" s="1012"/>
      <c r="M43" s="1524"/>
      <c r="N43" s="1604"/>
      <c r="O43" s="930"/>
      <c r="P43" s="1619"/>
      <c r="Q43" s="1620"/>
      <c r="R43" s="1524"/>
      <c r="S43" s="1604"/>
      <c r="T43" s="1013"/>
      <c r="U43" s="1160"/>
      <c r="V43" s="824"/>
      <c r="W43" s="824"/>
      <c r="X43" s="824"/>
      <c r="Y43" s="832"/>
      <c r="Z43" s="824"/>
      <c r="AA43" s="824"/>
      <c r="AB43" s="824"/>
      <c r="AC43" s="481"/>
      <c r="AD43" s="482"/>
      <c r="AE43" s="482"/>
      <c r="AF43" s="888"/>
      <c r="AG43" s="59"/>
      <c r="AH43" s="1163"/>
      <c r="AI43" s="59"/>
      <c r="AJ43" s="213"/>
      <c r="AK43" s="566"/>
      <c r="AL43" s="566"/>
    </row>
    <row r="44" spans="1:38" s="567" customFormat="1">
      <c r="A44" s="558"/>
      <c r="B44" s="559"/>
      <c r="C44" s="573"/>
      <c r="D44" s="868"/>
      <c r="E44" s="575"/>
      <c r="F44" s="1329"/>
      <c r="G44" s="832"/>
      <c r="H44" s="830"/>
      <c r="I44" s="1606"/>
      <c r="J44" s="916"/>
      <c r="K44" s="1016" t="s">
        <v>1154</v>
      </c>
      <c r="L44" s="1012"/>
      <c r="M44" s="1524"/>
      <c r="N44" s="1604"/>
      <c r="O44" s="930"/>
      <c r="P44" s="1619"/>
      <c r="Q44" s="1620"/>
      <c r="R44" s="1524"/>
      <c r="S44" s="1604"/>
      <c r="T44" s="1013"/>
      <c r="U44" s="1160"/>
      <c r="V44" s="824"/>
      <c r="W44" s="824"/>
      <c r="X44" s="824"/>
      <c r="Y44" s="832"/>
      <c r="Z44" s="824"/>
      <c r="AA44" s="824"/>
      <c r="AB44" s="824"/>
      <c r="AC44" s="481"/>
      <c r="AD44" s="482"/>
      <c r="AE44" s="482"/>
      <c r="AF44" s="888"/>
      <c r="AG44" s="59"/>
      <c r="AH44" s="1163"/>
      <c r="AI44" s="59"/>
      <c r="AJ44" s="213"/>
      <c r="AK44" s="566"/>
      <c r="AL44" s="566"/>
    </row>
    <row r="45" spans="1:38" s="567" customFormat="1">
      <c r="A45" s="558"/>
      <c r="B45" s="559"/>
      <c r="C45" s="573"/>
      <c r="D45" s="868"/>
      <c r="E45" s="575"/>
      <c r="F45" s="1329"/>
      <c r="G45" s="832"/>
      <c r="H45" s="830"/>
      <c r="I45" s="1606"/>
      <c r="J45" s="916"/>
      <c r="K45" s="1016" t="s">
        <v>1155</v>
      </c>
      <c r="L45" s="1012"/>
      <c r="M45" s="1524"/>
      <c r="N45" s="1604"/>
      <c r="O45" s="930"/>
      <c r="P45" s="1619"/>
      <c r="Q45" s="1620"/>
      <c r="R45" s="1524"/>
      <c r="S45" s="1604"/>
      <c r="T45" s="1013"/>
      <c r="U45" s="1160"/>
      <c r="V45" s="824"/>
      <c r="W45" s="824"/>
      <c r="X45" s="824"/>
      <c r="Y45" s="832"/>
      <c r="Z45" s="824"/>
      <c r="AA45" s="824"/>
      <c r="AB45" s="824"/>
      <c r="AC45" s="481"/>
      <c r="AD45" s="482"/>
      <c r="AE45" s="482"/>
      <c r="AF45" s="888"/>
      <c r="AG45" s="59"/>
      <c r="AH45" s="1163"/>
      <c r="AI45" s="59"/>
      <c r="AJ45" s="213"/>
      <c r="AK45" s="566"/>
      <c r="AL45" s="566"/>
    </row>
    <row r="46" spans="1:38" s="567" customFormat="1">
      <c r="A46" s="558"/>
      <c r="B46" s="559"/>
      <c r="C46" s="573"/>
      <c r="D46" s="868"/>
      <c r="E46" s="575"/>
      <c r="F46" s="1329"/>
      <c r="G46" s="832"/>
      <c r="H46" s="830"/>
      <c r="I46" s="1606"/>
      <c r="J46" s="916"/>
      <c r="K46" s="1016" t="s">
        <v>1156</v>
      </c>
      <c r="L46" s="1012"/>
      <c r="M46" s="1524"/>
      <c r="N46" s="1604"/>
      <c r="O46" s="930"/>
      <c r="P46" s="1619"/>
      <c r="Q46" s="1620"/>
      <c r="R46" s="1524"/>
      <c r="S46" s="1604"/>
      <c r="T46" s="1013"/>
      <c r="U46" s="1160"/>
      <c r="V46" s="824"/>
      <c r="W46" s="824"/>
      <c r="X46" s="824"/>
      <c r="Y46" s="832"/>
      <c r="Z46" s="824"/>
      <c r="AA46" s="824"/>
      <c r="AB46" s="824"/>
      <c r="AC46" s="481"/>
      <c r="AD46" s="482"/>
      <c r="AE46" s="482"/>
      <c r="AF46" s="888"/>
      <c r="AG46" s="59"/>
      <c r="AH46" s="1163"/>
      <c r="AI46" s="59"/>
      <c r="AJ46" s="213"/>
      <c r="AK46" s="566"/>
      <c r="AL46" s="566"/>
    </row>
    <row r="47" spans="1:38" s="567" customFormat="1">
      <c r="A47" s="558"/>
      <c r="B47" s="559"/>
      <c r="C47" s="573"/>
      <c r="D47" s="868"/>
      <c r="E47" s="575"/>
      <c r="F47" s="1329"/>
      <c r="G47" s="832"/>
      <c r="H47" s="830"/>
      <c r="I47" s="1606"/>
      <c r="J47" s="916"/>
      <c r="K47" s="1016" t="s">
        <v>1157</v>
      </c>
      <c r="L47" s="1012"/>
      <c r="M47" s="1524"/>
      <c r="N47" s="1604"/>
      <c r="O47" s="930"/>
      <c r="P47" s="1619"/>
      <c r="Q47" s="1620"/>
      <c r="R47" s="1524"/>
      <c r="S47" s="1604"/>
      <c r="T47" s="1013"/>
      <c r="U47" s="1160"/>
      <c r="V47" s="824"/>
      <c r="W47" s="824"/>
      <c r="X47" s="824"/>
      <c r="Y47" s="832"/>
      <c r="Z47" s="824"/>
      <c r="AA47" s="824"/>
      <c r="AB47" s="824"/>
      <c r="AC47" s="481"/>
      <c r="AD47" s="482"/>
      <c r="AE47" s="482"/>
      <c r="AF47" s="888"/>
      <c r="AG47" s="59"/>
      <c r="AH47" s="1163"/>
      <c r="AI47" s="59"/>
      <c r="AJ47" s="213"/>
      <c r="AK47" s="566"/>
      <c r="AL47" s="566"/>
    </row>
    <row r="48" spans="1:38" s="567" customFormat="1">
      <c r="A48" s="558"/>
      <c r="B48" s="559"/>
      <c r="C48" s="573"/>
      <c r="D48" s="868"/>
      <c r="E48" s="575"/>
      <c r="F48" s="1329"/>
      <c r="G48" s="832"/>
      <c r="H48" s="830"/>
      <c r="I48" s="1606"/>
      <c r="J48" s="916"/>
      <c r="K48" s="1016" t="s">
        <v>1158</v>
      </c>
      <c r="L48" s="1012"/>
      <c r="M48" s="1524"/>
      <c r="N48" s="1604"/>
      <c r="O48" s="930"/>
      <c r="P48" s="1619"/>
      <c r="Q48" s="1620"/>
      <c r="R48" s="1524"/>
      <c r="S48" s="1604"/>
      <c r="T48" s="1013"/>
      <c r="U48" s="1160"/>
      <c r="V48" s="824"/>
      <c r="W48" s="824"/>
      <c r="X48" s="824"/>
      <c r="Y48" s="832"/>
      <c r="Z48" s="824"/>
      <c r="AA48" s="824"/>
      <c r="AB48" s="824"/>
      <c r="AC48" s="481"/>
      <c r="AD48" s="482"/>
      <c r="AE48" s="482"/>
      <c r="AF48" s="888"/>
      <c r="AG48" s="59"/>
      <c r="AH48" s="1163"/>
      <c r="AI48" s="59"/>
      <c r="AJ48" s="213"/>
      <c r="AK48" s="566"/>
      <c r="AL48" s="566"/>
    </row>
    <row r="49" spans="1:38" s="567" customFormat="1">
      <c r="A49" s="558"/>
      <c r="B49" s="559"/>
      <c r="C49" s="573"/>
      <c r="D49" s="868"/>
      <c r="E49" s="575"/>
      <c r="F49" s="1329"/>
      <c r="G49" s="832"/>
      <c r="H49" s="830"/>
      <c r="I49" s="1606"/>
      <c r="J49" s="916"/>
      <c r="K49" s="1017" t="s">
        <v>1159</v>
      </c>
      <c r="L49" s="1012"/>
      <c r="M49" s="1524"/>
      <c r="N49" s="1604"/>
      <c r="O49" s="930"/>
      <c r="P49" s="1619"/>
      <c r="Q49" s="1620"/>
      <c r="R49" s="1524"/>
      <c r="S49" s="1604"/>
      <c r="T49" s="1025"/>
      <c r="U49" s="1160"/>
      <c r="V49" s="824"/>
      <c r="W49" s="824"/>
      <c r="X49" s="824"/>
      <c r="Y49" s="832"/>
      <c r="Z49" s="824"/>
      <c r="AA49" s="824"/>
      <c r="AB49" s="824"/>
      <c r="AC49" s="481"/>
      <c r="AD49" s="482"/>
      <c r="AE49" s="482"/>
      <c r="AF49" s="888"/>
      <c r="AG49" s="59"/>
      <c r="AH49" s="1163"/>
      <c r="AI49" s="59"/>
      <c r="AJ49" s="213"/>
      <c r="AK49" s="566"/>
      <c r="AL49" s="566"/>
    </row>
    <row r="50" spans="1:38" s="567" customFormat="1" ht="26.5" customHeight="1">
      <c r="A50" s="558" t="s">
        <v>3</v>
      </c>
      <c r="B50" s="559"/>
      <c r="C50" s="629"/>
      <c r="D50" s="1507" t="s">
        <v>1174</v>
      </c>
      <c r="E50" s="895"/>
      <c r="F50" s="1329"/>
      <c r="G50" s="832"/>
      <c r="H50" s="830"/>
      <c r="I50" s="1606"/>
      <c r="J50" s="916"/>
      <c r="K50" s="898" t="s">
        <v>95</v>
      </c>
      <c r="L50" s="1011"/>
      <c r="M50" s="1011"/>
      <c r="N50" s="1011"/>
      <c r="O50" s="1011"/>
      <c r="P50" s="1011"/>
      <c r="Q50" s="1011"/>
      <c r="R50" s="1011"/>
      <c r="S50" s="1011"/>
      <c r="T50" s="1011"/>
      <c r="U50" s="1436" t="s">
        <v>11</v>
      </c>
      <c r="V50" s="822"/>
      <c r="W50" s="822"/>
      <c r="X50" s="822"/>
      <c r="Y50" s="232"/>
      <c r="Z50" s="822"/>
      <c r="AA50" s="822"/>
      <c r="AB50" s="822"/>
      <c r="AC50" s="233"/>
      <c r="AD50" s="234"/>
      <c r="AE50" s="234"/>
      <c r="AF50" s="478"/>
      <c r="AG50" s="235"/>
      <c r="AH50" s="473"/>
      <c r="AI50" s="235"/>
      <c r="AJ50" s="213"/>
      <c r="AK50" s="566"/>
      <c r="AL50" s="566"/>
    </row>
    <row r="51" spans="1:38" s="567" customFormat="1">
      <c r="A51" s="558"/>
      <c r="B51" s="559"/>
      <c r="C51" s="629"/>
      <c r="D51" s="1507"/>
      <c r="E51" s="895"/>
      <c r="F51" s="1329"/>
      <c r="G51" s="832"/>
      <c r="H51" s="830"/>
      <c r="I51" s="1606"/>
      <c r="J51" s="916"/>
      <c r="K51" s="898" t="s">
        <v>794</v>
      </c>
      <c r="L51" s="1011"/>
      <c r="M51" s="1011"/>
      <c r="N51" s="1011"/>
      <c r="O51" s="1011"/>
      <c r="P51" s="1011"/>
      <c r="Q51" s="1011"/>
      <c r="R51" s="1011"/>
      <c r="S51" s="1011"/>
      <c r="T51" s="1011"/>
      <c r="U51" s="1436"/>
      <c r="V51" s="822"/>
      <c r="W51" s="822"/>
      <c r="X51" s="822"/>
      <c r="Y51" s="232"/>
      <c r="Z51" s="822"/>
      <c r="AA51" s="822"/>
      <c r="AB51" s="822"/>
      <c r="AC51" s="233"/>
      <c r="AD51" s="234"/>
      <c r="AE51" s="234"/>
      <c r="AF51" s="478"/>
      <c r="AG51" s="235"/>
      <c r="AH51" s="473"/>
      <c r="AI51" s="235"/>
      <c r="AJ51" s="213"/>
      <c r="AK51" s="566"/>
      <c r="AL51" s="566"/>
    </row>
    <row r="52" spans="1:38" s="567" customFormat="1" ht="28">
      <c r="A52" s="558"/>
      <c r="B52" s="559"/>
      <c r="C52" s="629"/>
      <c r="D52" s="1507"/>
      <c r="E52" s="895"/>
      <c r="F52" s="1329"/>
      <c r="G52" s="832"/>
      <c r="H52" s="830"/>
      <c r="I52" s="1606"/>
      <c r="J52" s="916"/>
      <c r="K52" s="898" t="s">
        <v>693</v>
      </c>
      <c r="L52" s="1011"/>
      <c r="M52" s="1011"/>
      <c r="N52" s="1011"/>
      <c r="O52" s="1011"/>
      <c r="P52" s="1011"/>
      <c r="Q52" s="1011"/>
      <c r="R52" s="1011"/>
      <c r="S52" s="1011"/>
      <c r="T52" s="1011"/>
      <c r="U52" s="1436"/>
      <c r="V52" s="822"/>
      <c r="W52" s="822"/>
      <c r="X52" s="822"/>
      <c r="Y52" s="232"/>
      <c r="Z52" s="822"/>
      <c r="AA52" s="822"/>
      <c r="AB52" s="822"/>
      <c r="AC52" s="233"/>
      <c r="AD52" s="234"/>
      <c r="AE52" s="234"/>
      <c r="AF52" s="478"/>
      <c r="AG52" s="235"/>
      <c r="AH52" s="473"/>
      <c r="AI52" s="235"/>
      <c r="AJ52" s="213"/>
      <c r="AK52" s="566"/>
      <c r="AL52" s="566"/>
    </row>
    <row r="53" spans="1:38" s="567" customFormat="1">
      <c r="A53" s="558"/>
      <c r="B53" s="559"/>
      <c r="C53" s="629"/>
      <c r="D53" s="1507"/>
      <c r="E53" s="895"/>
      <c r="F53" s="1329"/>
      <c r="G53" s="832"/>
      <c r="H53" s="830"/>
      <c r="I53" s="1606"/>
      <c r="J53" s="916"/>
      <c r="K53" s="932" t="s">
        <v>96</v>
      </c>
      <c r="L53" s="1011"/>
      <c r="M53" s="1011"/>
      <c r="N53" s="1011"/>
      <c r="O53" s="1011"/>
      <c r="P53" s="1011"/>
      <c r="Q53" s="1011"/>
      <c r="R53" s="1011"/>
      <c r="S53" s="1011"/>
      <c r="T53" s="1011"/>
      <c r="U53" s="1436"/>
      <c r="V53" s="822"/>
      <c r="W53" s="822"/>
      <c r="X53" s="822"/>
      <c r="Y53" s="232"/>
      <c r="Z53" s="822"/>
      <c r="AA53" s="822"/>
      <c r="AB53" s="822"/>
      <c r="AC53" s="233"/>
      <c r="AD53" s="234"/>
      <c r="AE53" s="234"/>
      <c r="AF53" s="478"/>
      <c r="AG53" s="235"/>
      <c r="AH53" s="473"/>
      <c r="AI53" s="235"/>
      <c r="AJ53" s="213"/>
      <c r="AK53" s="566"/>
      <c r="AL53" s="566"/>
    </row>
    <row r="54" spans="1:38" s="567" customFormat="1" ht="26.5" customHeight="1">
      <c r="A54" s="558" t="s">
        <v>3</v>
      </c>
      <c r="B54" s="559"/>
      <c r="C54" s="629"/>
      <c r="D54" s="1507" t="s">
        <v>1175</v>
      </c>
      <c r="E54" s="895"/>
      <c r="F54" s="1329"/>
      <c r="G54" s="832"/>
      <c r="H54" s="830"/>
      <c r="I54" s="1606"/>
      <c r="J54" s="916"/>
      <c r="K54" s="934" t="s">
        <v>545</v>
      </c>
      <c r="L54" s="931"/>
      <c r="M54" s="931"/>
      <c r="N54" s="931"/>
      <c r="O54" s="931"/>
      <c r="P54" s="931"/>
      <c r="Q54" s="931"/>
      <c r="R54" s="931"/>
      <c r="S54" s="931"/>
      <c r="T54" s="931"/>
      <c r="U54" s="1436" t="s">
        <v>11</v>
      </c>
      <c r="V54" s="822"/>
      <c r="W54" s="822"/>
      <c r="X54" s="822"/>
      <c r="Y54" s="232"/>
      <c r="Z54" s="822"/>
      <c r="AA54" s="822"/>
      <c r="AB54" s="822"/>
      <c r="AC54" s="233"/>
      <c r="AD54" s="234"/>
      <c r="AE54" s="234"/>
      <c r="AF54" s="478"/>
      <c r="AG54" s="235"/>
      <c r="AH54" s="473"/>
      <c r="AI54" s="235"/>
      <c r="AJ54" s="213"/>
      <c r="AK54" s="566"/>
      <c r="AL54" s="566"/>
    </row>
    <row r="55" spans="1:38" s="567" customFormat="1">
      <c r="A55" s="558"/>
      <c r="B55" s="559"/>
      <c r="C55" s="629"/>
      <c r="D55" s="1507"/>
      <c r="E55" s="895"/>
      <c r="F55" s="1329"/>
      <c r="G55" s="832"/>
      <c r="H55" s="830"/>
      <c r="I55" s="824"/>
      <c r="J55" s="916"/>
      <c r="K55" s="898" t="s">
        <v>640</v>
      </c>
      <c r="L55" s="931"/>
      <c r="M55" s="931"/>
      <c r="N55" s="931"/>
      <c r="O55" s="931"/>
      <c r="P55" s="931"/>
      <c r="Q55" s="931"/>
      <c r="R55" s="931"/>
      <c r="S55" s="931"/>
      <c r="T55" s="931"/>
      <c r="U55" s="1436"/>
      <c r="V55" s="822"/>
      <c r="W55" s="822"/>
      <c r="X55" s="822"/>
      <c r="Y55" s="232"/>
      <c r="Z55" s="822"/>
      <c r="AA55" s="822"/>
      <c r="AB55" s="822"/>
      <c r="AC55" s="233"/>
      <c r="AD55" s="234"/>
      <c r="AE55" s="234"/>
      <c r="AF55" s="478"/>
      <c r="AG55" s="235"/>
      <c r="AH55" s="473"/>
      <c r="AI55" s="235"/>
      <c r="AJ55" s="213"/>
      <c r="AK55" s="566"/>
      <c r="AL55" s="566"/>
    </row>
    <row r="56" spans="1:38" s="567" customFormat="1">
      <c r="A56" s="558"/>
      <c r="B56" s="559"/>
      <c r="C56" s="629"/>
      <c r="D56" s="1507"/>
      <c r="E56" s="895"/>
      <c r="F56" s="1329"/>
      <c r="G56" s="832"/>
      <c r="H56" s="830"/>
      <c r="I56" s="824"/>
      <c r="J56" s="916"/>
      <c r="K56" s="898" t="s">
        <v>655</v>
      </c>
      <c r="L56" s="931"/>
      <c r="M56" s="931"/>
      <c r="N56" s="931"/>
      <c r="O56" s="931"/>
      <c r="P56" s="931"/>
      <c r="Q56" s="931"/>
      <c r="R56" s="931"/>
      <c r="S56" s="931"/>
      <c r="T56" s="931"/>
      <c r="U56" s="1436"/>
      <c r="V56" s="822"/>
      <c r="W56" s="822"/>
      <c r="X56" s="822"/>
      <c r="Y56" s="232"/>
      <c r="Z56" s="822"/>
      <c r="AA56" s="822"/>
      <c r="AB56" s="822"/>
      <c r="AC56" s="233"/>
      <c r="AD56" s="234"/>
      <c r="AE56" s="234"/>
      <c r="AF56" s="478"/>
      <c r="AG56" s="235"/>
      <c r="AH56" s="473"/>
      <c r="AI56" s="235"/>
      <c r="AJ56" s="213"/>
      <c r="AK56" s="566"/>
      <c r="AL56" s="566"/>
    </row>
    <row r="57" spans="1:38" s="567" customFormat="1" ht="18" thickBot="1">
      <c r="A57" s="558"/>
      <c r="B57" s="559"/>
      <c r="C57" s="629"/>
      <c r="D57" s="1507"/>
      <c r="E57" s="895"/>
      <c r="F57" s="1329"/>
      <c r="G57" s="832"/>
      <c r="H57" s="830"/>
      <c r="I57" s="824"/>
      <c r="J57" s="916"/>
      <c r="K57" s="932" t="s">
        <v>553</v>
      </c>
      <c r="L57" s="931"/>
      <c r="M57" s="931"/>
      <c r="N57" s="931"/>
      <c r="O57" s="931"/>
      <c r="P57" s="931"/>
      <c r="Q57" s="931"/>
      <c r="R57" s="931"/>
      <c r="S57" s="931"/>
      <c r="T57" s="931"/>
      <c r="U57" s="1437"/>
      <c r="V57" s="822"/>
      <c r="W57" s="822"/>
      <c r="X57" s="822"/>
      <c r="Y57" s="232"/>
      <c r="Z57" s="822"/>
      <c r="AA57" s="822"/>
      <c r="AB57" s="822"/>
      <c r="AC57" s="233"/>
      <c r="AD57" s="234"/>
      <c r="AE57" s="234"/>
      <c r="AF57" s="478"/>
      <c r="AG57" s="235"/>
      <c r="AH57" s="473"/>
      <c r="AI57" s="235"/>
      <c r="AJ57" s="213"/>
      <c r="AK57" s="566"/>
      <c r="AL57" s="566"/>
    </row>
    <row r="58" spans="1:38" s="567" customFormat="1">
      <c r="A58" s="558" t="s">
        <v>2</v>
      </c>
      <c r="B58" s="559"/>
      <c r="C58" s="1426" t="s">
        <v>1162</v>
      </c>
      <c r="D58" s="1562" t="s">
        <v>1163</v>
      </c>
      <c r="E58" s="1564" t="s">
        <v>1214</v>
      </c>
      <c r="F58" s="1328" t="s">
        <v>1178</v>
      </c>
      <c r="G58" s="831" t="s">
        <v>91</v>
      </c>
      <c r="H58" s="829" t="s">
        <v>254</v>
      </c>
      <c r="I58" s="1605" t="s">
        <v>1140</v>
      </c>
      <c r="J58" s="828" t="s">
        <v>943</v>
      </c>
      <c r="K58" s="1638"/>
      <c r="L58" s="1621" t="s">
        <v>1137</v>
      </c>
      <c r="M58" s="1599" t="s">
        <v>1066</v>
      </c>
      <c r="N58" s="1599"/>
      <c r="O58" s="1599"/>
      <c r="P58" s="1599"/>
      <c r="Q58" s="1607"/>
      <c r="R58" s="1608" t="s">
        <v>1144</v>
      </c>
      <c r="S58" s="1600"/>
      <c r="T58" s="1609"/>
      <c r="U58" s="1159" t="s">
        <v>11</v>
      </c>
      <c r="V58" s="823"/>
      <c r="W58" s="823"/>
      <c r="X58" s="823"/>
      <c r="Y58" s="831"/>
      <c r="Z58" s="823"/>
      <c r="AA58" s="823"/>
      <c r="AB58" s="823"/>
      <c r="AC58" s="479"/>
      <c r="AD58" s="480"/>
      <c r="AE58" s="480"/>
      <c r="AF58" s="922"/>
      <c r="AG58" s="56"/>
      <c r="AH58" s="1162" t="s">
        <v>44</v>
      </c>
      <c r="AI58" s="56"/>
      <c r="AJ58" s="191"/>
      <c r="AK58" s="566"/>
      <c r="AL58" s="566"/>
    </row>
    <row r="59" spans="1:38" s="200" customFormat="1" ht="22.5" customHeight="1">
      <c r="A59" s="625"/>
      <c r="B59" s="626"/>
      <c r="C59" s="1427"/>
      <c r="D59" s="1563"/>
      <c r="E59" s="1565"/>
      <c r="F59" s="1329"/>
      <c r="G59" s="832"/>
      <c r="H59" s="830"/>
      <c r="I59" s="1606"/>
      <c r="J59" s="916"/>
      <c r="K59" s="1639"/>
      <c r="L59" s="1623"/>
      <c r="M59" s="1602" t="s">
        <v>1069</v>
      </c>
      <c r="N59" s="1602"/>
      <c r="O59" s="1014" t="s">
        <v>691</v>
      </c>
      <c r="P59" s="1602" t="s">
        <v>1071</v>
      </c>
      <c r="Q59" s="1640"/>
      <c r="R59" s="1641" t="s">
        <v>1069</v>
      </c>
      <c r="S59" s="1642"/>
      <c r="T59" s="1015" t="s">
        <v>691</v>
      </c>
      <c r="U59" s="1160"/>
      <c r="V59" s="824"/>
      <c r="W59" s="824"/>
      <c r="X59" s="824"/>
      <c r="Y59" s="832"/>
      <c r="Z59" s="824"/>
      <c r="AA59" s="824"/>
      <c r="AB59" s="824"/>
      <c r="AC59" s="481"/>
      <c r="AD59" s="482"/>
      <c r="AE59" s="482"/>
      <c r="AF59" s="888"/>
      <c r="AG59" s="59"/>
      <c r="AH59" s="1163"/>
      <c r="AI59" s="59"/>
      <c r="AJ59" s="213"/>
      <c r="AK59" s="628"/>
      <c r="AL59" s="628"/>
    </row>
    <row r="60" spans="1:38" s="567" customFormat="1">
      <c r="A60" s="558"/>
      <c r="B60" s="559"/>
      <c r="C60" s="1427"/>
      <c r="D60" s="1563"/>
      <c r="E60" s="1565"/>
      <c r="F60" s="1329"/>
      <c r="G60" s="832"/>
      <c r="H60" s="830"/>
      <c r="I60" s="1606"/>
      <c r="J60" s="916"/>
      <c r="K60" s="1016" t="s">
        <v>1164</v>
      </c>
      <c r="L60" s="1012"/>
      <c r="M60" s="1524"/>
      <c r="N60" s="1604"/>
      <c r="O60" s="930"/>
      <c r="P60" s="1619"/>
      <c r="Q60" s="1620"/>
      <c r="R60" s="1524"/>
      <c r="S60" s="1604"/>
      <c r="T60" s="1013"/>
      <c r="U60" s="1160"/>
      <c r="V60" s="824"/>
      <c r="W60" s="824"/>
      <c r="X60" s="824"/>
      <c r="Y60" s="832"/>
      <c r="Z60" s="824"/>
      <c r="AA60" s="824"/>
      <c r="AB60" s="824"/>
      <c r="AC60" s="481"/>
      <c r="AD60" s="482"/>
      <c r="AE60" s="482"/>
      <c r="AF60" s="888"/>
      <c r="AG60" s="59"/>
      <c r="AH60" s="1163"/>
      <c r="AI60" s="59"/>
      <c r="AJ60" s="213"/>
      <c r="AK60" s="566"/>
      <c r="AL60" s="566"/>
    </row>
    <row r="61" spans="1:38" s="567" customFormat="1" ht="28">
      <c r="A61" s="558"/>
      <c r="B61" s="559"/>
      <c r="C61" s="1427"/>
      <c r="D61" s="1563"/>
      <c r="E61" s="1565"/>
      <c r="F61" s="1329"/>
      <c r="G61" s="832"/>
      <c r="H61" s="830"/>
      <c r="I61" s="1606"/>
      <c r="J61" s="916"/>
      <c r="K61" s="1016" t="s">
        <v>1165</v>
      </c>
      <c r="L61" s="1012"/>
      <c r="M61" s="1524"/>
      <c r="N61" s="1604"/>
      <c r="O61" s="930"/>
      <c r="P61" s="1619"/>
      <c r="Q61" s="1620"/>
      <c r="R61" s="1524"/>
      <c r="S61" s="1604"/>
      <c r="T61" s="1013"/>
      <c r="U61" s="1160"/>
      <c r="V61" s="824"/>
      <c r="W61" s="824"/>
      <c r="X61" s="824"/>
      <c r="Y61" s="832"/>
      <c r="Z61" s="824"/>
      <c r="AA61" s="824"/>
      <c r="AB61" s="824"/>
      <c r="AC61" s="481"/>
      <c r="AD61" s="482"/>
      <c r="AE61" s="482"/>
      <c r="AF61" s="888"/>
      <c r="AG61" s="59"/>
      <c r="AH61" s="1163"/>
      <c r="AI61" s="59"/>
      <c r="AJ61" s="213"/>
      <c r="AK61" s="566"/>
      <c r="AL61" s="566"/>
    </row>
    <row r="62" spans="1:38" s="567" customFormat="1">
      <c r="A62" s="558"/>
      <c r="B62" s="559"/>
      <c r="C62" s="573"/>
      <c r="D62" s="868"/>
      <c r="E62" s="575"/>
      <c r="F62" s="1329"/>
      <c r="G62" s="832"/>
      <c r="H62" s="830"/>
      <c r="I62" s="1606"/>
      <c r="J62" s="916"/>
      <c r="K62" s="1016" t="s">
        <v>1166</v>
      </c>
      <c r="L62" s="1012"/>
      <c r="M62" s="1524"/>
      <c r="N62" s="1604"/>
      <c r="O62" s="930"/>
      <c r="P62" s="1619"/>
      <c r="Q62" s="1620"/>
      <c r="R62" s="1524"/>
      <c r="S62" s="1604"/>
      <c r="T62" s="1013"/>
      <c r="U62" s="1160"/>
      <c r="V62" s="824"/>
      <c r="W62" s="824"/>
      <c r="X62" s="824"/>
      <c r="Y62" s="832"/>
      <c r="Z62" s="824"/>
      <c r="AA62" s="824"/>
      <c r="AB62" s="824"/>
      <c r="AC62" s="481"/>
      <c r="AD62" s="482"/>
      <c r="AE62" s="482"/>
      <c r="AF62" s="888"/>
      <c r="AG62" s="59"/>
      <c r="AH62" s="1163"/>
      <c r="AI62" s="59"/>
      <c r="AJ62" s="213"/>
      <c r="AK62" s="566"/>
      <c r="AL62" s="566"/>
    </row>
    <row r="63" spans="1:38" s="567" customFormat="1">
      <c r="A63" s="558"/>
      <c r="B63" s="559"/>
      <c r="C63" s="573"/>
      <c r="D63" s="868"/>
      <c r="E63" s="575"/>
      <c r="F63" s="1329"/>
      <c r="G63" s="832"/>
      <c r="H63" s="830"/>
      <c r="I63" s="1606"/>
      <c r="J63" s="916"/>
      <c r="K63" s="1016" t="s">
        <v>1167</v>
      </c>
      <c r="L63" s="1012"/>
      <c r="M63" s="1524"/>
      <c r="N63" s="1604"/>
      <c r="O63" s="930"/>
      <c r="P63" s="1619"/>
      <c r="Q63" s="1620"/>
      <c r="R63" s="1524"/>
      <c r="S63" s="1604"/>
      <c r="T63" s="1013"/>
      <c r="U63" s="1160"/>
      <c r="V63" s="824"/>
      <c r="W63" s="824"/>
      <c r="X63" s="824"/>
      <c r="Y63" s="832"/>
      <c r="Z63" s="824"/>
      <c r="AA63" s="824"/>
      <c r="AB63" s="824"/>
      <c r="AC63" s="481"/>
      <c r="AD63" s="482"/>
      <c r="AE63" s="482"/>
      <c r="AF63" s="888"/>
      <c r="AG63" s="59"/>
      <c r="AH63" s="1163"/>
      <c r="AI63" s="59"/>
      <c r="AJ63" s="213"/>
      <c r="AK63" s="566"/>
      <c r="AL63" s="566"/>
    </row>
    <row r="64" spans="1:38" s="567" customFormat="1" ht="28">
      <c r="A64" s="558"/>
      <c r="B64" s="559"/>
      <c r="C64" s="573"/>
      <c r="D64" s="868"/>
      <c r="E64" s="575"/>
      <c r="F64" s="1329"/>
      <c r="G64" s="832"/>
      <c r="H64" s="830"/>
      <c r="I64" s="1606"/>
      <c r="J64" s="916"/>
      <c r="K64" s="1016" t="s">
        <v>1168</v>
      </c>
      <c r="L64" s="1012"/>
      <c r="M64" s="1524"/>
      <c r="N64" s="1604"/>
      <c r="O64" s="930"/>
      <c r="P64" s="1619"/>
      <c r="Q64" s="1620"/>
      <c r="R64" s="1524"/>
      <c r="S64" s="1604"/>
      <c r="T64" s="1013"/>
      <c r="U64" s="1160"/>
      <c r="V64" s="824"/>
      <c r="W64" s="824"/>
      <c r="X64" s="824"/>
      <c r="Y64" s="832"/>
      <c r="Z64" s="824"/>
      <c r="AA64" s="824"/>
      <c r="AB64" s="824"/>
      <c r="AC64" s="481"/>
      <c r="AD64" s="482"/>
      <c r="AE64" s="482"/>
      <c r="AF64" s="888"/>
      <c r="AG64" s="59"/>
      <c r="AH64" s="1163"/>
      <c r="AI64" s="59"/>
      <c r="AJ64" s="213"/>
      <c r="AK64" s="566"/>
      <c r="AL64" s="566"/>
    </row>
    <row r="65" spans="1:38" s="567" customFormat="1">
      <c r="A65" s="558"/>
      <c r="B65" s="559"/>
      <c r="C65" s="573"/>
      <c r="D65" s="868"/>
      <c r="E65" s="575"/>
      <c r="F65" s="1329"/>
      <c r="G65" s="832"/>
      <c r="H65" s="830"/>
      <c r="I65" s="1606"/>
      <c r="J65" s="916"/>
      <c r="K65" s="1016" t="s">
        <v>1169</v>
      </c>
      <c r="L65" s="1012"/>
      <c r="M65" s="1524"/>
      <c r="N65" s="1604"/>
      <c r="O65" s="930"/>
      <c r="P65" s="1619"/>
      <c r="Q65" s="1620"/>
      <c r="R65" s="1524"/>
      <c r="S65" s="1604"/>
      <c r="T65" s="1013"/>
      <c r="U65" s="1160"/>
      <c r="V65" s="824"/>
      <c r="W65" s="824"/>
      <c r="X65" s="824"/>
      <c r="Y65" s="832"/>
      <c r="Z65" s="824"/>
      <c r="AA65" s="824"/>
      <c r="AB65" s="824"/>
      <c r="AC65" s="481"/>
      <c r="AD65" s="482"/>
      <c r="AE65" s="482"/>
      <c r="AF65" s="888"/>
      <c r="AG65" s="59"/>
      <c r="AH65" s="1163"/>
      <c r="AI65" s="59"/>
      <c r="AJ65" s="213"/>
      <c r="AK65" s="566"/>
      <c r="AL65" s="566"/>
    </row>
    <row r="66" spans="1:38" s="567" customFormat="1">
      <c r="A66" s="558"/>
      <c r="B66" s="559"/>
      <c r="C66" s="573"/>
      <c r="D66" s="868"/>
      <c r="E66" s="575"/>
      <c r="F66" s="1329"/>
      <c r="G66" s="832"/>
      <c r="H66" s="830"/>
      <c r="I66" s="1606"/>
      <c r="J66" s="916"/>
      <c r="K66" s="1016" t="s">
        <v>1170</v>
      </c>
      <c r="L66" s="1012"/>
      <c r="M66" s="1524"/>
      <c r="N66" s="1604"/>
      <c r="O66" s="930"/>
      <c r="P66" s="1619"/>
      <c r="Q66" s="1620"/>
      <c r="R66" s="1524"/>
      <c r="S66" s="1604"/>
      <c r="T66" s="1013"/>
      <c r="U66" s="1160"/>
      <c r="V66" s="824"/>
      <c r="W66" s="824"/>
      <c r="X66" s="824"/>
      <c r="Y66" s="832"/>
      <c r="Z66" s="824"/>
      <c r="AA66" s="824"/>
      <c r="AB66" s="824"/>
      <c r="AC66" s="481"/>
      <c r="AD66" s="482"/>
      <c r="AE66" s="482"/>
      <c r="AF66" s="888"/>
      <c r="AG66" s="59"/>
      <c r="AH66" s="1163"/>
      <c r="AI66" s="59"/>
      <c r="AJ66" s="213"/>
      <c r="AK66" s="566"/>
      <c r="AL66" s="566"/>
    </row>
    <row r="67" spans="1:38" s="567" customFormat="1">
      <c r="A67" s="558"/>
      <c r="B67" s="559"/>
      <c r="C67" s="573"/>
      <c r="D67" s="868"/>
      <c r="E67" s="575"/>
      <c r="F67" s="1329"/>
      <c r="G67" s="832"/>
      <c r="H67" s="830"/>
      <c r="I67" s="1606"/>
      <c r="J67" s="916"/>
      <c r="K67" s="1016" t="s">
        <v>1171</v>
      </c>
      <c r="L67" s="1012"/>
      <c r="M67" s="1524"/>
      <c r="N67" s="1604"/>
      <c r="O67" s="930"/>
      <c r="P67" s="1619"/>
      <c r="Q67" s="1620"/>
      <c r="R67" s="1524"/>
      <c r="S67" s="1604"/>
      <c r="T67" s="1013"/>
      <c r="U67" s="1160"/>
      <c r="V67" s="824"/>
      <c r="W67" s="824"/>
      <c r="X67" s="824"/>
      <c r="Y67" s="832"/>
      <c r="Z67" s="824"/>
      <c r="AA67" s="824"/>
      <c r="AB67" s="824"/>
      <c r="AC67" s="481"/>
      <c r="AD67" s="482"/>
      <c r="AE67" s="482"/>
      <c r="AF67" s="888"/>
      <c r="AG67" s="59"/>
      <c r="AH67" s="1163"/>
      <c r="AI67" s="59"/>
      <c r="AJ67" s="213"/>
      <c r="AK67" s="566"/>
      <c r="AL67" s="566"/>
    </row>
    <row r="68" spans="1:38" s="567" customFormat="1" ht="26.5" customHeight="1">
      <c r="A68" s="558" t="s">
        <v>3</v>
      </c>
      <c r="B68" s="559"/>
      <c r="C68" s="629"/>
      <c r="D68" s="1507" t="s">
        <v>1172</v>
      </c>
      <c r="E68" s="895"/>
      <c r="F68" s="1329"/>
      <c r="G68" s="832"/>
      <c r="H68" s="830"/>
      <c r="I68" s="1606"/>
      <c r="J68" s="916"/>
      <c r="K68" s="1010" t="s">
        <v>95</v>
      </c>
      <c r="L68" s="1011"/>
      <c r="M68" s="1011"/>
      <c r="N68" s="1011"/>
      <c r="O68" s="1011"/>
      <c r="P68" s="1011"/>
      <c r="Q68" s="1011"/>
      <c r="R68" s="1011"/>
      <c r="S68" s="1011"/>
      <c r="T68" s="1011"/>
      <c r="U68" s="1436" t="s">
        <v>11</v>
      </c>
      <c r="V68" s="822"/>
      <c r="W68" s="822"/>
      <c r="X68" s="822"/>
      <c r="Y68" s="232"/>
      <c r="Z68" s="822"/>
      <c r="AA68" s="822"/>
      <c r="AB68" s="822"/>
      <c r="AC68" s="233"/>
      <c r="AD68" s="234"/>
      <c r="AE68" s="234"/>
      <c r="AF68" s="478"/>
      <c r="AG68" s="235"/>
      <c r="AH68" s="473"/>
      <c r="AI68" s="235"/>
      <c r="AJ68" s="213"/>
      <c r="AK68" s="566"/>
      <c r="AL68" s="566"/>
    </row>
    <row r="69" spans="1:38" s="567" customFormat="1">
      <c r="A69" s="558"/>
      <c r="B69" s="559"/>
      <c r="C69" s="629"/>
      <c r="D69" s="1507"/>
      <c r="E69" s="895"/>
      <c r="F69" s="1329"/>
      <c r="G69" s="832"/>
      <c r="H69" s="830"/>
      <c r="I69" s="1606"/>
      <c r="J69" s="916"/>
      <c r="K69" s="898" t="s">
        <v>794</v>
      </c>
      <c r="L69" s="1011"/>
      <c r="M69" s="1011"/>
      <c r="N69" s="1011"/>
      <c r="O69" s="1011"/>
      <c r="P69" s="1011"/>
      <c r="Q69" s="1011"/>
      <c r="R69" s="1011"/>
      <c r="S69" s="1011"/>
      <c r="T69" s="1011"/>
      <c r="U69" s="1436"/>
      <c r="V69" s="822"/>
      <c r="W69" s="822"/>
      <c r="X69" s="822"/>
      <c r="Y69" s="232"/>
      <c r="Z69" s="822"/>
      <c r="AA69" s="822"/>
      <c r="AB69" s="822"/>
      <c r="AC69" s="233"/>
      <c r="AD69" s="234"/>
      <c r="AE69" s="234"/>
      <c r="AF69" s="478"/>
      <c r="AG69" s="235"/>
      <c r="AH69" s="473"/>
      <c r="AI69" s="235"/>
      <c r="AJ69" s="213"/>
      <c r="AK69" s="566"/>
      <c r="AL69" s="566"/>
    </row>
    <row r="70" spans="1:38" s="567" customFormat="1" ht="28">
      <c r="A70" s="558"/>
      <c r="B70" s="559"/>
      <c r="C70" s="629"/>
      <c r="D70" s="1507"/>
      <c r="E70" s="895"/>
      <c r="F70" s="1329"/>
      <c r="G70" s="832"/>
      <c r="H70" s="830"/>
      <c r="I70" s="1606"/>
      <c r="J70" s="916"/>
      <c r="K70" s="898" t="s">
        <v>693</v>
      </c>
      <c r="L70" s="1011"/>
      <c r="M70" s="1011"/>
      <c r="N70" s="1011"/>
      <c r="O70" s="1011"/>
      <c r="P70" s="1011"/>
      <c r="Q70" s="1011"/>
      <c r="R70" s="1011"/>
      <c r="S70" s="1011"/>
      <c r="T70" s="1011"/>
      <c r="U70" s="1436"/>
      <c r="V70" s="822"/>
      <c r="W70" s="822"/>
      <c r="X70" s="822"/>
      <c r="Y70" s="232"/>
      <c r="Z70" s="822"/>
      <c r="AA70" s="822"/>
      <c r="AB70" s="822"/>
      <c r="AC70" s="233"/>
      <c r="AD70" s="234"/>
      <c r="AE70" s="234"/>
      <c r="AF70" s="478"/>
      <c r="AG70" s="235"/>
      <c r="AH70" s="473"/>
      <c r="AI70" s="235"/>
      <c r="AJ70" s="213"/>
      <c r="AK70" s="566"/>
      <c r="AL70" s="566"/>
    </row>
    <row r="71" spans="1:38" s="567" customFormat="1">
      <c r="A71" s="558"/>
      <c r="B71" s="559"/>
      <c r="C71" s="629"/>
      <c r="D71" s="1507"/>
      <c r="E71" s="895"/>
      <c r="F71" s="1329"/>
      <c r="G71" s="832"/>
      <c r="H71" s="830"/>
      <c r="I71" s="1606"/>
      <c r="J71" s="916"/>
      <c r="K71" s="932" t="s">
        <v>96</v>
      </c>
      <c r="L71" s="1011"/>
      <c r="M71" s="1011"/>
      <c r="N71" s="1011"/>
      <c r="O71" s="1011"/>
      <c r="P71" s="1011"/>
      <c r="Q71" s="1011"/>
      <c r="R71" s="1011"/>
      <c r="S71" s="1011"/>
      <c r="T71" s="1011"/>
      <c r="U71" s="1436"/>
      <c r="V71" s="822"/>
      <c r="W71" s="822"/>
      <c r="X71" s="822"/>
      <c r="Y71" s="232"/>
      <c r="Z71" s="822"/>
      <c r="AA71" s="822"/>
      <c r="AB71" s="822"/>
      <c r="AC71" s="233"/>
      <c r="AD71" s="234"/>
      <c r="AE71" s="234"/>
      <c r="AF71" s="478"/>
      <c r="AG71" s="235"/>
      <c r="AH71" s="473"/>
      <c r="AI71" s="235"/>
      <c r="AJ71" s="213"/>
      <c r="AK71" s="566"/>
      <c r="AL71" s="566"/>
    </row>
    <row r="72" spans="1:38" s="567" customFormat="1" ht="26.5" customHeight="1">
      <c r="A72" s="558" t="s">
        <v>3</v>
      </c>
      <c r="B72" s="559"/>
      <c r="C72" s="629"/>
      <c r="D72" s="1507" t="s">
        <v>1173</v>
      </c>
      <c r="E72" s="895"/>
      <c r="F72" s="1329"/>
      <c r="G72" s="832"/>
      <c r="H72" s="830"/>
      <c r="I72" s="1606"/>
      <c r="J72" s="916"/>
      <c r="K72" s="934" t="s">
        <v>545</v>
      </c>
      <c r="L72" s="1011"/>
      <c r="M72" s="1011"/>
      <c r="N72" s="1011"/>
      <c r="O72" s="1011"/>
      <c r="P72" s="1011"/>
      <c r="Q72" s="1011"/>
      <c r="R72" s="1011"/>
      <c r="S72" s="1011"/>
      <c r="T72" s="1011"/>
      <c r="U72" s="1436" t="s">
        <v>11</v>
      </c>
      <c r="V72" s="822"/>
      <c r="W72" s="822"/>
      <c r="X72" s="822"/>
      <c r="Y72" s="232"/>
      <c r="Z72" s="822"/>
      <c r="AA72" s="822"/>
      <c r="AB72" s="822"/>
      <c r="AC72" s="233"/>
      <c r="AD72" s="234"/>
      <c r="AE72" s="234"/>
      <c r="AF72" s="478"/>
      <c r="AG72" s="235"/>
      <c r="AH72" s="473"/>
      <c r="AI72" s="235"/>
      <c r="AJ72" s="213"/>
      <c r="AK72" s="566"/>
      <c r="AL72" s="566"/>
    </row>
    <row r="73" spans="1:38" s="567" customFormat="1">
      <c r="A73" s="558"/>
      <c r="B73" s="559"/>
      <c r="C73" s="629"/>
      <c r="D73" s="1507"/>
      <c r="E73" s="895"/>
      <c r="F73" s="1329"/>
      <c r="G73" s="832"/>
      <c r="H73" s="830"/>
      <c r="I73" s="824"/>
      <c r="J73" s="916"/>
      <c r="K73" s="898" t="s">
        <v>640</v>
      </c>
      <c r="L73" s="1011"/>
      <c r="M73" s="1011"/>
      <c r="N73" s="1011"/>
      <c r="O73" s="1011"/>
      <c r="P73" s="1011"/>
      <c r="Q73" s="1011"/>
      <c r="R73" s="1011"/>
      <c r="S73" s="1011"/>
      <c r="T73" s="1011"/>
      <c r="U73" s="1436"/>
      <c r="V73" s="822"/>
      <c r="W73" s="822"/>
      <c r="X73" s="822"/>
      <c r="Y73" s="232"/>
      <c r="Z73" s="822"/>
      <c r="AA73" s="822"/>
      <c r="AB73" s="822"/>
      <c r="AC73" s="233"/>
      <c r="AD73" s="234"/>
      <c r="AE73" s="234"/>
      <c r="AF73" s="478"/>
      <c r="AG73" s="235"/>
      <c r="AH73" s="473"/>
      <c r="AI73" s="235"/>
      <c r="AJ73" s="213"/>
      <c r="AK73" s="566"/>
      <c r="AL73" s="566"/>
    </row>
    <row r="74" spans="1:38" s="567" customFormat="1">
      <c r="A74" s="558"/>
      <c r="B74" s="559"/>
      <c r="C74" s="629"/>
      <c r="D74" s="1507"/>
      <c r="E74" s="895"/>
      <c r="F74" s="1329"/>
      <c r="G74" s="832"/>
      <c r="H74" s="830"/>
      <c r="I74" s="824"/>
      <c r="J74" s="916"/>
      <c r="K74" s="898" t="s">
        <v>655</v>
      </c>
      <c r="L74" s="1011"/>
      <c r="M74" s="1011"/>
      <c r="N74" s="1011"/>
      <c r="O74" s="1011"/>
      <c r="P74" s="1011"/>
      <c r="Q74" s="1011"/>
      <c r="R74" s="1011"/>
      <c r="S74" s="1011"/>
      <c r="T74" s="1011"/>
      <c r="U74" s="1436"/>
      <c r="V74" s="822"/>
      <c r="W74" s="822"/>
      <c r="X74" s="822"/>
      <c r="Y74" s="232"/>
      <c r="Z74" s="822"/>
      <c r="AA74" s="822"/>
      <c r="AB74" s="822"/>
      <c r="AC74" s="233"/>
      <c r="AD74" s="234"/>
      <c r="AE74" s="234"/>
      <c r="AF74" s="478"/>
      <c r="AG74" s="235"/>
      <c r="AH74" s="473"/>
      <c r="AI74" s="235"/>
      <c r="AJ74" s="213"/>
      <c r="AK74" s="566"/>
      <c r="AL74" s="566"/>
    </row>
    <row r="75" spans="1:38" s="567" customFormat="1" ht="18" thickBot="1">
      <c r="A75" s="558"/>
      <c r="B75" s="559"/>
      <c r="C75" s="671"/>
      <c r="D75" s="1508"/>
      <c r="E75" s="1035"/>
      <c r="F75" s="1513"/>
      <c r="G75" s="918"/>
      <c r="H75" s="915"/>
      <c r="I75" s="919"/>
      <c r="J75" s="917"/>
      <c r="K75" s="903" t="s">
        <v>553</v>
      </c>
      <c r="L75" s="1036"/>
      <c r="M75" s="1036"/>
      <c r="N75" s="1036"/>
      <c r="O75" s="1036"/>
      <c r="P75" s="1036"/>
      <c r="Q75" s="1036"/>
      <c r="R75" s="1036"/>
      <c r="S75" s="1036"/>
      <c r="T75" s="1036"/>
      <c r="U75" s="1437"/>
      <c r="V75" s="409"/>
      <c r="W75" s="409"/>
      <c r="X75" s="409"/>
      <c r="Y75" s="410"/>
      <c r="Z75" s="409"/>
      <c r="AA75" s="409"/>
      <c r="AB75" s="409"/>
      <c r="AC75" s="411"/>
      <c r="AD75" s="412"/>
      <c r="AE75" s="412"/>
      <c r="AF75" s="738"/>
      <c r="AG75" s="413"/>
      <c r="AH75" s="474"/>
      <c r="AI75" s="413"/>
      <c r="AJ75" s="422"/>
      <c r="AK75" s="566"/>
      <c r="AL75" s="566"/>
    </row>
    <row r="76" spans="1:38" s="557" customFormat="1" ht="27" customHeight="1" thickBot="1">
      <c r="A76" s="550" t="s">
        <v>34</v>
      </c>
      <c r="B76" s="551" t="s">
        <v>1179</v>
      </c>
      <c r="C76" s="552" t="s">
        <v>1180</v>
      </c>
      <c r="D76" s="553"/>
      <c r="E76" s="554"/>
      <c r="F76" s="555"/>
      <c r="G76" s="144"/>
      <c r="H76" s="144"/>
      <c r="I76" s="144"/>
      <c r="J76" s="144"/>
      <c r="K76" s="144"/>
      <c r="L76" s="851"/>
      <c r="M76" s="517"/>
      <c r="N76" s="517"/>
      <c r="O76" s="517"/>
      <c r="P76" s="517"/>
      <c r="Q76" s="517"/>
      <c r="R76" s="517"/>
      <c r="S76" s="517"/>
      <c r="T76" s="517"/>
      <c r="U76" s="517"/>
      <c r="V76" s="517"/>
      <c r="W76" s="517"/>
      <c r="X76" s="517"/>
      <c r="Y76" s="517"/>
      <c r="Z76" s="517"/>
      <c r="AA76" s="517"/>
      <c r="AB76" s="517"/>
      <c r="AC76" s="517"/>
      <c r="AD76" s="517"/>
      <c r="AE76" s="517"/>
      <c r="AF76" s="517"/>
      <c r="AG76" s="517"/>
      <c r="AH76" s="517"/>
      <c r="AI76" s="517"/>
      <c r="AJ76" s="517"/>
      <c r="AK76" s="556"/>
      <c r="AL76" s="556"/>
    </row>
    <row r="77" spans="1:38" s="567" customFormat="1" ht="33" customHeight="1">
      <c r="A77" s="558" t="s">
        <v>2</v>
      </c>
      <c r="B77" s="559"/>
      <c r="C77" s="1426" t="s">
        <v>1181</v>
      </c>
      <c r="D77" s="1562" t="s">
        <v>1182</v>
      </c>
      <c r="E77" s="1564" t="s">
        <v>1214</v>
      </c>
      <c r="F77" s="1328" t="s">
        <v>1193</v>
      </c>
      <c r="G77" s="831" t="s">
        <v>91</v>
      </c>
      <c r="H77" s="829" t="s">
        <v>254</v>
      </c>
      <c r="I77" s="1648" t="s">
        <v>1192</v>
      </c>
      <c r="J77" s="828" t="s">
        <v>943</v>
      </c>
      <c r="K77" s="1034" t="s">
        <v>1183</v>
      </c>
      <c r="L77" s="1040" t="s">
        <v>1184</v>
      </c>
      <c r="M77" s="1600" t="s">
        <v>1185</v>
      </c>
      <c r="N77" s="1600"/>
      <c r="O77" s="1600" t="s">
        <v>1186</v>
      </c>
      <c r="P77" s="1600"/>
      <c r="Q77" s="1600"/>
      <c r="R77" s="1600" t="s">
        <v>1187</v>
      </c>
      <c r="S77" s="1600"/>
      <c r="T77" s="1601"/>
      <c r="U77" s="1159" t="s">
        <v>11</v>
      </c>
      <c r="V77" s="823"/>
      <c r="W77" s="823"/>
      <c r="X77" s="823"/>
      <c r="Y77" s="831"/>
      <c r="Z77" s="823"/>
      <c r="AA77" s="823"/>
      <c r="AB77" s="823"/>
      <c r="AC77" s="479"/>
      <c r="AD77" s="480"/>
      <c r="AE77" s="480"/>
      <c r="AF77" s="922"/>
      <c r="AG77" s="56"/>
      <c r="AH77" s="1162" t="s">
        <v>44</v>
      </c>
      <c r="AI77" s="56"/>
      <c r="AJ77" s="191"/>
      <c r="AK77" s="566"/>
      <c r="AL77" s="566"/>
    </row>
    <row r="78" spans="1:38" s="200" customFormat="1" ht="22.5" customHeight="1">
      <c r="A78" s="625"/>
      <c r="B78" s="626"/>
      <c r="C78" s="1427"/>
      <c r="D78" s="1563"/>
      <c r="E78" s="1565"/>
      <c r="F78" s="1329"/>
      <c r="G78" s="832"/>
      <c r="H78" s="830"/>
      <c r="I78" s="1649"/>
      <c r="J78" s="916"/>
      <c r="K78" s="1030" t="s">
        <v>1188</v>
      </c>
      <c r="L78" s="1007"/>
      <c r="M78" s="1540"/>
      <c r="N78" s="1540"/>
      <c r="O78" s="1540"/>
      <c r="P78" s="1540"/>
      <c r="Q78" s="1540"/>
      <c r="R78" s="1643"/>
      <c r="S78" s="1643"/>
      <c r="T78" s="1644"/>
      <c r="U78" s="1160"/>
      <c r="V78" s="824"/>
      <c r="W78" s="824"/>
      <c r="X78" s="824"/>
      <c r="Y78" s="832"/>
      <c r="Z78" s="824"/>
      <c r="AA78" s="824"/>
      <c r="AB78" s="824"/>
      <c r="AC78" s="481"/>
      <c r="AD78" s="482"/>
      <c r="AE78" s="482"/>
      <c r="AF78" s="888"/>
      <c r="AG78" s="59"/>
      <c r="AH78" s="1163"/>
      <c r="AI78" s="59"/>
      <c r="AJ78" s="213"/>
      <c r="AK78" s="628"/>
      <c r="AL78" s="628"/>
    </row>
    <row r="79" spans="1:38" s="567" customFormat="1" ht="18" thickBot="1">
      <c r="A79" s="558"/>
      <c r="B79" s="559"/>
      <c r="C79" s="1427"/>
      <c r="D79" s="1563"/>
      <c r="E79" s="1565"/>
      <c r="F79" s="1329"/>
      <c r="G79" s="832"/>
      <c r="H79" s="830"/>
      <c r="I79" s="1649"/>
      <c r="J79" s="916"/>
      <c r="K79" s="1005" t="s">
        <v>138</v>
      </c>
      <c r="L79" s="1632"/>
      <c r="M79" s="1633"/>
      <c r="N79" s="1633"/>
      <c r="O79" s="1633"/>
      <c r="P79" s="1633"/>
      <c r="Q79" s="1633"/>
      <c r="R79" s="1633"/>
      <c r="S79" s="1633"/>
      <c r="T79" s="1634"/>
      <c r="U79" s="1160"/>
      <c r="V79" s="824"/>
      <c r="W79" s="824"/>
      <c r="X79" s="824"/>
      <c r="Y79" s="832"/>
      <c r="Z79" s="824"/>
      <c r="AA79" s="824"/>
      <c r="AB79" s="824"/>
      <c r="AC79" s="481"/>
      <c r="AD79" s="482"/>
      <c r="AE79" s="482"/>
      <c r="AF79" s="888"/>
      <c r="AG79" s="59"/>
      <c r="AH79" s="1163"/>
      <c r="AI79" s="59"/>
      <c r="AJ79" s="213"/>
      <c r="AK79" s="566"/>
      <c r="AL79" s="566"/>
    </row>
    <row r="80" spans="1:38" s="567" customFormat="1">
      <c r="A80" s="558"/>
      <c r="B80" s="559"/>
      <c r="C80" s="1427"/>
      <c r="D80" s="1563"/>
      <c r="E80" s="1565"/>
      <c r="F80" s="1329"/>
      <c r="G80" s="832"/>
      <c r="H80" s="830"/>
      <c r="I80" s="1649"/>
      <c r="J80" s="916"/>
      <c r="K80" s="1031" t="s">
        <v>1189</v>
      </c>
      <c r="L80" s="1007"/>
      <c r="M80" s="1540"/>
      <c r="N80" s="1540"/>
      <c r="O80" s="1540"/>
      <c r="P80" s="1540"/>
      <c r="Q80" s="1540"/>
      <c r="R80" s="1643"/>
      <c r="S80" s="1643"/>
      <c r="T80" s="1644"/>
      <c r="U80" s="1160"/>
      <c r="V80" s="824"/>
      <c r="W80" s="824"/>
      <c r="X80" s="824"/>
      <c r="Y80" s="832"/>
      <c r="Z80" s="824"/>
      <c r="AA80" s="824"/>
      <c r="AB80" s="824"/>
      <c r="AC80" s="481"/>
      <c r="AD80" s="482"/>
      <c r="AE80" s="482"/>
      <c r="AF80" s="888"/>
      <c r="AG80" s="59"/>
      <c r="AH80" s="1163"/>
      <c r="AI80" s="59"/>
      <c r="AJ80" s="213"/>
      <c r="AK80" s="566"/>
      <c r="AL80" s="566"/>
    </row>
    <row r="81" spans="1:38" s="567" customFormat="1" ht="18" thickBot="1">
      <c r="A81" s="558"/>
      <c r="B81" s="559"/>
      <c r="C81" s="573"/>
      <c r="D81" s="868"/>
      <c r="E81" s="575"/>
      <c r="F81" s="1329"/>
      <c r="G81" s="832"/>
      <c r="H81" s="830"/>
      <c r="I81" s="1649"/>
      <c r="J81" s="916"/>
      <c r="K81" s="1005" t="s">
        <v>138</v>
      </c>
      <c r="L81" s="1632"/>
      <c r="M81" s="1633"/>
      <c r="N81" s="1633"/>
      <c r="O81" s="1633"/>
      <c r="P81" s="1633"/>
      <c r="Q81" s="1633"/>
      <c r="R81" s="1633"/>
      <c r="S81" s="1633"/>
      <c r="T81" s="1634"/>
      <c r="U81" s="1160"/>
      <c r="V81" s="824"/>
      <c r="W81" s="824"/>
      <c r="X81" s="824"/>
      <c r="Y81" s="832"/>
      <c r="Z81" s="824"/>
      <c r="AA81" s="824"/>
      <c r="AB81" s="824"/>
      <c r="AC81" s="481"/>
      <c r="AD81" s="482"/>
      <c r="AE81" s="482"/>
      <c r="AF81" s="888"/>
      <c r="AG81" s="59"/>
      <c r="AH81" s="1163"/>
      <c r="AI81" s="59"/>
      <c r="AJ81" s="213"/>
      <c r="AK81" s="566"/>
      <c r="AL81" s="566"/>
    </row>
    <row r="82" spans="1:38" s="567" customFormat="1">
      <c r="A82" s="558"/>
      <c r="B82" s="559"/>
      <c r="C82" s="573"/>
      <c r="D82" s="868"/>
      <c r="E82" s="575"/>
      <c r="F82" s="1329"/>
      <c r="G82" s="832"/>
      <c r="H82" s="830"/>
      <c r="I82" s="1649"/>
      <c r="J82" s="916"/>
      <c r="K82" s="1032" t="s">
        <v>1190</v>
      </c>
      <c r="L82" s="1007"/>
      <c r="M82" s="1540"/>
      <c r="N82" s="1540"/>
      <c r="O82" s="1540"/>
      <c r="P82" s="1540"/>
      <c r="Q82" s="1540"/>
      <c r="R82" s="1643"/>
      <c r="S82" s="1643"/>
      <c r="T82" s="1644"/>
      <c r="U82" s="1160"/>
      <c r="V82" s="824"/>
      <c r="W82" s="824"/>
      <c r="X82" s="824"/>
      <c r="Y82" s="832"/>
      <c r="Z82" s="824"/>
      <c r="AA82" s="824"/>
      <c r="AB82" s="824"/>
      <c r="AC82" s="481"/>
      <c r="AD82" s="482"/>
      <c r="AE82" s="482"/>
      <c r="AF82" s="888"/>
      <c r="AG82" s="59"/>
      <c r="AH82" s="1163"/>
      <c r="AI82" s="59"/>
      <c r="AJ82" s="213"/>
      <c r="AK82" s="566"/>
      <c r="AL82" s="566"/>
    </row>
    <row r="83" spans="1:38" s="567" customFormat="1" ht="18" thickBot="1">
      <c r="A83" s="558"/>
      <c r="B83" s="559"/>
      <c r="C83" s="573"/>
      <c r="D83" s="868"/>
      <c r="E83" s="575"/>
      <c r="F83" s="1329"/>
      <c r="G83" s="832"/>
      <c r="H83" s="830"/>
      <c r="I83" s="1649"/>
      <c r="J83" s="916"/>
      <c r="K83" s="1005" t="s">
        <v>138</v>
      </c>
      <c r="L83" s="1632"/>
      <c r="M83" s="1633"/>
      <c r="N83" s="1633"/>
      <c r="O83" s="1633"/>
      <c r="P83" s="1633"/>
      <c r="Q83" s="1633"/>
      <c r="R83" s="1633"/>
      <c r="S83" s="1633"/>
      <c r="T83" s="1634"/>
      <c r="U83" s="1160"/>
      <c r="V83" s="824"/>
      <c r="W83" s="824"/>
      <c r="X83" s="824"/>
      <c r="Y83" s="832"/>
      <c r="Z83" s="824"/>
      <c r="AA83" s="824"/>
      <c r="AB83" s="824"/>
      <c r="AC83" s="481"/>
      <c r="AD83" s="482"/>
      <c r="AE83" s="482"/>
      <c r="AF83" s="888"/>
      <c r="AG83" s="59"/>
      <c r="AH83" s="1163"/>
      <c r="AI83" s="59"/>
      <c r="AJ83" s="213"/>
      <c r="AK83" s="566"/>
      <c r="AL83" s="566"/>
    </row>
    <row r="84" spans="1:38" s="567" customFormat="1">
      <c r="A84" s="558"/>
      <c r="B84" s="559"/>
      <c r="C84" s="573"/>
      <c r="D84" s="868"/>
      <c r="E84" s="575"/>
      <c r="F84" s="1329"/>
      <c r="G84" s="832"/>
      <c r="H84" s="830"/>
      <c r="I84" s="1649"/>
      <c r="J84" s="916"/>
      <c r="K84" s="1033" t="s">
        <v>1191</v>
      </c>
      <c r="L84" s="1007"/>
      <c r="M84" s="1540"/>
      <c r="N84" s="1540"/>
      <c r="O84" s="1540"/>
      <c r="P84" s="1540"/>
      <c r="Q84" s="1540"/>
      <c r="R84" s="1643"/>
      <c r="S84" s="1643"/>
      <c r="T84" s="1644"/>
      <c r="U84" s="1160"/>
      <c r="V84" s="824"/>
      <c r="W84" s="824"/>
      <c r="X84" s="824"/>
      <c r="Y84" s="832"/>
      <c r="Z84" s="824"/>
      <c r="AA84" s="824"/>
      <c r="AB84" s="824"/>
      <c r="AC84" s="481"/>
      <c r="AD84" s="482"/>
      <c r="AE84" s="482"/>
      <c r="AF84" s="888"/>
      <c r="AG84" s="59"/>
      <c r="AH84" s="1163"/>
      <c r="AI84" s="59"/>
      <c r="AJ84" s="213"/>
      <c r="AK84" s="566"/>
      <c r="AL84" s="566"/>
    </row>
    <row r="85" spans="1:38" s="567" customFormat="1" ht="18" thickBot="1">
      <c r="A85" s="558"/>
      <c r="B85" s="559"/>
      <c r="C85" s="573"/>
      <c r="D85" s="868"/>
      <c r="E85" s="575"/>
      <c r="F85" s="1329"/>
      <c r="G85" s="832"/>
      <c r="H85" s="830"/>
      <c r="I85" s="1649"/>
      <c r="J85" s="916"/>
      <c r="K85" s="1005" t="s">
        <v>138</v>
      </c>
      <c r="L85" s="1645"/>
      <c r="M85" s="1646"/>
      <c r="N85" s="1646"/>
      <c r="O85" s="1646"/>
      <c r="P85" s="1646"/>
      <c r="Q85" s="1646"/>
      <c r="R85" s="1646"/>
      <c r="S85" s="1646"/>
      <c r="T85" s="1647"/>
      <c r="U85" s="1160"/>
      <c r="V85" s="824"/>
      <c r="W85" s="824"/>
      <c r="X85" s="824"/>
      <c r="Y85" s="832"/>
      <c r="Z85" s="824"/>
      <c r="AA85" s="824"/>
      <c r="AB85" s="824"/>
      <c r="AC85" s="481"/>
      <c r="AD85" s="482"/>
      <c r="AE85" s="482"/>
      <c r="AF85" s="888"/>
      <c r="AG85" s="59"/>
      <c r="AH85" s="1164"/>
      <c r="AI85" s="59"/>
      <c r="AJ85" s="213"/>
      <c r="AK85" s="566"/>
      <c r="AL85" s="566"/>
    </row>
    <row r="86" spans="1:38" s="567" customFormat="1" ht="33" customHeight="1">
      <c r="A86" s="558" t="s">
        <v>2</v>
      </c>
      <c r="B86" s="559"/>
      <c r="C86" s="1426" t="s">
        <v>1194</v>
      </c>
      <c r="D86" s="1562" t="s">
        <v>1195</v>
      </c>
      <c r="E86" s="1564" t="s">
        <v>1214</v>
      </c>
      <c r="F86" s="1328" t="s">
        <v>1196</v>
      </c>
      <c r="G86" s="831" t="s">
        <v>93</v>
      </c>
      <c r="H86" s="829" t="s">
        <v>254</v>
      </c>
      <c r="I86" s="1648" t="s">
        <v>1192</v>
      </c>
      <c r="J86" s="828" t="s">
        <v>943</v>
      </c>
      <c r="K86" s="1669" t="s">
        <v>1183</v>
      </c>
      <c r="L86" s="1670" t="s">
        <v>1184</v>
      </c>
      <c r="M86" s="1461" t="s">
        <v>1202</v>
      </c>
      <c r="N86" s="1461"/>
      <c r="O86" s="1461"/>
      <c r="P86" s="1461"/>
      <c r="Q86" s="1656" t="s">
        <v>1203</v>
      </c>
      <c r="R86" s="1656"/>
      <c r="S86" s="1461" t="s">
        <v>1204</v>
      </c>
      <c r="T86" s="1658"/>
      <c r="U86" s="1159" t="s">
        <v>11</v>
      </c>
      <c r="V86" s="823"/>
      <c r="W86" s="823"/>
      <c r="X86" s="823"/>
      <c r="Y86" s="831"/>
      <c r="Z86" s="823"/>
      <c r="AA86" s="823"/>
      <c r="AB86" s="823"/>
      <c r="AC86" s="479"/>
      <c r="AD86" s="480"/>
      <c r="AE86" s="480"/>
      <c r="AF86" s="922"/>
      <c r="AG86" s="56"/>
      <c r="AH86" s="1162" t="s">
        <v>44</v>
      </c>
      <c r="AI86" s="56"/>
      <c r="AJ86" s="191"/>
      <c r="AK86" s="566"/>
      <c r="AL86" s="566"/>
    </row>
    <row r="87" spans="1:38" s="567" customFormat="1" ht="33" customHeight="1">
      <c r="A87" s="558"/>
      <c r="B87" s="559"/>
      <c r="C87" s="1427"/>
      <c r="D87" s="1563"/>
      <c r="E87" s="1565"/>
      <c r="F87" s="1329"/>
      <c r="G87" s="832"/>
      <c r="H87" s="830"/>
      <c r="I87" s="1649"/>
      <c r="J87" s="728"/>
      <c r="K87" s="1669"/>
      <c r="L87" s="1671"/>
      <c r="M87" s="1661" t="s">
        <v>1205</v>
      </c>
      <c r="N87" s="1661"/>
      <c r="O87" s="1661" t="s">
        <v>1206</v>
      </c>
      <c r="P87" s="1661"/>
      <c r="Q87" s="1657"/>
      <c r="R87" s="1657"/>
      <c r="S87" s="1659"/>
      <c r="T87" s="1660"/>
      <c r="U87" s="1160"/>
      <c r="V87" s="824"/>
      <c r="W87" s="824"/>
      <c r="X87" s="824"/>
      <c r="Y87" s="832"/>
      <c r="Z87" s="824"/>
      <c r="AA87" s="824"/>
      <c r="AB87" s="824"/>
      <c r="AC87" s="481"/>
      <c r="AD87" s="482"/>
      <c r="AE87" s="482"/>
      <c r="AF87" s="888"/>
      <c r="AG87" s="59"/>
      <c r="AH87" s="1163"/>
      <c r="AI87" s="59"/>
      <c r="AJ87" s="213"/>
      <c r="AK87" s="566"/>
      <c r="AL87" s="566"/>
    </row>
    <row r="88" spans="1:38" s="200" customFormat="1" ht="22.5" customHeight="1">
      <c r="A88" s="625"/>
      <c r="B88" s="626"/>
      <c r="C88" s="1427"/>
      <c r="D88" s="1563"/>
      <c r="E88" s="1565"/>
      <c r="F88" s="1329"/>
      <c r="G88" s="832"/>
      <c r="H88" s="830"/>
      <c r="I88" s="1649"/>
      <c r="J88" s="916"/>
      <c r="K88" s="1030" t="s">
        <v>1188</v>
      </c>
      <c r="L88" s="1006"/>
      <c r="M88" s="1653"/>
      <c r="N88" s="1653"/>
      <c r="O88" s="1653"/>
      <c r="P88" s="1653"/>
      <c r="Q88" s="1653"/>
      <c r="R88" s="1653"/>
      <c r="S88" s="1654"/>
      <c r="T88" s="1655"/>
      <c r="U88" s="1160"/>
      <c r="V88" s="824"/>
      <c r="W88" s="824"/>
      <c r="X88" s="824"/>
      <c r="Y88" s="832"/>
      <c r="Z88" s="824"/>
      <c r="AA88" s="824"/>
      <c r="AB88" s="824"/>
      <c r="AC88" s="481"/>
      <c r="AD88" s="482"/>
      <c r="AE88" s="482"/>
      <c r="AF88" s="888"/>
      <c r="AG88" s="59"/>
      <c r="AH88" s="1163"/>
      <c r="AI88" s="59"/>
      <c r="AJ88" s="213"/>
      <c r="AK88" s="628"/>
      <c r="AL88" s="628"/>
    </row>
    <row r="89" spans="1:38" s="567" customFormat="1" ht="18" thickBot="1">
      <c r="A89" s="558"/>
      <c r="B89" s="559"/>
      <c r="C89" s="1427"/>
      <c r="D89" s="1563"/>
      <c r="E89" s="1565"/>
      <c r="F89" s="1329"/>
      <c r="G89" s="832"/>
      <c r="H89" s="830"/>
      <c r="I89" s="1649"/>
      <c r="J89" s="916"/>
      <c r="K89" s="1005" t="s">
        <v>138</v>
      </c>
      <c r="L89" s="1650"/>
      <c r="M89" s="1651"/>
      <c r="N89" s="1651"/>
      <c r="O89" s="1651"/>
      <c r="P89" s="1651"/>
      <c r="Q89" s="1651"/>
      <c r="R89" s="1651"/>
      <c r="S89" s="1651"/>
      <c r="T89" s="1652"/>
      <c r="U89" s="1160"/>
      <c r="V89" s="824"/>
      <c r="W89" s="824"/>
      <c r="X89" s="824"/>
      <c r="Y89" s="832"/>
      <c r="Z89" s="824"/>
      <c r="AA89" s="824"/>
      <c r="AB89" s="824"/>
      <c r="AC89" s="481"/>
      <c r="AD89" s="482"/>
      <c r="AE89" s="482"/>
      <c r="AF89" s="888"/>
      <c r="AG89" s="59"/>
      <c r="AH89" s="1163"/>
      <c r="AI89" s="59"/>
      <c r="AJ89" s="213"/>
      <c r="AK89" s="566"/>
      <c r="AL89" s="566"/>
    </row>
    <row r="90" spans="1:38" s="567" customFormat="1">
      <c r="A90" s="558"/>
      <c r="B90" s="559"/>
      <c r="C90" s="1427"/>
      <c r="D90" s="1563"/>
      <c r="E90" s="1565"/>
      <c r="F90" s="1329"/>
      <c r="G90" s="832"/>
      <c r="H90" s="830"/>
      <c r="I90" s="1649"/>
      <c r="J90" s="916"/>
      <c r="K90" s="1031" t="s">
        <v>1189</v>
      </c>
      <c r="L90" s="1006"/>
      <c r="M90" s="1653"/>
      <c r="N90" s="1653"/>
      <c r="O90" s="1653"/>
      <c r="P90" s="1653"/>
      <c r="Q90" s="1653"/>
      <c r="R90" s="1653"/>
      <c r="S90" s="1654"/>
      <c r="T90" s="1655"/>
      <c r="U90" s="1160"/>
      <c r="V90" s="824"/>
      <c r="W90" s="824"/>
      <c r="X90" s="824"/>
      <c r="Y90" s="832"/>
      <c r="Z90" s="824"/>
      <c r="AA90" s="824"/>
      <c r="AB90" s="824"/>
      <c r="AC90" s="481"/>
      <c r="AD90" s="482"/>
      <c r="AE90" s="482"/>
      <c r="AF90" s="888"/>
      <c r="AG90" s="59"/>
      <c r="AH90" s="1163"/>
      <c r="AI90" s="59"/>
      <c r="AJ90" s="213"/>
      <c r="AK90" s="566"/>
      <c r="AL90" s="566"/>
    </row>
    <row r="91" spans="1:38" s="567" customFormat="1" ht="18" thickBot="1">
      <c r="A91" s="558"/>
      <c r="B91" s="559"/>
      <c r="C91" s="573"/>
      <c r="D91" s="868"/>
      <c r="E91" s="575"/>
      <c r="F91" s="1329"/>
      <c r="G91" s="832"/>
      <c r="H91" s="830"/>
      <c r="I91" s="1649"/>
      <c r="J91" s="916"/>
      <c r="K91" s="1005" t="s">
        <v>138</v>
      </c>
      <c r="L91" s="1650"/>
      <c r="M91" s="1651"/>
      <c r="N91" s="1651"/>
      <c r="O91" s="1651"/>
      <c r="P91" s="1651"/>
      <c r="Q91" s="1651"/>
      <c r="R91" s="1651"/>
      <c r="S91" s="1651"/>
      <c r="T91" s="1652"/>
      <c r="U91" s="1160"/>
      <c r="V91" s="824"/>
      <c r="W91" s="824"/>
      <c r="X91" s="824"/>
      <c r="Y91" s="832"/>
      <c r="Z91" s="824"/>
      <c r="AA91" s="824"/>
      <c r="AB91" s="824"/>
      <c r="AC91" s="481"/>
      <c r="AD91" s="482"/>
      <c r="AE91" s="482"/>
      <c r="AF91" s="888"/>
      <c r="AG91" s="59"/>
      <c r="AH91" s="1163"/>
      <c r="AI91" s="59"/>
      <c r="AJ91" s="213"/>
      <c r="AK91" s="566"/>
      <c r="AL91" s="566"/>
    </row>
    <row r="92" spans="1:38" s="567" customFormat="1">
      <c r="A92" s="558"/>
      <c r="B92" s="559"/>
      <c r="C92" s="573"/>
      <c r="D92" s="868"/>
      <c r="E92" s="575"/>
      <c r="F92" s="1329"/>
      <c r="G92" s="832"/>
      <c r="H92" s="830"/>
      <c r="I92" s="1649"/>
      <c r="J92" s="916"/>
      <c r="K92" s="1032" t="s">
        <v>1190</v>
      </c>
      <c r="L92" s="1006"/>
      <c r="M92" s="1653"/>
      <c r="N92" s="1653"/>
      <c r="O92" s="1653"/>
      <c r="P92" s="1653"/>
      <c r="Q92" s="1653"/>
      <c r="R92" s="1653"/>
      <c r="S92" s="1654"/>
      <c r="T92" s="1655"/>
      <c r="U92" s="1160"/>
      <c r="V92" s="824"/>
      <c r="W92" s="824"/>
      <c r="X92" s="824"/>
      <c r="Y92" s="832"/>
      <c r="Z92" s="824"/>
      <c r="AA92" s="824"/>
      <c r="AB92" s="824"/>
      <c r="AC92" s="481"/>
      <c r="AD92" s="482"/>
      <c r="AE92" s="482"/>
      <c r="AF92" s="888"/>
      <c r="AG92" s="59"/>
      <c r="AH92" s="1163"/>
      <c r="AI92" s="59"/>
      <c r="AJ92" s="213"/>
      <c r="AK92" s="566"/>
      <c r="AL92" s="566"/>
    </row>
    <row r="93" spans="1:38" s="567" customFormat="1" ht="18" thickBot="1">
      <c r="A93" s="558"/>
      <c r="B93" s="559"/>
      <c r="C93" s="573"/>
      <c r="D93" s="868"/>
      <c r="E93" s="575"/>
      <c r="F93" s="1329"/>
      <c r="G93" s="832"/>
      <c r="H93" s="830"/>
      <c r="I93" s="1649"/>
      <c r="J93" s="916"/>
      <c r="K93" s="1005" t="s">
        <v>138</v>
      </c>
      <c r="L93" s="1650"/>
      <c r="M93" s="1651"/>
      <c r="N93" s="1651"/>
      <c r="O93" s="1651"/>
      <c r="P93" s="1651"/>
      <c r="Q93" s="1651"/>
      <c r="R93" s="1651"/>
      <c r="S93" s="1651"/>
      <c r="T93" s="1652"/>
      <c r="U93" s="1160"/>
      <c r="V93" s="824"/>
      <c r="W93" s="824"/>
      <c r="X93" s="824"/>
      <c r="Y93" s="832"/>
      <c r="Z93" s="824"/>
      <c r="AA93" s="824"/>
      <c r="AB93" s="824"/>
      <c r="AC93" s="481"/>
      <c r="AD93" s="482"/>
      <c r="AE93" s="482"/>
      <c r="AF93" s="888"/>
      <c r="AG93" s="59"/>
      <c r="AH93" s="1163"/>
      <c r="AI93" s="59"/>
      <c r="AJ93" s="213"/>
      <c r="AK93" s="566"/>
      <c r="AL93" s="566"/>
    </row>
    <row r="94" spans="1:38" s="567" customFormat="1">
      <c r="A94" s="558"/>
      <c r="B94" s="559"/>
      <c r="C94" s="573"/>
      <c r="D94" s="868"/>
      <c r="E94" s="575"/>
      <c r="F94" s="1329"/>
      <c r="G94" s="832"/>
      <c r="H94" s="830"/>
      <c r="I94" s="1649"/>
      <c r="J94" s="916"/>
      <c r="K94" s="1033" t="s">
        <v>1191</v>
      </c>
      <c r="L94" s="1006"/>
      <c r="M94" s="1653"/>
      <c r="N94" s="1653"/>
      <c r="O94" s="1653"/>
      <c r="P94" s="1653"/>
      <c r="Q94" s="1653"/>
      <c r="R94" s="1653"/>
      <c r="S94" s="1654"/>
      <c r="T94" s="1655"/>
      <c r="U94" s="1160"/>
      <c r="V94" s="824"/>
      <c r="W94" s="824"/>
      <c r="X94" s="824"/>
      <c r="Y94" s="832"/>
      <c r="Z94" s="824"/>
      <c r="AA94" s="824"/>
      <c r="AB94" s="824"/>
      <c r="AC94" s="481"/>
      <c r="AD94" s="482"/>
      <c r="AE94" s="482"/>
      <c r="AF94" s="888"/>
      <c r="AG94" s="59"/>
      <c r="AH94" s="1163"/>
      <c r="AI94" s="59"/>
      <c r="AJ94" s="213"/>
      <c r="AK94" s="566"/>
      <c r="AL94" s="566"/>
    </row>
    <row r="95" spans="1:38" s="567" customFormat="1" ht="18" thickBot="1">
      <c r="A95" s="558"/>
      <c r="B95" s="559"/>
      <c r="C95" s="573"/>
      <c r="D95" s="868"/>
      <c r="E95" s="575"/>
      <c r="F95" s="1329"/>
      <c r="G95" s="832"/>
      <c r="H95" s="830"/>
      <c r="I95" s="1649"/>
      <c r="J95" s="916"/>
      <c r="K95" s="1005" t="s">
        <v>138</v>
      </c>
      <c r="L95" s="1662"/>
      <c r="M95" s="1663"/>
      <c r="N95" s="1663"/>
      <c r="O95" s="1663"/>
      <c r="P95" s="1663"/>
      <c r="Q95" s="1663"/>
      <c r="R95" s="1663"/>
      <c r="S95" s="1663"/>
      <c r="T95" s="1664"/>
      <c r="U95" s="1160"/>
      <c r="V95" s="824"/>
      <c r="W95" s="824"/>
      <c r="X95" s="824"/>
      <c r="Y95" s="832"/>
      <c r="Z95" s="824"/>
      <c r="AA95" s="824"/>
      <c r="AB95" s="824"/>
      <c r="AC95" s="481"/>
      <c r="AD95" s="482"/>
      <c r="AE95" s="482"/>
      <c r="AF95" s="888"/>
      <c r="AG95" s="59"/>
      <c r="AH95" s="1164"/>
      <c r="AI95" s="59"/>
      <c r="AJ95" s="213"/>
      <c r="AK95" s="566"/>
      <c r="AL95" s="566"/>
    </row>
    <row r="96" spans="1:38" s="567" customFormat="1" ht="33" customHeight="1">
      <c r="A96" s="558" t="s">
        <v>2</v>
      </c>
      <c r="B96" s="559"/>
      <c r="C96" s="1426" t="s">
        <v>1197</v>
      </c>
      <c r="D96" s="1562" t="s">
        <v>1198</v>
      </c>
      <c r="E96" s="1667" t="s">
        <v>1229</v>
      </c>
      <c r="F96" s="1328" t="s">
        <v>1201</v>
      </c>
      <c r="G96" s="831" t="s">
        <v>93</v>
      </c>
      <c r="H96" s="829" t="s">
        <v>254</v>
      </c>
      <c r="I96" s="1648" t="s">
        <v>1209</v>
      </c>
      <c r="J96" s="828" t="s">
        <v>943</v>
      </c>
      <c r="K96" s="1034" t="s">
        <v>1183</v>
      </c>
      <c r="L96" s="876" t="s">
        <v>1184</v>
      </c>
      <c r="M96" s="1461" t="s">
        <v>1207</v>
      </c>
      <c r="N96" s="1461"/>
      <c r="O96" s="1461"/>
      <c r="P96" s="1461"/>
      <c r="Q96" s="1461" t="s">
        <v>1208</v>
      </c>
      <c r="R96" s="1461"/>
      <c r="S96" s="1461" t="s">
        <v>691</v>
      </c>
      <c r="T96" s="1658"/>
      <c r="U96" s="1159" t="s">
        <v>11</v>
      </c>
      <c r="V96" s="823"/>
      <c r="W96" s="823"/>
      <c r="X96" s="823"/>
      <c r="Y96" s="831"/>
      <c r="Z96" s="823"/>
      <c r="AA96" s="823"/>
      <c r="AB96" s="823"/>
      <c r="AC96" s="479"/>
      <c r="AD96" s="480"/>
      <c r="AE96" s="480"/>
      <c r="AF96" s="922"/>
      <c r="AG96" s="56"/>
      <c r="AH96" s="1162" t="s">
        <v>44</v>
      </c>
      <c r="AI96" s="56"/>
      <c r="AJ96" s="191"/>
      <c r="AK96" s="566"/>
      <c r="AL96" s="566"/>
    </row>
    <row r="97" spans="1:38" s="200" customFormat="1" ht="22.5" customHeight="1">
      <c r="A97" s="625"/>
      <c r="B97" s="626"/>
      <c r="C97" s="1427"/>
      <c r="D97" s="1563"/>
      <c r="E97" s="1668"/>
      <c r="F97" s="1329"/>
      <c r="G97" s="832"/>
      <c r="H97" s="830"/>
      <c r="I97" s="1649"/>
      <c r="J97" s="916"/>
      <c r="K97" s="1026" t="s">
        <v>1188</v>
      </c>
      <c r="L97" s="1007"/>
      <c r="M97" s="1643"/>
      <c r="N97" s="1643"/>
      <c r="O97" s="1643"/>
      <c r="P97" s="1643"/>
      <c r="Q97" s="1643"/>
      <c r="R97" s="1643"/>
      <c r="S97" s="1643"/>
      <c r="T97" s="1644"/>
      <c r="U97" s="1160"/>
      <c r="V97" s="824"/>
      <c r="W97" s="824"/>
      <c r="X97" s="824"/>
      <c r="Y97" s="832"/>
      <c r="Z97" s="824"/>
      <c r="AA97" s="824"/>
      <c r="AB97" s="824"/>
      <c r="AC97" s="481"/>
      <c r="AD97" s="482"/>
      <c r="AE97" s="482"/>
      <c r="AF97" s="888"/>
      <c r="AG97" s="59"/>
      <c r="AH97" s="1163"/>
      <c r="AI97" s="59"/>
      <c r="AJ97" s="213"/>
      <c r="AK97" s="628"/>
      <c r="AL97" s="628"/>
    </row>
    <row r="98" spans="1:38" s="567" customFormat="1" ht="18" thickBot="1">
      <c r="A98" s="558"/>
      <c r="B98" s="559"/>
      <c r="C98" s="1427"/>
      <c r="D98" s="1563"/>
      <c r="E98" s="1668"/>
      <c r="F98" s="1329"/>
      <c r="G98" s="832"/>
      <c r="H98" s="830"/>
      <c r="I98" s="1649"/>
      <c r="J98" s="916"/>
      <c r="K98" s="1005" t="s">
        <v>138</v>
      </c>
      <c r="L98" s="1632"/>
      <c r="M98" s="1633"/>
      <c r="N98" s="1633"/>
      <c r="O98" s="1633"/>
      <c r="P98" s="1633"/>
      <c r="Q98" s="1633"/>
      <c r="R98" s="1633"/>
      <c r="S98" s="1633"/>
      <c r="T98" s="1634"/>
      <c r="U98" s="1160"/>
      <c r="V98" s="824"/>
      <c r="W98" s="824"/>
      <c r="X98" s="824"/>
      <c r="Y98" s="832"/>
      <c r="Z98" s="824"/>
      <c r="AA98" s="824"/>
      <c r="AB98" s="824"/>
      <c r="AC98" s="481"/>
      <c r="AD98" s="482"/>
      <c r="AE98" s="482"/>
      <c r="AF98" s="888"/>
      <c r="AG98" s="59"/>
      <c r="AH98" s="1163"/>
      <c r="AI98" s="59"/>
      <c r="AJ98" s="213"/>
      <c r="AK98" s="566"/>
      <c r="AL98" s="566"/>
    </row>
    <row r="99" spans="1:38" s="567" customFormat="1">
      <c r="A99" s="558"/>
      <c r="B99" s="559"/>
      <c r="C99" s="1427"/>
      <c r="D99" s="1563"/>
      <c r="E99" s="1668"/>
      <c r="F99" s="1329"/>
      <c r="G99" s="832"/>
      <c r="H99" s="830"/>
      <c r="I99" s="1649"/>
      <c r="J99" s="916"/>
      <c r="K99" s="1027" t="s">
        <v>1189</v>
      </c>
      <c r="L99" s="1007"/>
      <c r="M99" s="1643"/>
      <c r="N99" s="1643"/>
      <c r="O99" s="1643"/>
      <c r="P99" s="1643"/>
      <c r="Q99" s="1643"/>
      <c r="R99" s="1643"/>
      <c r="S99" s="1643"/>
      <c r="T99" s="1644"/>
      <c r="U99" s="1160"/>
      <c r="V99" s="824"/>
      <c r="W99" s="824"/>
      <c r="X99" s="824"/>
      <c r="Y99" s="832"/>
      <c r="Z99" s="824"/>
      <c r="AA99" s="824"/>
      <c r="AB99" s="824"/>
      <c r="AC99" s="481"/>
      <c r="AD99" s="482"/>
      <c r="AE99" s="482"/>
      <c r="AF99" s="888"/>
      <c r="AG99" s="59"/>
      <c r="AH99" s="1163"/>
      <c r="AI99" s="59"/>
      <c r="AJ99" s="213"/>
      <c r="AK99" s="566"/>
      <c r="AL99" s="566"/>
    </row>
    <row r="100" spans="1:38" s="567" customFormat="1" ht="18" thickBot="1">
      <c r="A100" s="558"/>
      <c r="B100" s="559"/>
      <c r="C100" s="573"/>
      <c r="D100" s="868"/>
      <c r="E100" s="1668"/>
      <c r="F100" s="1329"/>
      <c r="G100" s="832"/>
      <c r="H100" s="830"/>
      <c r="I100" s="1649"/>
      <c r="J100" s="916"/>
      <c r="K100" s="1005" t="s">
        <v>138</v>
      </c>
      <c r="L100" s="1632"/>
      <c r="M100" s="1633"/>
      <c r="N100" s="1633"/>
      <c r="O100" s="1633"/>
      <c r="P100" s="1633"/>
      <c r="Q100" s="1633"/>
      <c r="R100" s="1633"/>
      <c r="S100" s="1633"/>
      <c r="T100" s="1634"/>
      <c r="U100" s="1160"/>
      <c r="V100" s="824"/>
      <c r="W100" s="824"/>
      <c r="X100" s="824"/>
      <c r="Y100" s="832"/>
      <c r="Z100" s="824"/>
      <c r="AA100" s="824"/>
      <c r="AB100" s="824"/>
      <c r="AC100" s="481"/>
      <c r="AD100" s="482"/>
      <c r="AE100" s="482"/>
      <c r="AF100" s="888"/>
      <c r="AG100" s="59"/>
      <c r="AH100" s="1163"/>
      <c r="AI100" s="59"/>
      <c r="AJ100" s="213"/>
      <c r="AK100" s="566"/>
      <c r="AL100" s="566"/>
    </row>
    <row r="101" spans="1:38" s="567" customFormat="1">
      <c r="A101" s="558"/>
      <c r="B101" s="559"/>
      <c r="C101" s="573"/>
      <c r="D101" s="868"/>
      <c r="E101" s="1668"/>
      <c r="F101" s="1329"/>
      <c r="G101" s="832"/>
      <c r="H101" s="830"/>
      <c r="I101" s="1649"/>
      <c r="J101" s="916"/>
      <c r="K101" s="1028" t="s">
        <v>1190</v>
      </c>
      <c r="L101" s="1007"/>
      <c r="M101" s="1643"/>
      <c r="N101" s="1643"/>
      <c r="O101" s="1643"/>
      <c r="P101" s="1643"/>
      <c r="Q101" s="1643"/>
      <c r="R101" s="1643"/>
      <c r="S101" s="1643"/>
      <c r="T101" s="1644"/>
      <c r="U101" s="1160"/>
      <c r="V101" s="824"/>
      <c r="W101" s="824"/>
      <c r="X101" s="824"/>
      <c r="Y101" s="832"/>
      <c r="Z101" s="824"/>
      <c r="AA101" s="824"/>
      <c r="AB101" s="824"/>
      <c r="AC101" s="481"/>
      <c r="AD101" s="482"/>
      <c r="AE101" s="482"/>
      <c r="AF101" s="888"/>
      <c r="AG101" s="59"/>
      <c r="AH101" s="1163"/>
      <c r="AI101" s="59"/>
      <c r="AJ101" s="213"/>
      <c r="AK101" s="566"/>
      <c r="AL101" s="566"/>
    </row>
    <row r="102" spans="1:38" s="567" customFormat="1" ht="18" thickBot="1">
      <c r="A102" s="558"/>
      <c r="B102" s="559"/>
      <c r="C102" s="573"/>
      <c r="D102" s="868" t="s">
        <v>717</v>
      </c>
      <c r="E102" s="1668"/>
      <c r="F102" s="1329"/>
      <c r="G102" s="832"/>
      <c r="H102" s="830"/>
      <c r="I102" s="1649"/>
      <c r="J102" s="916"/>
      <c r="K102" s="1005" t="s">
        <v>138</v>
      </c>
      <c r="L102" s="1632"/>
      <c r="M102" s="1633"/>
      <c r="N102" s="1633"/>
      <c r="O102" s="1633"/>
      <c r="P102" s="1633"/>
      <c r="Q102" s="1633"/>
      <c r="R102" s="1633"/>
      <c r="S102" s="1633"/>
      <c r="T102" s="1634"/>
      <c r="U102" s="1160"/>
      <c r="V102" s="824"/>
      <c r="W102" s="824"/>
      <c r="X102" s="824"/>
      <c r="Y102" s="832"/>
      <c r="Z102" s="824"/>
      <c r="AA102" s="824"/>
      <c r="AB102" s="824"/>
      <c r="AC102" s="481"/>
      <c r="AD102" s="482"/>
      <c r="AE102" s="482"/>
      <c r="AF102" s="888"/>
      <c r="AG102" s="59"/>
      <c r="AH102" s="1163"/>
      <c r="AI102" s="59"/>
      <c r="AJ102" s="213"/>
      <c r="AK102" s="566"/>
      <c r="AL102" s="566"/>
    </row>
    <row r="103" spans="1:38" s="567" customFormat="1">
      <c r="A103" s="558"/>
      <c r="B103" s="559"/>
      <c r="C103" s="573"/>
      <c r="D103" s="868"/>
      <c r="E103" s="1668"/>
      <c r="F103" s="1329"/>
      <c r="G103" s="832"/>
      <c r="H103" s="830"/>
      <c r="I103" s="1649"/>
      <c r="J103" s="916"/>
      <c r="K103" s="1029" t="s">
        <v>1191</v>
      </c>
      <c r="L103" s="1007"/>
      <c r="M103" s="1643"/>
      <c r="N103" s="1643"/>
      <c r="O103" s="1643"/>
      <c r="P103" s="1643"/>
      <c r="Q103" s="1643"/>
      <c r="R103" s="1643"/>
      <c r="S103" s="1643"/>
      <c r="T103" s="1644"/>
      <c r="U103" s="1160"/>
      <c r="V103" s="824"/>
      <c r="W103" s="824"/>
      <c r="X103" s="824"/>
      <c r="Y103" s="832"/>
      <c r="Z103" s="824"/>
      <c r="AA103" s="824"/>
      <c r="AB103" s="824"/>
      <c r="AC103" s="481"/>
      <c r="AD103" s="482"/>
      <c r="AE103" s="482"/>
      <c r="AF103" s="888"/>
      <c r="AG103" s="59"/>
      <c r="AH103" s="1163"/>
      <c r="AI103" s="59"/>
      <c r="AJ103" s="213"/>
      <c r="AK103" s="566"/>
      <c r="AL103" s="566"/>
    </row>
    <row r="104" spans="1:38" s="567" customFormat="1" ht="18" thickBot="1">
      <c r="A104" s="558"/>
      <c r="B104" s="559"/>
      <c r="C104" s="573"/>
      <c r="D104" s="868"/>
      <c r="E104" s="1668"/>
      <c r="F104" s="1329"/>
      <c r="G104" s="832"/>
      <c r="H104" s="830"/>
      <c r="I104" s="1649"/>
      <c r="J104" s="916"/>
      <c r="K104" s="1005" t="s">
        <v>138</v>
      </c>
      <c r="L104" s="1645"/>
      <c r="M104" s="1646"/>
      <c r="N104" s="1646"/>
      <c r="O104" s="1646"/>
      <c r="P104" s="1646"/>
      <c r="Q104" s="1646"/>
      <c r="R104" s="1646"/>
      <c r="S104" s="1646"/>
      <c r="T104" s="1647"/>
      <c r="U104" s="1160"/>
      <c r="V104" s="824"/>
      <c r="W104" s="824"/>
      <c r="X104" s="824"/>
      <c r="Y104" s="832"/>
      <c r="Z104" s="824"/>
      <c r="AA104" s="824"/>
      <c r="AB104" s="824"/>
      <c r="AC104" s="481"/>
      <c r="AD104" s="482"/>
      <c r="AE104" s="482"/>
      <c r="AF104" s="888"/>
      <c r="AG104" s="59"/>
      <c r="AH104" s="1163"/>
      <c r="AI104" s="59"/>
      <c r="AJ104" s="213"/>
      <c r="AK104" s="566"/>
      <c r="AL104" s="566"/>
    </row>
    <row r="105" spans="1:38" s="567" customFormat="1" ht="26.5" customHeight="1">
      <c r="A105" s="558" t="s">
        <v>3</v>
      </c>
      <c r="B105" s="559"/>
      <c r="C105" s="629"/>
      <c r="D105" s="1507" t="s">
        <v>1199</v>
      </c>
      <c r="E105" s="895"/>
      <c r="F105" s="1329"/>
      <c r="G105" s="832"/>
      <c r="H105" s="830"/>
      <c r="I105" s="1649"/>
      <c r="J105" s="916"/>
      <c r="K105" s="1010" t="s">
        <v>95</v>
      </c>
      <c r="L105" s="1011"/>
      <c r="M105" s="1011"/>
      <c r="N105" s="1011"/>
      <c r="O105" s="1011"/>
      <c r="P105" s="1011"/>
      <c r="Q105" s="1011"/>
      <c r="R105" s="1011"/>
      <c r="S105" s="1011"/>
      <c r="T105" s="1011"/>
      <c r="U105" s="1436" t="s">
        <v>11</v>
      </c>
      <c r="V105" s="822"/>
      <c r="W105" s="822"/>
      <c r="X105" s="822"/>
      <c r="Y105" s="232"/>
      <c r="Z105" s="822"/>
      <c r="AA105" s="822"/>
      <c r="AB105" s="822"/>
      <c r="AC105" s="233"/>
      <c r="AD105" s="234"/>
      <c r="AE105" s="234"/>
      <c r="AF105" s="478"/>
      <c r="AG105" s="235"/>
      <c r="AH105" s="473"/>
      <c r="AI105" s="235"/>
      <c r="AJ105" s="213"/>
      <c r="AK105" s="566"/>
      <c r="AL105" s="566"/>
    </row>
    <row r="106" spans="1:38" s="567" customFormat="1">
      <c r="A106" s="558"/>
      <c r="B106" s="559"/>
      <c r="C106" s="629"/>
      <c r="D106" s="1507"/>
      <c r="E106" s="895"/>
      <c r="F106" s="1329"/>
      <c r="G106" s="832"/>
      <c r="H106" s="830"/>
      <c r="I106" s="1649"/>
      <c r="J106" s="916"/>
      <c r="K106" s="898" t="s">
        <v>794</v>
      </c>
      <c r="L106" s="1011"/>
      <c r="M106" s="1011"/>
      <c r="N106" s="1011"/>
      <c r="O106" s="1011"/>
      <c r="P106" s="1011"/>
      <c r="Q106" s="1011"/>
      <c r="R106" s="1011"/>
      <c r="S106" s="1011"/>
      <c r="T106" s="1011"/>
      <c r="U106" s="1436"/>
      <c r="V106" s="822"/>
      <c r="W106" s="822"/>
      <c r="X106" s="822"/>
      <c r="Y106" s="232"/>
      <c r="Z106" s="822"/>
      <c r="AA106" s="822"/>
      <c r="AB106" s="822"/>
      <c r="AC106" s="233"/>
      <c r="AD106" s="234"/>
      <c r="AE106" s="234"/>
      <c r="AF106" s="478"/>
      <c r="AG106" s="235"/>
      <c r="AH106" s="473"/>
      <c r="AI106" s="235"/>
      <c r="AJ106" s="213"/>
      <c r="AK106" s="566"/>
      <c r="AL106" s="566"/>
    </row>
    <row r="107" spans="1:38" s="567" customFormat="1" ht="28">
      <c r="A107" s="558"/>
      <c r="B107" s="559"/>
      <c r="C107" s="629"/>
      <c r="D107" s="1507"/>
      <c r="E107" s="895"/>
      <c r="F107" s="1329"/>
      <c r="G107" s="832"/>
      <c r="H107" s="830"/>
      <c r="I107" s="1649"/>
      <c r="J107" s="916"/>
      <c r="K107" s="898" t="s">
        <v>693</v>
      </c>
      <c r="L107" s="1011"/>
      <c r="M107" s="1011"/>
      <c r="N107" s="1011"/>
      <c r="O107" s="1011"/>
      <c r="P107" s="1011"/>
      <c r="Q107" s="1011"/>
      <c r="R107" s="1011"/>
      <c r="S107" s="1011"/>
      <c r="T107" s="1011"/>
      <c r="U107" s="1436"/>
      <c r="V107" s="822"/>
      <c r="W107" s="822"/>
      <c r="X107" s="822"/>
      <c r="Y107" s="232"/>
      <c r="Z107" s="822"/>
      <c r="AA107" s="822"/>
      <c r="AB107" s="822"/>
      <c r="AC107" s="233"/>
      <c r="AD107" s="234"/>
      <c r="AE107" s="234"/>
      <c r="AF107" s="478"/>
      <c r="AG107" s="235"/>
      <c r="AH107" s="473"/>
      <c r="AI107" s="235"/>
      <c r="AJ107" s="213"/>
      <c r="AK107" s="566"/>
      <c r="AL107" s="566"/>
    </row>
    <row r="108" spans="1:38" s="567" customFormat="1">
      <c r="A108" s="558"/>
      <c r="B108" s="559"/>
      <c r="C108" s="629"/>
      <c r="D108" s="1507"/>
      <c r="E108" s="895"/>
      <c r="F108" s="1329"/>
      <c r="G108" s="832"/>
      <c r="H108" s="830"/>
      <c r="I108" s="1649"/>
      <c r="J108" s="916"/>
      <c r="K108" s="932" t="s">
        <v>96</v>
      </c>
      <c r="L108" s="1011"/>
      <c r="M108" s="1011"/>
      <c r="N108" s="1011"/>
      <c r="O108" s="1011"/>
      <c r="P108" s="1011"/>
      <c r="Q108" s="1011"/>
      <c r="R108" s="1011"/>
      <c r="S108" s="1011"/>
      <c r="T108" s="1011"/>
      <c r="U108" s="1436"/>
      <c r="V108" s="822"/>
      <c r="W108" s="822"/>
      <c r="X108" s="822"/>
      <c r="Y108" s="232"/>
      <c r="Z108" s="822"/>
      <c r="AA108" s="822"/>
      <c r="AB108" s="822"/>
      <c r="AC108" s="233"/>
      <c r="AD108" s="234"/>
      <c r="AE108" s="234"/>
      <c r="AF108" s="478"/>
      <c r="AG108" s="235"/>
      <c r="AH108" s="473"/>
      <c r="AI108" s="235"/>
      <c r="AJ108" s="213"/>
      <c r="AK108" s="566"/>
      <c r="AL108" s="566"/>
    </row>
    <row r="109" spans="1:38" s="567" customFormat="1" ht="26.5" customHeight="1" thickBot="1">
      <c r="A109" s="558" t="s">
        <v>3</v>
      </c>
      <c r="B109" s="559"/>
      <c r="C109" s="671"/>
      <c r="D109" s="914" t="s">
        <v>1200</v>
      </c>
      <c r="E109" s="1035"/>
      <c r="F109" s="409"/>
      <c r="G109" s="410" t="s">
        <v>91</v>
      </c>
      <c r="H109" s="634" t="s">
        <v>100</v>
      </c>
      <c r="I109" s="1037" t="s">
        <v>1210</v>
      </c>
      <c r="J109" s="729" t="s">
        <v>695</v>
      </c>
      <c r="K109" s="1038"/>
      <c r="L109" s="1039"/>
      <c r="M109" s="1665"/>
      <c r="N109" s="1666"/>
      <c r="O109" s="1666"/>
      <c r="P109" s="1666"/>
      <c r="Q109" s="1666"/>
      <c r="R109" s="1666"/>
      <c r="S109" s="1666"/>
      <c r="T109" s="1666"/>
      <c r="U109" s="848" t="s">
        <v>11</v>
      </c>
      <c r="V109" s="409"/>
      <c r="W109" s="409"/>
      <c r="X109" s="409"/>
      <c r="Y109" s="410"/>
      <c r="Z109" s="409"/>
      <c r="AA109" s="409"/>
      <c r="AB109" s="409"/>
      <c r="AC109" s="411"/>
      <c r="AD109" s="412"/>
      <c r="AE109" s="412"/>
      <c r="AF109" s="738"/>
      <c r="AG109" s="413"/>
      <c r="AH109" s="474"/>
      <c r="AI109" s="413"/>
      <c r="AJ109" s="422"/>
      <c r="AK109" s="566"/>
      <c r="AL109" s="566"/>
    </row>
    <row r="110" spans="1:38" ht="36" customHeight="1" thickBot="1">
      <c r="B110" s="86"/>
      <c r="C110" s="89" t="s">
        <v>454</v>
      </c>
      <c r="D110" s="90"/>
      <c r="E110" s="91"/>
      <c r="F110" s="92"/>
      <c r="G110" s="93"/>
      <c r="H110" s="93"/>
      <c r="I110" s="94"/>
      <c r="J110" s="93"/>
      <c r="K110" s="94"/>
      <c r="L110" s="208"/>
      <c r="M110" s="208"/>
      <c r="N110" s="208"/>
      <c r="O110" s="208"/>
      <c r="P110" s="208"/>
      <c r="Q110" s="208"/>
      <c r="R110" s="208"/>
      <c r="S110" s="208"/>
      <c r="T110" s="208"/>
      <c r="U110" s="212"/>
      <c r="V110" s="208"/>
      <c r="W110" s="208"/>
      <c r="X110" s="208"/>
      <c r="Y110" s="208"/>
      <c r="Z110" s="208"/>
      <c r="AA110" s="208"/>
      <c r="AB110" s="208"/>
      <c r="AC110" s="208"/>
      <c r="AD110" s="208"/>
      <c r="AE110" s="208"/>
      <c r="AF110" s="209"/>
      <c r="AG110" s="208"/>
      <c r="AH110" s="212"/>
      <c r="AI110" s="208"/>
      <c r="AJ110" s="213"/>
      <c r="AK110" s="60"/>
      <c r="AL110" s="60"/>
    </row>
    <row r="111" spans="1:38" s="39" customFormat="1" ht="57" thickBot="1">
      <c r="A111" s="136"/>
      <c r="B111" s="87"/>
      <c r="C111" s="62"/>
      <c r="D111" s="63" t="s">
        <v>455</v>
      </c>
      <c r="E111" s="104"/>
      <c r="F111" s="103"/>
      <c r="G111" s="103"/>
      <c r="H111" s="103"/>
      <c r="I111" s="103" t="s">
        <v>462</v>
      </c>
      <c r="J111" s="360"/>
      <c r="K111" s="105"/>
      <c r="L111" s="1290" t="s">
        <v>461</v>
      </c>
      <c r="M111" s="1291"/>
      <c r="N111" s="1291"/>
      <c r="O111" s="1291"/>
      <c r="P111" s="1291"/>
      <c r="Q111" s="1291"/>
      <c r="R111" s="1291"/>
      <c r="S111" s="1291"/>
      <c r="T111" s="1292"/>
      <c r="U111" s="209"/>
      <c r="V111" s="210"/>
      <c r="W111" s="210"/>
      <c r="X111" s="210"/>
      <c r="Y111" s="210"/>
      <c r="Z111" s="210"/>
      <c r="AA111" s="210"/>
      <c r="AB111" s="210"/>
      <c r="AC111" s="210"/>
      <c r="AD111" s="210"/>
      <c r="AE111" s="210"/>
      <c r="AF111" s="209"/>
      <c r="AG111" s="210"/>
      <c r="AH111" s="209"/>
      <c r="AI111" s="210"/>
      <c r="AJ111" s="211"/>
      <c r="AK111" s="64"/>
      <c r="AL111" s="64"/>
    </row>
    <row r="112" spans="1:38" ht="37" customHeight="1" thickBot="1">
      <c r="B112" s="86"/>
      <c r="C112" s="89" t="s">
        <v>101</v>
      </c>
      <c r="D112" s="90"/>
      <c r="E112" s="91"/>
      <c r="F112" s="92"/>
      <c r="G112" s="93"/>
      <c r="H112" s="93"/>
      <c r="I112" s="94"/>
      <c r="J112" s="93"/>
      <c r="K112" s="94"/>
      <c r="L112" s="838"/>
      <c r="M112" s="839"/>
      <c r="N112" s="839"/>
      <c r="O112" s="839"/>
      <c r="P112" s="839"/>
      <c r="Q112" s="839"/>
      <c r="R112" s="839"/>
      <c r="S112" s="839"/>
      <c r="T112" s="839"/>
      <c r="U112" s="212"/>
      <c r="V112" s="208"/>
      <c r="W112" s="208"/>
      <c r="X112" s="208"/>
      <c r="Y112" s="208"/>
      <c r="Z112" s="208"/>
      <c r="AA112" s="208"/>
      <c r="AB112" s="208"/>
      <c r="AC112" s="208"/>
      <c r="AD112" s="208"/>
      <c r="AE112" s="208"/>
      <c r="AF112" s="209"/>
      <c r="AG112" s="208"/>
      <c r="AH112" s="212"/>
      <c r="AI112" s="208"/>
      <c r="AJ112" s="213"/>
      <c r="AK112" s="60"/>
      <c r="AL112" s="60"/>
    </row>
    <row r="113" spans="1:123" s="39" customFormat="1" ht="57" thickBot="1">
      <c r="A113" s="136"/>
      <c r="B113" s="88"/>
      <c r="C113" s="62"/>
      <c r="D113" s="63" t="s">
        <v>456</v>
      </c>
      <c r="E113" s="104"/>
      <c r="F113" s="103"/>
      <c r="G113" s="103"/>
      <c r="H113" s="103"/>
      <c r="I113" s="103" t="s">
        <v>463</v>
      </c>
      <c r="J113" s="360"/>
      <c r="K113" s="105"/>
      <c r="L113" s="1290" t="s">
        <v>460</v>
      </c>
      <c r="M113" s="1291"/>
      <c r="N113" s="1291"/>
      <c r="O113" s="1291"/>
      <c r="P113" s="1291"/>
      <c r="Q113" s="1291"/>
      <c r="R113" s="1291"/>
      <c r="S113" s="1291"/>
      <c r="T113" s="1292"/>
      <c r="U113" s="209"/>
      <c r="V113" s="210"/>
      <c r="W113" s="210"/>
      <c r="X113" s="210"/>
      <c r="Y113" s="210"/>
      <c r="Z113" s="210"/>
      <c r="AA113" s="210"/>
      <c r="AB113" s="210"/>
      <c r="AC113" s="210"/>
      <c r="AD113" s="210"/>
      <c r="AE113" s="210"/>
      <c r="AF113" s="209"/>
      <c r="AG113" s="210"/>
      <c r="AH113" s="209"/>
      <c r="AI113" s="210"/>
      <c r="AJ113" s="211"/>
      <c r="AK113" s="64"/>
      <c r="AL113" s="64"/>
    </row>
    <row r="114" spans="1:123" s="102" customFormat="1" ht="15" customHeight="1">
      <c r="A114" s="142"/>
      <c r="B114" s="85"/>
      <c r="C114" s="80"/>
      <c r="D114" s="81"/>
      <c r="E114" s="79"/>
      <c r="F114" s="79"/>
      <c r="G114" s="79"/>
      <c r="H114" s="79"/>
      <c r="I114" s="79"/>
      <c r="J114" s="361"/>
      <c r="K114" s="79"/>
      <c r="L114" s="214"/>
      <c r="M114" s="215"/>
      <c r="N114" s="216"/>
      <c r="O114" s="216"/>
      <c r="P114" s="214"/>
      <c r="Q114" s="217"/>
      <c r="R114" s="217"/>
      <c r="S114" s="217"/>
      <c r="T114" s="217"/>
      <c r="U114" s="218"/>
      <c r="V114" s="217"/>
      <c r="W114" s="217"/>
      <c r="X114" s="217"/>
      <c r="Y114" s="217"/>
      <c r="Z114" s="217"/>
      <c r="AA114" s="217"/>
      <c r="AB114" s="217"/>
      <c r="AC114" s="217"/>
      <c r="AD114" s="217"/>
      <c r="AE114" s="217"/>
      <c r="AF114" s="518"/>
      <c r="AG114" s="217"/>
      <c r="AH114" s="218"/>
      <c r="AI114" s="217"/>
      <c r="AJ114" s="219"/>
    </row>
    <row r="115" spans="1:123" s="102" customFormat="1" ht="13">
      <c r="A115" s="142"/>
      <c r="B115" s="85"/>
      <c r="C115" s="99"/>
      <c r="D115" s="100"/>
      <c r="E115" s="101"/>
      <c r="F115" s="101"/>
      <c r="G115" s="101"/>
      <c r="H115" s="101"/>
      <c r="I115" s="101"/>
      <c r="J115" s="362"/>
      <c r="K115" s="85"/>
      <c r="L115" s="214"/>
      <c r="M115" s="215"/>
      <c r="N115" s="216"/>
      <c r="O115" s="216"/>
      <c r="P115" s="214"/>
      <c r="Q115" s="217"/>
      <c r="R115" s="217"/>
      <c r="S115" s="217"/>
      <c r="T115" s="217"/>
      <c r="U115" s="218"/>
      <c r="V115" s="217"/>
      <c r="W115" s="217"/>
      <c r="X115" s="217"/>
      <c r="Y115" s="217"/>
      <c r="Z115" s="217"/>
      <c r="AA115" s="217"/>
      <c r="AB115" s="217"/>
      <c r="AC115" s="217"/>
      <c r="AD115" s="217"/>
      <c r="AE115" s="217"/>
      <c r="AF115" s="518"/>
      <c r="AG115" s="217"/>
      <c r="AH115" s="218"/>
      <c r="AI115" s="217"/>
      <c r="AJ115" s="219"/>
    </row>
    <row r="116" spans="1:123" s="102" customFormat="1" ht="13">
      <c r="A116" s="142"/>
      <c r="B116" s="82"/>
      <c r="C116" s="83"/>
      <c r="D116" s="84"/>
      <c r="E116" s="32"/>
      <c r="F116" s="32"/>
      <c r="G116" s="32"/>
      <c r="H116" s="32"/>
      <c r="I116" s="32"/>
      <c r="J116" s="363"/>
      <c r="K116" s="82"/>
      <c r="L116" s="214"/>
      <c r="M116" s="215"/>
      <c r="N116" s="216"/>
      <c r="O116" s="216"/>
      <c r="P116" s="214"/>
      <c r="Q116" s="217"/>
      <c r="R116" s="217"/>
      <c r="S116" s="217"/>
      <c r="T116" s="217"/>
      <c r="U116" s="218"/>
      <c r="V116" s="217"/>
      <c r="W116" s="217"/>
      <c r="X116" s="217"/>
      <c r="Y116" s="217"/>
      <c r="Z116" s="217"/>
      <c r="AA116" s="217"/>
      <c r="AB116" s="217"/>
      <c r="AC116" s="217"/>
      <c r="AD116" s="217"/>
      <c r="AE116" s="217"/>
      <c r="AF116" s="518"/>
      <c r="AG116" s="217"/>
      <c r="AH116" s="218"/>
      <c r="AI116" s="217"/>
      <c r="AJ116" s="219"/>
    </row>
    <row r="117" spans="1:123" s="53" customFormat="1">
      <c r="A117" s="236"/>
      <c r="B117" s="72" t="s">
        <v>457</v>
      </c>
      <c r="C117" s="30"/>
      <c r="D117" s="30"/>
      <c r="E117" s="65"/>
      <c r="F117" s="30"/>
      <c r="G117" s="30"/>
      <c r="H117" s="30"/>
      <c r="I117" s="30"/>
      <c r="J117" s="65"/>
      <c r="K117" s="30"/>
      <c r="L117" s="220"/>
      <c r="M117" s="220"/>
      <c r="N117" s="220"/>
      <c r="O117" s="220"/>
      <c r="P117" s="220"/>
      <c r="Q117" s="220"/>
      <c r="R117" s="220"/>
      <c r="S117" s="220"/>
      <c r="T117" s="220"/>
      <c r="U117" s="221"/>
      <c r="V117" s="220"/>
      <c r="W117" s="220"/>
      <c r="X117" s="220"/>
      <c r="Y117" s="220"/>
      <c r="Z117" s="220"/>
      <c r="AA117" s="220"/>
      <c r="AB117" s="220"/>
      <c r="AC117" s="220"/>
      <c r="AD117" s="220"/>
      <c r="AE117" s="220"/>
      <c r="AF117" s="519"/>
      <c r="AG117" s="220"/>
      <c r="AH117" s="221"/>
      <c r="AI117" s="220"/>
      <c r="AJ117" s="220"/>
      <c r="AK117" s="30"/>
      <c r="AL117" s="30"/>
    </row>
    <row r="118" spans="1:123" s="53" customFormat="1">
      <c r="A118" s="236"/>
      <c r="B118" s="30"/>
      <c r="C118" s="30"/>
      <c r="D118" s="30"/>
      <c r="E118" s="65"/>
      <c r="F118" s="30"/>
      <c r="G118" s="30"/>
      <c r="H118" s="30"/>
      <c r="I118" s="30"/>
      <c r="J118" s="65"/>
      <c r="K118" s="30"/>
      <c r="L118" s="220"/>
      <c r="M118" s="220"/>
      <c r="N118" s="220"/>
      <c r="O118" s="220"/>
      <c r="P118" s="220"/>
      <c r="Q118" s="220"/>
      <c r="R118" s="220"/>
      <c r="S118" s="220"/>
      <c r="T118" s="220"/>
      <c r="U118" s="221"/>
      <c r="V118" s="220"/>
      <c r="W118" s="220"/>
      <c r="X118" s="220"/>
      <c r="Y118" s="220"/>
      <c r="Z118" s="220"/>
      <c r="AA118" s="220"/>
      <c r="AB118" s="220"/>
      <c r="AC118" s="220"/>
      <c r="AD118" s="220"/>
      <c r="AE118" s="220"/>
      <c r="AF118" s="519"/>
      <c r="AG118" s="220"/>
      <c r="AH118" s="221"/>
      <c r="AI118" s="220"/>
      <c r="AJ118" s="220"/>
      <c r="AK118" s="30"/>
      <c r="AL118" s="30"/>
    </row>
    <row r="119" spans="1:123" s="53" customFormat="1">
      <c r="A119" s="236"/>
      <c r="B119" s="128" t="s">
        <v>467</v>
      </c>
      <c r="C119" s="31"/>
      <c r="D119" s="31"/>
      <c r="E119" s="134"/>
      <c r="F119" s="135"/>
      <c r="G119" s="135"/>
      <c r="H119" s="135"/>
      <c r="I119" s="135"/>
      <c r="J119" s="134"/>
      <c r="K119" s="135"/>
      <c r="L119" s="222"/>
      <c r="M119" s="222"/>
      <c r="N119" s="222"/>
      <c r="O119" s="222"/>
      <c r="P119" s="222"/>
      <c r="Q119" s="222"/>
      <c r="R119" s="222"/>
      <c r="S119" s="222"/>
      <c r="T119" s="222"/>
      <c r="U119" s="223"/>
      <c r="V119" s="222"/>
      <c r="W119" s="222"/>
      <c r="X119" s="222"/>
      <c r="Y119" s="222"/>
      <c r="Z119" s="222"/>
      <c r="AA119" s="222"/>
      <c r="AB119" s="222"/>
      <c r="AC119" s="222"/>
      <c r="AD119" s="222"/>
      <c r="AE119" s="222"/>
      <c r="AF119" s="520"/>
      <c r="AG119" s="222"/>
      <c r="AH119" s="223"/>
      <c r="AI119" s="222"/>
      <c r="AJ119" s="224"/>
      <c r="AK119" s="30"/>
      <c r="AL119" s="30"/>
    </row>
    <row r="120" spans="1:123">
      <c r="B120" s="129" t="s">
        <v>0</v>
      </c>
      <c r="C120" s="73" t="s">
        <v>20</v>
      </c>
      <c r="D120" s="74" t="s">
        <v>17</v>
      </c>
      <c r="E120" s="134"/>
      <c r="F120" s="135"/>
      <c r="G120" s="135"/>
      <c r="H120" s="135"/>
      <c r="I120" s="135"/>
      <c r="J120" s="134"/>
      <c r="K120" s="135"/>
      <c r="L120" s="222"/>
      <c r="M120" s="222"/>
      <c r="N120" s="222"/>
      <c r="O120" s="222"/>
      <c r="P120" s="222"/>
      <c r="Q120" s="222"/>
      <c r="R120" s="222"/>
      <c r="S120" s="222"/>
      <c r="T120" s="222"/>
      <c r="U120" s="223"/>
      <c r="V120" s="222"/>
      <c r="W120" s="222"/>
      <c r="X120" s="222"/>
      <c r="Y120" s="222"/>
      <c r="Z120" s="222"/>
      <c r="AA120" s="222"/>
      <c r="AB120" s="222"/>
      <c r="AC120" s="222"/>
      <c r="AD120" s="222"/>
      <c r="AE120" s="222"/>
      <c r="AF120" s="520"/>
      <c r="AG120" s="222"/>
      <c r="AH120" s="223"/>
      <c r="AI120" s="222"/>
      <c r="AJ120" s="224"/>
    </row>
    <row r="121" spans="1:123" s="30" customFormat="1">
      <c r="A121" s="140"/>
      <c r="B121" s="130" t="s">
        <v>18</v>
      </c>
      <c r="C121" s="75"/>
      <c r="D121" s="75"/>
      <c r="E121" s="134"/>
      <c r="F121" s="135"/>
      <c r="G121" s="135"/>
      <c r="H121" s="135"/>
      <c r="I121" s="135"/>
      <c r="J121" s="134"/>
      <c r="K121" s="135"/>
      <c r="L121" s="222"/>
      <c r="M121" s="222"/>
      <c r="N121" s="222"/>
      <c r="O121" s="222"/>
      <c r="P121" s="222"/>
      <c r="Q121" s="222"/>
      <c r="R121" s="222"/>
      <c r="S121" s="222"/>
      <c r="T121" s="222"/>
      <c r="U121" s="223"/>
      <c r="V121" s="222"/>
      <c r="W121" s="222"/>
      <c r="X121" s="222"/>
      <c r="Y121" s="222"/>
      <c r="Z121" s="222"/>
      <c r="AA121" s="222"/>
      <c r="AB121" s="222"/>
      <c r="AC121" s="222"/>
      <c r="AD121" s="222"/>
      <c r="AE121" s="222"/>
      <c r="AF121" s="520"/>
      <c r="AG121" s="222"/>
      <c r="AH121" s="223"/>
      <c r="AI121" s="222"/>
      <c r="AJ121" s="224"/>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61"/>
      <c r="BL121" s="61"/>
      <c r="BM121" s="61"/>
      <c r="BN121" s="61"/>
      <c r="BO121" s="61"/>
      <c r="BP121" s="61"/>
      <c r="BQ121" s="61"/>
      <c r="BR121" s="61"/>
      <c r="BS121" s="61"/>
      <c r="BT121" s="61"/>
      <c r="BU121" s="61"/>
      <c r="BV121" s="61"/>
      <c r="BW121" s="61"/>
      <c r="BX121" s="61"/>
      <c r="BY121" s="61"/>
      <c r="BZ121" s="61"/>
      <c r="CA121" s="61"/>
      <c r="CB121" s="61"/>
      <c r="CC121" s="61"/>
      <c r="CD121" s="61"/>
      <c r="CE121" s="61"/>
      <c r="CF121" s="61"/>
      <c r="CG121" s="61"/>
      <c r="CH121" s="61"/>
      <c r="CI121" s="61"/>
      <c r="CJ121" s="61"/>
      <c r="CK121" s="61"/>
      <c r="CL121" s="61"/>
      <c r="CM121" s="61"/>
      <c r="CN121" s="61"/>
      <c r="CO121" s="61"/>
      <c r="CP121" s="61"/>
      <c r="CQ121" s="61"/>
      <c r="CR121" s="61"/>
      <c r="CS121" s="61"/>
      <c r="CT121" s="61"/>
      <c r="CU121" s="61"/>
      <c r="CV121" s="61"/>
      <c r="CW121" s="61"/>
      <c r="CX121" s="61"/>
      <c r="CY121" s="61"/>
      <c r="CZ121" s="61"/>
      <c r="DA121" s="61"/>
      <c r="DB121" s="61"/>
      <c r="DC121" s="61"/>
      <c r="DD121" s="61"/>
      <c r="DE121" s="61"/>
      <c r="DF121" s="61"/>
      <c r="DG121" s="61"/>
      <c r="DH121" s="61"/>
      <c r="DI121" s="61"/>
      <c r="DJ121" s="61"/>
      <c r="DK121" s="61"/>
      <c r="DL121" s="61"/>
      <c r="DM121" s="61"/>
      <c r="DN121" s="61"/>
      <c r="DO121" s="61"/>
      <c r="DP121" s="61"/>
      <c r="DQ121" s="61"/>
      <c r="DR121" s="61"/>
      <c r="DS121" s="61"/>
    </row>
    <row r="122" spans="1:123" s="30" customFormat="1">
      <c r="A122" s="140"/>
      <c r="B122" s="131" t="s">
        <v>10</v>
      </c>
      <c r="C122" s="29">
        <f>COUNTIFS($U$6:$U$109,"Complete",$A$6:$A$109,"SI")</f>
        <v>0</v>
      </c>
      <c r="D122" s="76">
        <f>(100*(COUNTIFS($U$6:$U$109,"Complete",$A$6:$A$109,"SI")))/COUNTIF($A$6:$A$109,"SI")</f>
        <v>0</v>
      </c>
      <c r="E122" s="134"/>
      <c r="F122" s="135"/>
      <c r="G122" s="135"/>
      <c r="H122" s="135"/>
      <c r="I122" s="135"/>
      <c r="J122" s="134"/>
      <c r="K122" s="135"/>
      <c r="L122" s="222"/>
      <c r="M122" s="222"/>
      <c r="N122" s="222"/>
      <c r="O122" s="222"/>
      <c r="P122" s="222"/>
      <c r="Q122" s="222"/>
      <c r="R122" s="222"/>
      <c r="S122" s="222"/>
      <c r="T122" s="222"/>
      <c r="U122" s="223"/>
      <c r="V122" s="222"/>
      <c r="W122" s="222"/>
      <c r="X122" s="222"/>
      <c r="Y122" s="222"/>
      <c r="Z122" s="222"/>
      <c r="AA122" s="222"/>
      <c r="AB122" s="222"/>
      <c r="AC122" s="222"/>
      <c r="AD122" s="222"/>
      <c r="AE122" s="222"/>
      <c r="AF122" s="520"/>
      <c r="AG122" s="222"/>
      <c r="AH122" s="223"/>
      <c r="AI122" s="222"/>
      <c r="AJ122" s="224"/>
      <c r="AM122" s="61"/>
      <c r="AN122" s="61"/>
      <c r="AO122" s="61"/>
      <c r="AP122" s="61"/>
      <c r="AQ122" s="61"/>
      <c r="AR122" s="61"/>
      <c r="AS122" s="61"/>
      <c r="AT122" s="61"/>
      <c r="AU122" s="61"/>
      <c r="AV122" s="61"/>
      <c r="AW122" s="61"/>
      <c r="AX122" s="61"/>
      <c r="AY122" s="61"/>
      <c r="AZ122" s="61"/>
      <c r="BA122" s="61"/>
      <c r="BB122" s="61"/>
      <c r="BC122" s="61"/>
      <c r="BD122" s="61"/>
      <c r="BE122" s="61"/>
      <c r="BF122" s="61"/>
      <c r="BG122" s="61"/>
      <c r="BH122" s="61"/>
      <c r="BI122" s="61"/>
      <c r="BJ122" s="61"/>
      <c r="BK122" s="61"/>
      <c r="BL122" s="61"/>
      <c r="BM122" s="61"/>
      <c r="BN122" s="61"/>
      <c r="BO122" s="61"/>
      <c r="BP122" s="61"/>
      <c r="BQ122" s="61"/>
      <c r="BR122" s="61"/>
      <c r="BS122" s="61"/>
      <c r="BT122" s="61"/>
      <c r="BU122" s="61"/>
      <c r="BV122" s="61"/>
      <c r="BW122" s="61"/>
      <c r="BX122" s="61"/>
      <c r="BY122" s="61"/>
      <c r="BZ122" s="61"/>
      <c r="CA122" s="61"/>
      <c r="CB122" s="61"/>
      <c r="CC122" s="61"/>
      <c r="CD122" s="61"/>
      <c r="CE122" s="61"/>
      <c r="CF122" s="61"/>
      <c r="CG122" s="61"/>
      <c r="CH122" s="61"/>
      <c r="CI122" s="61"/>
      <c r="CJ122" s="61"/>
      <c r="CK122" s="61"/>
      <c r="CL122" s="61"/>
      <c r="CM122" s="61"/>
      <c r="CN122" s="61"/>
      <c r="CO122" s="61"/>
      <c r="CP122" s="61"/>
      <c r="CQ122" s="61"/>
      <c r="CR122" s="61"/>
      <c r="CS122" s="61"/>
      <c r="CT122" s="61"/>
      <c r="CU122" s="61"/>
      <c r="CV122" s="61"/>
      <c r="CW122" s="61"/>
      <c r="CX122" s="61"/>
      <c r="CY122" s="61"/>
      <c r="CZ122" s="61"/>
      <c r="DA122" s="61"/>
      <c r="DB122" s="61"/>
      <c r="DC122" s="61"/>
      <c r="DD122" s="61"/>
      <c r="DE122" s="61"/>
      <c r="DF122" s="61"/>
      <c r="DG122" s="61"/>
      <c r="DH122" s="61"/>
      <c r="DI122" s="61"/>
      <c r="DJ122" s="61"/>
      <c r="DK122" s="61"/>
      <c r="DL122" s="61"/>
      <c r="DM122" s="61"/>
      <c r="DN122" s="61"/>
      <c r="DO122" s="61"/>
      <c r="DP122" s="61"/>
      <c r="DQ122" s="61"/>
      <c r="DR122" s="61"/>
      <c r="DS122" s="61"/>
    </row>
    <row r="123" spans="1:123" s="30" customFormat="1" ht="16">
      <c r="A123" s="140"/>
      <c r="B123" s="131" t="s">
        <v>11</v>
      </c>
      <c r="C123" s="29">
        <f>COUNTIFS($U$6:$U$109,"Incomplete",$A$6:$A$109,"SI")</f>
        <v>7</v>
      </c>
      <c r="D123" s="76">
        <f>(100*(COUNTIFS($U$6:$U$109,"Incomplete",$A$6:$A$109,"SI")))/COUNTIF($A$6:$A$109,"SI")</f>
        <v>100</v>
      </c>
      <c r="E123" s="134"/>
      <c r="F123" s="135"/>
      <c r="G123" s="135"/>
      <c r="H123" s="135"/>
      <c r="I123" s="135"/>
      <c r="J123" s="134"/>
      <c r="K123" s="135"/>
      <c r="L123" s="222"/>
      <c r="M123" s="222"/>
      <c r="N123" s="222"/>
      <c r="O123" s="222"/>
      <c r="P123" s="222"/>
      <c r="Q123" s="222"/>
      <c r="R123" s="222"/>
      <c r="S123" s="222"/>
      <c r="T123" s="222"/>
      <c r="U123" s="223"/>
      <c r="V123" s="222"/>
      <c r="W123" s="222"/>
      <c r="X123" s="222"/>
      <c r="Y123" s="222"/>
      <c r="Z123" s="222"/>
      <c r="AA123" s="222"/>
      <c r="AB123" s="222"/>
      <c r="AC123" s="222"/>
      <c r="AD123" s="222"/>
      <c r="AE123" s="222"/>
      <c r="AF123" s="520"/>
      <c r="AG123" s="222"/>
      <c r="AH123" s="223"/>
      <c r="AI123" s="222"/>
      <c r="AJ123" s="224"/>
    </row>
    <row r="124" spans="1:123" s="30" customFormat="1" ht="16">
      <c r="A124" s="140"/>
      <c r="B124" s="131" t="s">
        <v>6</v>
      </c>
      <c r="C124" s="29">
        <f>COUNTIFS($U$6:$U$109,"Pending",$A$6:$A$109,"SI")</f>
        <v>0</v>
      </c>
      <c r="D124" s="76">
        <f>(100*(COUNTIFS($U$6:$U$109,"Pending",$A$6:$A$109,"SI")))/COUNTIF($A$6:$A$109,"SI")</f>
        <v>0</v>
      </c>
      <c r="E124" s="134"/>
      <c r="F124" s="135"/>
      <c r="G124" s="135"/>
      <c r="H124" s="135"/>
      <c r="I124" s="135"/>
      <c r="J124" s="134"/>
      <c r="K124" s="135"/>
      <c r="L124" s="222"/>
      <c r="M124" s="222"/>
      <c r="N124" s="222"/>
      <c r="O124" s="222"/>
      <c r="P124" s="222"/>
      <c r="Q124" s="222"/>
      <c r="R124" s="222"/>
      <c r="S124" s="222"/>
      <c r="T124" s="222"/>
      <c r="U124" s="223"/>
      <c r="V124" s="222"/>
      <c r="W124" s="222"/>
      <c r="X124" s="222"/>
      <c r="Y124" s="222"/>
      <c r="Z124" s="222"/>
      <c r="AA124" s="222"/>
      <c r="AB124" s="222"/>
      <c r="AC124" s="222"/>
      <c r="AD124" s="222"/>
      <c r="AE124" s="222"/>
      <c r="AF124" s="520"/>
      <c r="AG124" s="222"/>
      <c r="AH124" s="223"/>
      <c r="AI124" s="222"/>
      <c r="AJ124" s="224"/>
    </row>
    <row r="125" spans="1:123" s="30" customFormat="1" ht="16">
      <c r="A125" s="140"/>
      <c r="B125" s="131" t="s">
        <v>12</v>
      </c>
      <c r="C125" s="29">
        <f>COUNTIFS($U$6:$U$109,"Not available",$A$6:$A$109,"SI")</f>
        <v>0</v>
      </c>
      <c r="D125" s="76">
        <f>(100*(COUNTIFS($U$6:$U$109,"Not available",$A$6:$A$109,"SI")))/COUNTIF($A$6:$A$109,"SI")</f>
        <v>0</v>
      </c>
      <c r="E125" s="134"/>
      <c r="F125" s="135"/>
      <c r="G125" s="135"/>
      <c r="H125" s="135"/>
      <c r="I125" s="135"/>
      <c r="J125" s="134"/>
      <c r="K125" s="135"/>
      <c r="L125" s="222"/>
      <c r="M125" s="222"/>
      <c r="N125" s="222"/>
      <c r="O125" s="222"/>
      <c r="P125" s="222"/>
      <c r="Q125" s="222"/>
      <c r="R125" s="222"/>
      <c r="S125" s="222"/>
      <c r="T125" s="222"/>
      <c r="U125" s="223"/>
      <c r="V125" s="222"/>
      <c r="W125" s="222"/>
      <c r="X125" s="222"/>
      <c r="Y125" s="222"/>
      <c r="Z125" s="222"/>
      <c r="AA125" s="222"/>
      <c r="AB125" s="222"/>
      <c r="AC125" s="222"/>
      <c r="AD125" s="222"/>
      <c r="AE125" s="222"/>
      <c r="AF125" s="520"/>
      <c r="AG125" s="222"/>
      <c r="AH125" s="223"/>
      <c r="AI125" s="222"/>
      <c r="AJ125" s="224"/>
    </row>
    <row r="126" spans="1:123" s="30" customFormat="1" ht="16">
      <c r="A126" s="140"/>
      <c r="B126" s="131" t="s">
        <v>5</v>
      </c>
      <c r="C126" s="29">
        <f>COUNTIFS($U$6:$U$109,"Not applicable",$A$6:$A$109,"SI")</f>
        <v>0</v>
      </c>
      <c r="D126" s="76">
        <f>(100*(COUNTIFS($U$6:$U$109,"Not applicable",$A$6:$A$109,"SI")))/COUNTIF($A$6:$A$109,"SI")</f>
        <v>0</v>
      </c>
      <c r="E126" s="134"/>
      <c r="F126" s="135"/>
      <c r="G126" s="135"/>
      <c r="H126" s="135"/>
      <c r="I126" s="135"/>
      <c r="J126" s="134"/>
      <c r="K126" s="135"/>
      <c r="L126" s="222"/>
      <c r="M126" s="222"/>
      <c r="N126" s="222"/>
      <c r="O126" s="222"/>
      <c r="P126" s="222"/>
      <c r="Q126" s="222"/>
      <c r="R126" s="222"/>
      <c r="S126" s="222"/>
      <c r="T126" s="222"/>
      <c r="U126" s="223"/>
      <c r="V126" s="222"/>
      <c r="W126" s="222"/>
      <c r="X126" s="222"/>
      <c r="Y126" s="222"/>
      <c r="Z126" s="222"/>
      <c r="AA126" s="222"/>
      <c r="AB126" s="222"/>
      <c r="AC126" s="222"/>
      <c r="AD126" s="222"/>
      <c r="AE126" s="222"/>
      <c r="AF126" s="520"/>
      <c r="AG126" s="222"/>
      <c r="AH126" s="223"/>
      <c r="AI126" s="222"/>
      <c r="AJ126" s="224"/>
    </row>
    <row r="127" spans="1:123" s="30" customFormat="1" ht="16">
      <c r="A127" s="140"/>
      <c r="B127" s="131" t="s">
        <v>7</v>
      </c>
      <c r="C127" s="29">
        <f>COUNTIFS($U$6:$U$109,"Alternative",$A$6:$A$109,"SI")</f>
        <v>0</v>
      </c>
      <c r="D127" s="76">
        <f>(100*(COUNTIFS($U$6:$U$109,"Alternative",$A$6:$A$109,"SI")))/COUNTIF($A$6:$A$109,"SI")</f>
        <v>0</v>
      </c>
      <c r="E127" s="134"/>
      <c r="F127" s="135"/>
      <c r="G127" s="135"/>
      <c r="H127" s="135"/>
      <c r="I127" s="135"/>
      <c r="J127" s="134"/>
      <c r="K127" s="135"/>
      <c r="L127" s="222"/>
      <c r="M127" s="222"/>
      <c r="N127" s="222"/>
      <c r="O127" s="222"/>
      <c r="P127" s="222"/>
      <c r="Q127" s="222"/>
      <c r="R127" s="222"/>
      <c r="S127" s="222"/>
      <c r="T127" s="222"/>
      <c r="U127" s="223"/>
      <c r="V127" s="222"/>
      <c r="W127" s="222"/>
      <c r="X127" s="222"/>
      <c r="Y127" s="222"/>
      <c r="Z127" s="222"/>
      <c r="AA127" s="222"/>
      <c r="AB127" s="222"/>
      <c r="AC127" s="222"/>
      <c r="AD127" s="222"/>
      <c r="AE127" s="222"/>
      <c r="AF127" s="520"/>
      <c r="AG127" s="222"/>
      <c r="AH127" s="223"/>
      <c r="AI127" s="222"/>
      <c r="AJ127" s="224"/>
    </row>
    <row r="128" spans="1:123" s="30" customFormat="1" ht="16">
      <c r="A128" s="140"/>
      <c r="B128" s="130" t="s">
        <v>19</v>
      </c>
      <c r="C128" s="75"/>
      <c r="D128" s="75"/>
      <c r="E128" s="134"/>
      <c r="F128" s="135"/>
      <c r="G128" s="135"/>
      <c r="H128" s="135"/>
      <c r="I128" s="135"/>
      <c r="J128" s="134"/>
      <c r="K128" s="135"/>
      <c r="L128" s="222"/>
      <c r="M128" s="222"/>
      <c r="N128" s="222"/>
      <c r="O128" s="222"/>
      <c r="P128" s="222"/>
      <c r="Q128" s="222"/>
      <c r="R128" s="222"/>
      <c r="S128" s="222"/>
      <c r="T128" s="222"/>
      <c r="U128" s="223"/>
      <c r="V128" s="222"/>
      <c r="W128" s="222"/>
      <c r="X128" s="222"/>
      <c r="Y128" s="222"/>
      <c r="Z128" s="222"/>
      <c r="AA128" s="222"/>
      <c r="AB128" s="222"/>
      <c r="AC128" s="222"/>
      <c r="AD128" s="222"/>
      <c r="AE128" s="222"/>
      <c r="AF128" s="520"/>
      <c r="AG128" s="222"/>
      <c r="AH128" s="223"/>
      <c r="AI128" s="222"/>
      <c r="AJ128" s="224"/>
    </row>
    <row r="129" spans="1:36" s="30" customFormat="1" ht="16">
      <c r="A129" s="140"/>
      <c r="B129" s="131" t="s">
        <v>10</v>
      </c>
      <c r="C129" s="29">
        <f>COUNTIFS($U$6:$U$109,"Complete",$A$6:$A$109,"RQ")</f>
        <v>0</v>
      </c>
      <c r="D129" s="76">
        <f>(100*(COUNTIFS($U$6:$U$109,"Complete",$A$6:$A$109,"RQ")))/COUNTIF($A$6:$A$109,"RQ")</f>
        <v>0</v>
      </c>
      <c r="E129" s="134"/>
      <c r="F129" s="135"/>
      <c r="G129" s="135"/>
      <c r="H129" s="135"/>
      <c r="I129" s="135"/>
      <c r="J129" s="134"/>
      <c r="K129" s="135"/>
      <c r="L129" s="222"/>
      <c r="M129" s="222"/>
      <c r="N129" s="222"/>
      <c r="O129" s="222"/>
      <c r="P129" s="222"/>
      <c r="Q129" s="222"/>
      <c r="R129" s="222"/>
      <c r="S129" s="222"/>
      <c r="T129" s="222"/>
      <c r="U129" s="223"/>
      <c r="V129" s="222"/>
      <c r="W129" s="222"/>
      <c r="X129" s="222"/>
      <c r="Y129" s="222"/>
      <c r="Z129" s="222"/>
      <c r="AA129" s="222"/>
      <c r="AB129" s="222"/>
      <c r="AC129" s="222"/>
      <c r="AD129" s="222"/>
      <c r="AE129" s="222"/>
      <c r="AF129" s="520"/>
      <c r="AG129" s="222"/>
      <c r="AH129" s="223"/>
      <c r="AI129" s="222"/>
      <c r="AJ129" s="224"/>
    </row>
    <row r="130" spans="1:36" s="30" customFormat="1" ht="16">
      <c r="A130" s="140"/>
      <c r="B130" s="131" t="s">
        <v>11</v>
      </c>
      <c r="C130" s="29">
        <f>COUNTIFS($U$5:$U$109,"Incomplete",$A$5:$A$109,"RQ")</f>
        <v>10</v>
      </c>
      <c r="D130" s="76">
        <f>(100*(COUNTIFS($U$6:$U$109,"Incomplete",$A$6:$A$109,"RQ")))/COUNTIF($A$6:$A$109,"RQ")</f>
        <v>100</v>
      </c>
      <c r="E130" s="134"/>
      <c r="F130" s="135"/>
      <c r="G130" s="135"/>
      <c r="H130" s="135"/>
      <c r="I130" s="135"/>
      <c r="J130" s="134"/>
      <c r="K130" s="135"/>
      <c r="L130" s="222"/>
      <c r="M130" s="222"/>
      <c r="N130" s="222"/>
      <c r="O130" s="222"/>
      <c r="P130" s="222"/>
      <c r="Q130" s="222"/>
      <c r="R130" s="222"/>
      <c r="S130" s="222"/>
      <c r="T130" s="222"/>
      <c r="U130" s="223"/>
      <c r="V130" s="222"/>
      <c r="W130" s="222"/>
      <c r="X130" s="222"/>
      <c r="Y130" s="222"/>
      <c r="Z130" s="222"/>
      <c r="AA130" s="222"/>
      <c r="AB130" s="222"/>
      <c r="AC130" s="222"/>
      <c r="AD130" s="222"/>
      <c r="AE130" s="222"/>
      <c r="AF130" s="520"/>
      <c r="AG130" s="222"/>
      <c r="AH130" s="223"/>
      <c r="AI130" s="222"/>
      <c r="AJ130" s="224"/>
    </row>
    <row r="131" spans="1:36" s="30" customFormat="1" ht="16">
      <c r="A131" s="140"/>
      <c r="B131" s="131" t="s">
        <v>6</v>
      </c>
      <c r="C131" s="29">
        <f>COUNTIFS($U$5:$U$109,"Pending",$A$5:$A$109,"RQ")</f>
        <v>0</v>
      </c>
      <c r="D131" s="76">
        <f>(100*(COUNTIFS($U$6:$U$109,"Pending",$A$6:$A$109,"RQ")))/COUNTIF($A$6:$A$109,"RQ")</f>
        <v>0</v>
      </c>
      <c r="E131" s="134"/>
      <c r="F131" s="135"/>
      <c r="G131" s="135"/>
      <c r="H131" s="135"/>
      <c r="I131" s="135"/>
      <c r="J131" s="134"/>
      <c r="K131" s="135"/>
      <c r="L131" s="222"/>
      <c r="M131" s="222"/>
      <c r="N131" s="222"/>
      <c r="O131" s="222"/>
      <c r="P131" s="222"/>
      <c r="Q131" s="222"/>
      <c r="R131" s="222"/>
      <c r="S131" s="222"/>
      <c r="T131" s="222"/>
      <c r="U131" s="223"/>
      <c r="V131" s="222"/>
      <c r="W131" s="222"/>
      <c r="X131" s="222"/>
      <c r="Y131" s="222"/>
      <c r="Z131" s="222"/>
      <c r="AA131" s="222"/>
      <c r="AB131" s="222"/>
      <c r="AC131" s="222"/>
      <c r="AD131" s="222"/>
      <c r="AE131" s="222"/>
      <c r="AF131" s="520"/>
      <c r="AG131" s="222"/>
      <c r="AH131" s="223"/>
      <c r="AI131" s="222"/>
      <c r="AJ131" s="224"/>
    </row>
    <row r="132" spans="1:36" s="30" customFormat="1" ht="16">
      <c r="A132" s="140"/>
      <c r="B132" s="131" t="s">
        <v>12</v>
      </c>
      <c r="C132" s="29">
        <f>COUNTIFS($U$6:$U$109,"Not available",$A$6:$A$109,"RQ")</f>
        <v>0</v>
      </c>
      <c r="D132" s="76">
        <f>(100*(COUNTIFS($U$6:$U$109,"Not available",$A$6:$A$109,"RQ")))/COUNTIF($A$6:$A$109,"RQ")</f>
        <v>0</v>
      </c>
      <c r="E132" s="134"/>
      <c r="F132" s="135"/>
      <c r="G132" s="135"/>
      <c r="H132" s="135"/>
      <c r="I132" s="135"/>
      <c r="J132" s="134"/>
      <c r="K132" s="135"/>
      <c r="L132" s="222"/>
      <c r="M132" s="222"/>
      <c r="N132" s="222"/>
      <c r="O132" s="222"/>
      <c r="P132" s="222"/>
      <c r="Q132" s="222"/>
      <c r="R132" s="222"/>
      <c r="S132" s="222"/>
      <c r="T132" s="222"/>
      <c r="U132" s="223"/>
      <c r="V132" s="222"/>
      <c r="W132" s="222"/>
      <c r="X132" s="222"/>
      <c r="Y132" s="222"/>
      <c r="Z132" s="222"/>
      <c r="AA132" s="222"/>
      <c r="AB132" s="222"/>
      <c r="AC132" s="222"/>
      <c r="AD132" s="222"/>
      <c r="AE132" s="222"/>
      <c r="AF132" s="520"/>
      <c r="AG132" s="222"/>
      <c r="AH132" s="223"/>
      <c r="AI132" s="222"/>
      <c r="AJ132" s="224"/>
    </row>
    <row r="133" spans="1:36" s="30" customFormat="1" ht="16">
      <c r="A133" s="140"/>
      <c r="B133" s="131" t="s">
        <v>5</v>
      </c>
      <c r="C133" s="29">
        <f>COUNTIFS($D$6:$D$109,"Not applicable",$A$6:$A$109,"RQ")</f>
        <v>0</v>
      </c>
      <c r="D133" s="76">
        <f>(100*(COUNTIFS($U$6:$U$109,"Not applicable",$A$6:$A$109,"RQ")))/COUNTIF($A$6:$A$109,"RQ")</f>
        <v>0</v>
      </c>
      <c r="E133" s="134"/>
      <c r="F133" s="135"/>
      <c r="G133" s="135"/>
      <c r="H133" s="135"/>
      <c r="I133" s="135"/>
      <c r="J133" s="134"/>
      <c r="K133" s="135"/>
      <c r="L133" s="222"/>
      <c r="M133" s="222"/>
      <c r="N133" s="222"/>
      <c r="O133" s="222"/>
      <c r="P133" s="222"/>
      <c r="Q133" s="222"/>
      <c r="R133" s="222"/>
      <c r="S133" s="222"/>
      <c r="T133" s="222"/>
      <c r="U133" s="223"/>
      <c r="V133" s="222"/>
      <c r="W133" s="222"/>
      <c r="X133" s="222"/>
      <c r="Y133" s="222"/>
      <c r="Z133" s="222"/>
      <c r="AA133" s="222"/>
      <c r="AB133" s="222"/>
      <c r="AC133" s="222"/>
      <c r="AD133" s="222"/>
      <c r="AE133" s="222"/>
      <c r="AF133" s="520"/>
      <c r="AG133" s="222"/>
      <c r="AH133" s="223"/>
      <c r="AI133" s="222"/>
      <c r="AJ133" s="224"/>
    </row>
    <row r="134" spans="1:36" s="30" customFormat="1" ht="16">
      <c r="A134" s="140"/>
      <c r="B134" s="131" t="s">
        <v>7</v>
      </c>
      <c r="C134" s="29">
        <f>COUNTIFS($U$6:$U$109,"Alternative",$A$6:$A$109,"RQ")</f>
        <v>0</v>
      </c>
      <c r="D134" s="76">
        <f>(100*(COUNTIFS($U$6:$U$109,"Alternative",$A$6:$A$109,"RQ")))/COUNTIF($A$6:$A$109,"RQ")</f>
        <v>0</v>
      </c>
      <c r="E134" s="134"/>
      <c r="F134" s="135"/>
      <c r="G134" s="135"/>
      <c r="H134" s="135"/>
      <c r="I134" s="135"/>
      <c r="J134" s="134"/>
      <c r="K134" s="135"/>
      <c r="L134" s="222"/>
      <c r="M134" s="222"/>
      <c r="N134" s="222"/>
      <c r="O134" s="222"/>
      <c r="P134" s="222"/>
      <c r="Q134" s="222"/>
      <c r="R134" s="222"/>
      <c r="S134" s="222"/>
      <c r="T134" s="222"/>
      <c r="U134" s="223"/>
      <c r="V134" s="222"/>
      <c r="W134" s="222"/>
      <c r="X134" s="222"/>
      <c r="Y134" s="222"/>
      <c r="Z134" s="222"/>
      <c r="AA134" s="222"/>
      <c r="AB134" s="222"/>
      <c r="AC134" s="222"/>
      <c r="AD134" s="222"/>
      <c r="AE134" s="222"/>
      <c r="AF134" s="520"/>
      <c r="AG134" s="222"/>
      <c r="AH134" s="223"/>
      <c r="AI134" s="222"/>
      <c r="AJ134" s="224"/>
    </row>
    <row r="135" spans="1:36" s="30" customFormat="1" ht="16">
      <c r="A135" s="140"/>
      <c r="B135" s="130" t="s">
        <v>22</v>
      </c>
      <c r="C135" s="75"/>
      <c r="D135" s="75"/>
      <c r="E135" s="134"/>
      <c r="F135" s="135"/>
      <c r="G135" s="135"/>
      <c r="H135" s="135"/>
      <c r="I135" s="135"/>
      <c r="J135" s="134"/>
      <c r="K135" s="135"/>
      <c r="L135" s="222"/>
      <c r="M135" s="222"/>
      <c r="N135" s="222"/>
      <c r="O135" s="222"/>
      <c r="P135" s="222"/>
      <c r="Q135" s="222"/>
      <c r="R135" s="222"/>
      <c r="S135" s="222"/>
      <c r="T135" s="222"/>
      <c r="U135" s="223"/>
      <c r="V135" s="222"/>
      <c r="W135" s="222"/>
      <c r="X135" s="222"/>
      <c r="Y135" s="222"/>
      <c r="Z135" s="222"/>
      <c r="AA135" s="222"/>
      <c r="AB135" s="222"/>
      <c r="AC135" s="222"/>
      <c r="AD135" s="222"/>
      <c r="AE135" s="222"/>
      <c r="AF135" s="520"/>
      <c r="AG135" s="222"/>
      <c r="AH135" s="223"/>
      <c r="AI135" s="222"/>
      <c r="AJ135" s="224"/>
    </row>
    <row r="136" spans="1:36" s="30" customFormat="1" ht="16">
      <c r="A136" s="140"/>
      <c r="B136" s="131" t="s">
        <v>10</v>
      </c>
      <c r="C136" s="29">
        <f>COUNTIF($U$6:$U$109,"Complete")</f>
        <v>0</v>
      </c>
      <c r="D136" s="76">
        <f t="shared" ref="D136:D141" si="0">(C136/(COUNTIF($A$6:$A$109,"SI")+COUNTIFS($A$6:$A$109,"RQ"))*100)</f>
        <v>0</v>
      </c>
      <c r="E136" s="134"/>
      <c r="F136" s="135"/>
      <c r="G136" s="135"/>
      <c r="H136" s="135"/>
      <c r="I136" s="135"/>
      <c r="J136" s="134"/>
      <c r="K136" s="135"/>
      <c r="L136" s="222"/>
      <c r="M136" s="222"/>
      <c r="N136" s="222"/>
      <c r="O136" s="222"/>
      <c r="P136" s="222"/>
      <c r="Q136" s="222"/>
      <c r="R136" s="222"/>
      <c r="S136" s="222"/>
      <c r="T136" s="222"/>
      <c r="U136" s="223"/>
      <c r="V136" s="222"/>
      <c r="W136" s="222"/>
      <c r="X136" s="222"/>
      <c r="Y136" s="222"/>
      <c r="Z136" s="222"/>
      <c r="AA136" s="222"/>
      <c r="AB136" s="222"/>
      <c r="AC136" s="222"/>
      <c r="AD136" s="222"/>
      <c r="AE136" s="222"/>
      <c r="AF136" s="520"/>
      <c r="AG136" s="222"/>
      <c r="AH136" s="223"/>
      <c r="AI136" s="222"/>
      <c r="AJ136" s="224"/>
    </row>
    <row r="137" spans="1:36" s="30" customFormat="1" ht="16">
      <c r="A137" s="140"/>
      <c r="B137" s="131" t="s">
        <v>11</v>
      </c>
      <c r="C137" s="29">
        <f>COUNTIF($U$6:$U$109,"Incomplete")</f>
        <v>17</v>
      </c>
      <c r="D137" s="76">
        <f t="shared" si="0"/>
        <v>100</v>
      </c>
      <c r="E137" s="134"/>
      <c r="F137" s="135"/>
      <c r="G137" s="135"/>
      <c r="H137" s="135"/>
      <c r="I137" s="135"/>
      <c r="J137" s="134"/>
      <c r="K137" s="135"/>
      <c r="L137" s="222"/>
      <c r="M137" s="222"/>
      <c r="N137" s="222"/>
      <c r="O137" s="222"/>
      <c r="P137" s="222"/>
      <c r="Q137" s="222"/>
      <c r="R137" s="222"/>
      <c r="S137" s="222"/>
      <c r="T137" s="222"/>
      <c r="U137" s="223"/>
      <c r="V137" s="222"/>
      <c r="W137" s="222"/>
      <c r="X137" s="222"/>
      <c r="Y137" s="222"/>
      <c r="Z137" s="222"/>
      <c r="AA137" s="222"/>
      <c r="AB137" s="222"/>
      <c r="AC137" s="222"/>
      <c r="AD137" s="222"/>
      <c r="AE137" s="222"/>
      <c r="AF137" s="520"/>
      <c r="AG137" s="222"/>
      <c r="AH137" s="223"/>
      <c r="AI137" s="222"/>
      <c r="AJ137" s="224"/>
    </row>
    <row r="138" spans="1:36" s="30" customFormat="1" ht="16">
      <c r="A138" s="140"/>
      <c r="B138" s="131" t="s">
        <v>6</v>
      </c>
      <c r="C138" s="29">
        <f>COUNTIF($D$6:$D$109,"Pending")</f>
        <v>0</v>
      </c>
      <c r="D138" s="76">
        <f t="shared" si="0"/>
        <v>0</v>
      </c>
      <c r="E138" s="134"/>
      <c r="F138" s="135"/>
      <c r="G138" s="135"/>
      <c r="H138" s="135"/>
      <c r="I138" s="135"/>
      <c r="J138" s="134"/>
      <c r="K138" s="135"/>
      <c r="L138" s="222"/>
      <c r="M138" s="222"/>
      <c r="N138" s="222"/>
      <c r="O138" s="222"/>
      <c r="P138" s="222"/>
      <c r="Q138" s="222"/>
      <c r="R138" s="222"/>
      <c r="S138" s="222"/>
      <c r="T138" s="222"/>
      <c r="U138" s="223"/>
      <c r="V138" s="222"/>
      <c r="W138" s="222"/>
      <c r="X138" s="222"/>
      <c r="Y138" s="222"/>
      <c r="Z138" s="222"/>
      <c r="AA138" s="222"/>
      <c r="AB138" s="222"/>
      <c r="AC138" s="222"/>
      <c r="AD138" s="222"/>
      <c r="AE138" s="222"/>
      <c r="AF138" s="520"/>
      <c r="AG138" s="222"/>
      <c r="AH138" s="223"/>
      <c r="AI138" s="222"/>
      <c r="AJ138" s="224"/>
    </row>
    <row r="139" spans="1:36" s="30" customFormat="1" ht="16">
      <c r="A139" s="140"/>
      <c r="B139" s="131" t="s">
        <v>12</v>
      </c>
      <c r="C139" s="29">
        <f>COUNTIF($U$6:$U$109,"Not available")</f>
        <v>0</v>
      </c>
      <c r="D139" s="76">
        <f t="shared" si="0"/>
        <v>0</v>
      </c>
      <c r="E139" s="134"/>
      <c r="F139" s="135"/>
      <c r="G139" s="135"/>
      <c r="H139" s="135"/>
      <c r="I139" s="135"/>
      <c r="J139" s="134"/>
      <c r="K139" s="135"/>
      <c r="L139" s="222"/>
      <c r="M139" s="222"/>
      <c r="N139" s="222"/>
      <c r="O139" s="222"/>
      <c r="P139" s="222"/>
      <c r="Q139" s="222"/>
      <c r="R139" s="222"/>
      <c r="S139" s="222"/>
      <c r="T139" s="222"/>
      <c r="U139" s="223"/>
      <c r="V139" s="222"/>
      <c r="W139" s="222"/>
      <c r="X139" s="222"/>
      <c r="Y139" s="222"/>
      <c r="Z139" s="222"/>
      <c r="AA139" s="222"/>
      <c r="AB139" s="222"/>
      <c r="AC139" s="222"/>
      <c r="AD139" s="222"/>
      <c r="AE139" s="222"/>
      <c r="AF139" s="520"/>
      <c r="AG139" s="222"/>
      <c r="AH139" s="223"/>
      <c r="AI139" s="222"/>
      <c r="AJ139" s="224"/>
    </row>
    <row r="140" spans="1:36" s="30" customFormat="1" ht="16">
      <c r="A140" s="140"/>
      <c r="B140" s="131" t="s">
        <v>5</v>
      </c>
      <c r="C140" s="29">
        <f>COUNTIF($D$6:$D$109,"Not applicable")</f>
        <v>0</v>
      </c>
      <c r="D140" s="76">
        <f t="shared" si="0"/>
        <v>0</v>
      </c>
      <c r="E140" s="134"/>
      <c r="F140" s="135"/>
      <c r="G140" s="135"/>
      <c r="H140" s="135"/>
      <c r="I140" s="135"/>
      <c r="J140" s="134"/>
      <c r="K140" s="135"/>
      <c r="L140" s="222"/>
      <c r="M140" s="222"/>
      <c r="N140" s="222"/>
      <c r="O140" s="222"/>
      <c r="P140" s="222"/>
      <c r="Q140" s="222"/>
      <c r="R140" s="222"/>
      <c r="S140" s="222"/>
      <c r="T140" s="222"/>
      <c r="U140" s="223"/>
      <c r="V140" s="222"/>
      <c r="W140" s="222"/>
      <c r="X140" s="222"/>
      <c r="Y140" s="222"/>
      <c r="Z140" s="222"/>
      <c r="AA140" s="222"/>
      <c r="AB140" s="222"/>
      <c r="AC140" s="222"/>
      <c r="AD140" s="222"/>
      <c r="AE140" s="222"/>
      <c r="AF140" s="520"/>
      <c r="AG140" s="222"/>
      <c r="AH140" s="223"/>
      <c r="AI140" s="222"/>
      <c r="AJ140" s="224"/>
    </row>
    <row r="141" spans="1:36" s="30" customFormat="1" ht="16">
      <c r="A141" s="140"/>
      <c r="B141" s="131" t="s">
        <v>7</v>
      </c>
      <c r="C141" s="29">
        <f>COUNTIF($U$6:$U$109,"Alternative")</f>
        <v>0</v>
      </c>
      <c r="D141" s="76">
        <f t="shared" si="0"/>
        <v>0</v>
      </c>
      <c r="E141" s="134"/>
      <c r="F141" s="135"/>
      <c r="G141" s="135"/>
      <c r="H141" s="135"/>
      <c r="I141" s="135"/>
      <c r="J141" s="134"/>
      <c r="K141" s="135"/>
      <c r="L141" s="222"/>
      <c r="M141" s="222"/>
      <c r="N141" s="222"/>
      <c r="O141" s="222"/>
      <c r="P141" s="222"/>
      <c r="Q141" s="222"/>
      <c r="R141" s="222"/>
      <c r="S141" s="222"/>
      <c r="T141" s="222"/>
      <c r="U141" s="223"/>
      <c r="V141" s="222"/>
      <c r="W141" s="222"/>
      <c r="X141" s="222"/>
      <c r="Y141" s="222"/>
      <c r="Z141" s="222"/>
      <c r="AA141" s="222"/>
      <c r="AB141" s="222"/>
      <c r="AC141" s="222"/>
      <c r="AD141" s="222"/>
      <c r="AE141" s="222"/>
      <c r="AF141" s="520"/>
      <c r="AG141" s="222"/>
      <c r="AH141" s="223"/>
      <c r="AI141" s="222"/>
      <c r="AJ141" s="224"/>
    </row>
    <row r="142" spans="1:36" s="30" customFormat="1" ht="16">
      <c r="A142" s="140"/>
      <c r="B142" s="132"/>
      <c r="C142" s="108"/>
      <c r="D142" s="108"/>
      <c r="E142" s="134"/>
      <c r="F142" s="135"/>
      <c r="G142" s="135"/>
      <c r="H142" s="135"/>
      <c r="I142" s="135"/>
      <c r="J142" s="134"/>
      <c r="K142" s="135"/>
      <c r="L142" s="222"/>
      <c r="M142" s="222"/>
      <c r="N142" s="222"/>
      <c r="O142" s="222"/>
      <c r="P142" s="222"/>
      <c r="Q142" s="222"/>
      <c r="R142" s="222"/>
      <c r="S142" s="222"/>
      <c r="T142" s="222"/>
      <c r="U142" s="223"/>
      <c r="V142" s="222"/>
      <c r="W142" s="222"/>
      <c r="X142" s="222"/>
      <c r="Y142" s="222"/>
      <c r="Z142" s="222"/>
      <c r="AA142" s="222"/>
      <c r="AB142" s="222"/>
      <c r="AC142" s="222"/>
      <c r="AD142" s="222"/>
      <c r="AE142" s="222"/>
      <c r="AF142" s="520"/>
      <c r="AG142" s="222"/>
      <c r="AH142" s="223"/>
      <c r="AI142" s="222"/>
      <c r="AJ142" s="224"/>
    </row>
    <row r="144" spans="1:36" s="30" customFormat="1" ht="16">
      <c r="A144" s="140"/>
      <c r="B144" s="128" t="s">
        <v>40</v>
      </c>
      <c r="C144" s="31"/>
      <c r="D144" s="31"/>
      <c r="E144" s="134"/>
      <c r="F144" s="135"/>
      <c r="G144" s="135"/>
      <c r="H144" s="135"/>
      <c r="I144" s="135"/>
      <c r="J144" s="134"/>
      <c r="K144" s="135"/>
      <c r="L144" s="222"/>
      <c r="M144" s="222"/>
      <c r="N144" s="222"/>
      <c r="O144" s="222"/>
      <c r="P144" s="222"/>
      <c r="Q144" s="222"/>
      <c r="R144" s="222"/>
      <c r="S144" s="222"/>
      <c r="T144" s="222"/>
      <c r="U144" s="223"/>
      <c r="V144" s="222"/>
      <c r="W144" s="222"/>
      <c r="X144" s="222"/>
      <c r="Y144" s="222"/>
      <c r="Z144" s="222"/>
      <c r="AA144" s="222"/>
      <c r="AB144" s="222"/>
      <c r="AC144" s="222"/>
      <c r="AD144" s="222"/>
      <c r="AE144" s="222"/>
      <c r="AF144" s="520"/>
      <c r="AG144" s="222"/>
      <c r="AH144" s="223"/>
      <c r="AI144" s="222"/>
      <c r="AJ144" s="224"/>
    </row>
    <row r="145" spans="1:38" s="30" customFormat="1" ht="16">
      <c r="A145" s="140"/>
      <c r="B145" s="129" t="s">
        <v>0</v>
      </c>
      <c r="C145" s="73" t="s">
        <v>20</v>
      </c>
      <c r="D145" s="74" t="s">
        <v>17</v>
      </c>
      <c r="E145" s="134"/>
      <c r="F145" s="135"/>
      <c r="G145" s="135"/>
      <c r="H145" s="135"/>
      <c r="I145" s="135"/>
      <c r="J145" s="134"/>
      <c r="K145" s="135"/>
      <c r="L145" s="222"/>
      <c r="M145" s="222"/>
      <c r="N145" s="222"/>
      <c r="O145" s="222"/>
      <c r="P145" s="222"/>
      <c r="Q145" s="222"/>
      <c r="R145" s="222"/>
      <c r="S145" s="222"/>
      <c r="T145" s="222"/>
      <c r="U145" s="223"/>
      <c r="V145" s="222"/>
      <c r="W145" s="222"/>
      <c r="X145" s="222"/>
      <c r="Y145" s="222"/>
      <c r="Z145" s="222"/>
      <c r="AA145" s="222"/>
      <c r="AB145" s="222"/>
      <c r="AC145" s="222"/>
      <c r="AD145" s="222"/>
      <c r="AE145" s="222"/>
      <c r="AF145" s="520"/>
      <c r="AG145" s="222"/>
      <c r="AH145" s="223"/>
      <c r="AI145" s="222"/>
      <c r="AJ145" s="224"/>
    </row>
    <row r="146" spans="1:38" s="30" customFormat="1" ht="16">
      <c r="A146" s="140"/>
      <c r="B146" s="130" t="s">
        <v>18</v>
      </c>
      <c r="C146" s="75"/>
      <c r="D146" s="77"/>
      <c r="E146" s="134"/>
      <c r="F146" s="135"/>
      <c r="G146" s="135"/>
      <c r="H146" s="135"/>
      <c r="I146" s="135"/>
      <c r="J146" s="134"/>
      <c r="K146" s="135"/>
      <c r="L146" s="222"/>
      <c r="M146" s="222"/>
      <c r="N146" s="222"/>
      <c r="O146" s="222"/>
      <c r="P146" s="222"/>
      <c r="Q146" s="222"/>
      <c r="R146" s="222"/>
      <c r="S146" s="222"/>
      <c r="T146" s="222"/>
      <c r="U146" s="223"/>
      <c r="V146" s="222"/>
      <c r="W146" s="222"/>
      <c r="X146" s="222"/>
      <c r="Y146" s="222"/>
      <c r="Z146" s="222"/>
      <c r="AA146" s="222"/>
      <c r="AB146" s="222"/>
      <c r="AC146" s="222"/>
      <c r="AD146" s="222"/>
      <c r="AE146" s="222"/>
      <c r="AF146" s="520"/>
      <c r="AG146" s="222"/>
      <c r="AH146" s="223"/>
      <c r="AI146" s="222"/>
      <c r="AJ146" s="224"/>
    </row>
    <row r="147" spans="1:38" s="30" customFormat="1" ht="16">
      <c r="A147" s="140"/>
      <c r="B147" s="133" t="s">
        <v>41</v>
      </c>
      <c r="C147" s="29">
        <f>COUNTIFS($AH$5:$AH$109,"Green",$A$5:$A$109,"SI")</f>
        <v>0</v>
      </c>
      <c r="D147" s="78">
        <f>(100*(COUNTIFS($AH$6:$AH$109,"Green",$A$6:$A$109,"SI")))/COUNTIF($A$6:$A$109,"SI")</f>
        <v>0</v>
      </c>
      <c r="E147" s="134"/>
      <c r="F147" s="135"/>
      <c r="G147" s="135"/>
      <c r="H147" s="135"/>
      <c r="I147" s="135"/>
      <c r="J147" s="134"/>
      <c r="K147" s="135"/>
      <c r="L147" s="222"/>
      <c r="M147" s="222"/>
      <c r="N147" s="222"/>
      <c r="O147" s="222"/>
      <c r="P147" s="222"/>
      <c r="Q147" s="222"/>
      <c r="R147" s="222"/>
      <c r="S147" s="222"/>
      <c r="T147" s="222"/>
      <c r="U147" s="223"/>
      <c r="V147" s="222"/>
      <c r="W147" s="222"/>
      <c r="X147" s="222"/>
      <c r="Y147" s="222"/>
      <c r="Z147" s="222"/>
      <c r="AA147" s="222"/>
      <c r="AB147" s="222"/>
      <c r="AC147" s="222"/>
      <c r="AD147" s="222"/>
      <c r="AE147" s="222"/>
      <c r="AF147" s="520"/>
      <c r="AG147" s="222"/>
      <c r="AH147" s="223"/>
      <c r="AI147" s="222"/>
      <c r="AJ147" s="224"/>
    </row>
    <row r="148" spans="1:38" s="30" customFormat="1" ht="16">
      <c r="A148" s="140"/>
      <c r="B148" s="133" t="s">
        <v>42</v>
      </c>
      <c r="C148" s="29">
        <f>COUNTIFS($AH$5:$AH$109,"Yellow",$A$5:$A$109,"SI")</f>
        <v>0</v>
      </c>
      <c r="D148" s="78">
        <f>(100*(COUNTIFS($AH$6:$AH$109,"Yellow",$A$6:$A$109,"SI")))/COUNTIF($A$6:$A$109,"SI")</f>
        <v>0</v>
      </c>
      <c r="E148" s="134"/>
      <c r="F148" s="135"/>
      <c r="G148" s="135"/>
      <c r="H148" s="135"/>
      <c r="I148" s="135"/>
      <c r="J148" s="134"/>
      <c r="K148" s="135"/>
      <c r="L148" s="222"/>
      <c r="M148" s="222"/>
      <c r="N148" s="222"/>
      <c r="O148" s="222"/>
      <c r="P148" s="222"/>
      <c r="Q148" s="222"/>
      <c r="R148" s="222"/>
      <c r="S148" s="222"/>
      <c r="T148" s="222"/>
      <c r="U148" s="223"/>
      <c r="V148" s="222"/>
      <c r="W148" s="222"/>
      <c r="X148" s="222"/>
      <c r="Y148" s="222"/>
      <c r="Z148" s="222"/>
      <c r="AA148" s="222"/>
      <c r="AB148" s="222"/>
      <c r="AC148" s="222"/>
      <c r="AD148" s="222"/>
      <c r="AE148" s="222"/>
      <c r="AF148" s="520"/>
      <c r="AG148" s="222"/>
      <c r="AH148" s="223"/>
      <c r="AI148" s="222"/>
      <c r="AJ148" s="224"/>
    </row>
    <row r="149" spans="1:38" s="30" customFormat="1" ht="16">
      <c r="A149" s="140"/>
      <c r="B149" s="133" t="s">
        <v>43</v>
      </c>
      <c r="C149" s="29">
        <f>COUNTIFS($AH$5:$AH$109,"Orange",$A$5:$A$109,"SI")</f>
        <v>0</v>
      </c>
      <c r="D149" s="78">
        <f>(100*(COUNTIFS($AH$6:$AH$109,"Orange",$A$6:$A$109,"SI")))/COUNTIF($A$6:$A$109,"SI")</f>
        <v>0</v>
      </c>
      <c r="E149" s="134"/>
      <c r="F149" s="135"/>
      <c r="G149" s="135"/>
      <c r="H149" s="135"/>
      <c r="I149" s="135"/>
      <c r="J149" s="134"/>
      <c r="K149" s="135"/>
      <c r="L149" s="222"/>
      <c r="M149" s="222"/>
      <c r="N149" s="222"/>
      <c r="O149" s="222"/>
      <c r="P149" s="222"/>
      <c r="Q149" s="222"/>
      <c r="R149" s="222"/>
      <c r="S149" s="222"/>
      <c r="T149" s="222"/>
      <c r="U149" s="223"/>
      <c r="V149" s="222"/>
      <c r="W149" s="222"/>
      <c r="X149" s="222"/>
      <c r="Y149" s="222"/>
      <c r="Z149" s="222"/>
      <c r="AA149" s="222"/>
      <c r="AB149" s="222"/>
      <c r="AC149" s="222"/>
      <c r="AD149" s="222"/>
      <c r="AE149" s="222"/>
      <c r="AF149" s="520"/>
      <c r="AG149" s="222"/>
      <c r="AH149" s="223"/>
      <c r="AI149" s="222"/>
      <c r="AJ149" s="224"/>
    </row>
    <row r="150" spans="1:38" s="30" customFormat="1" ht="16">
      <c r="A150" s="140"/>
      <c r="B150" s="133" t="s">
        <v>44</v>
      </c>
      <c r="C150" s="29">
        <f>COUNTIFS($AH$5:$AH$109,"Red",$A$5:$A$109,"SI")</f>
        <v>7</v>
      </c>
      <c r="D150" s="78">
        <f>(100*(COUNTIFS($AH$6:$AH$109,"Red",$A$6:$A$109,"SI")))/COUNTIF($A$6:$A$109,"SI")</f>
        <v>100</v>
      </c>
      <c r="E150" s="134"/>
      <c r="F150" s="135"/>
      <c r="G150" s="135"/>
      <c r="H150" s="135"/>
      <c r="I150" s="135"/>
      <c r="J150" s="134"/>
      <c r="K150" s="135"/>
      <c r="L150" s="222"/>
      <c r="M150" s="222"/>
      <c r="N150" s="222"/>
      <c r="O150" s="222"/>
      <c r="P150" s="222"/>
      <c r="Q150" s="222"/>
      <c r="R150" s="222"/>
      <c r="S150" s="222"/>
      <c r="T150" s="222"/>
      <c r="U150" s="223"/>
      <c r="V150" s="222"/>
      <c r="W150" s="222"/>
      <c r="X150" s="222"/>
      <c r="Y150" s="222"/>
      <c r="Z150" s="222"/>
      <c r="AA150" s="222"/>
      <c r="AB150" s="222"/>
      <c r="AC150" s="222"/>
      <c r="AD150" s="222"/>
      <c r="AE150" s="222"/>
      <c r="AF150" s="520"/>
      <c r="AG150" s="222"/>
      <c r="AH150" s="223"/>
      <c r="AI150" s="222"/>
      <c r="AJ150" s="224"/>
    </row>
    <row r="151" spans="1:38" s="30" customFormat="1" ht="16">
      <c r="A151" s="140"/>
      <c r="B151" s="133" t="s">
        <v>65</v>
      </c>
      <c r="C151" s="29">
        <f>COUNTIFS($AH$5:$AH$109,"Qualitative",$A$5:$A$109,"SI")</f>
        <v>0</v>
      </c>
      <c r="D151" s="78">
        <f>(100*(COUNTIFS($AH$6:$AH$109,"Qualitative",$A$6:$A$109,"SI")))/COUNTIF($A$6:$A$109,"SI")</f>
        <v>0</v>
      </c>
      <c r="E151" s="134"/>
      <c r="F151" s="135"/>
      <c r="G151" s="135"/>
      <c r="H151" s="135"/>
      <c r="I151" s="135"/>
      <c r="J151" s="134"/>
      <c r="K151" s="135"/>
      <c r="L151" s="222"/>
      <c r="M151" s="222"/>
      <c r="N151" s="222"/>
      <c r="O151" s="222"/>
      <c r="P151" s="222"/>
      <c r="Q151" s="222"/>
      <c r="R151" s="222"/>
      <c r="S151" s="222"/>
      <c r="T151" s="222"/>
      <c r="U151" s="223"/>
      <c r="V151" s="222"/>
      <c r="W151" s="222"/>
      <c r="X151" s="222"/>
      <c r="Y151" s="222"/>
      <c r="Z151" s="222"/>
      <c r="AA151" s="222"/>
      <c r="AB151" s="222"/>
      <c r="AC151" s="222"/>
      <c r="AD151" s="222"/>
      <c r="AE151" s="222"/>
      <c r="AF151" s="520"/>
      <c r="AG151" s="222"/>
      <c r="AH151" s="223"/>
      <c r="AI151" s="222"/>
      <c r="AJ151" s="224"/>
    </row>
    <row r="152" spans="1:38" s="30" customFormat="1" ht="16">
      <c r="A152" s="140"/>
      <c r="B152" s="133" t="s">
        <v>45</v>
      </c>
      <c r="C152" s="29">
        <f>COUNTIFS($AH$5:$AH$109,"Not Available",$A$5:$A$109,"SI")</f>
        <v>0</v>
      </c>
      <c r="D152" s="78">
        <f>(100*(COUNTIFS($AH$6:$AH$109,"Not Available",$A$6:$A$109,"SI")))/COUNTIF($A$6:$A$109,"SI")</f>
        <v>0</v>
      </c>
      <c r="E152" s="134"/>
      <c r="F152" s="135"/>
      <c r="G152" s="135"/>
      <c r="H152" s="135"/>
      <c r="I152" s="135"/>
      <c r="J152" s="134"/>
      <c r="K152" s="135"/>
      <c r="L152" s="222"/>
      <c r="M152" s="222"/>
      <c r="N152" s="222"/>
      <c r="O152" s="222"/>
      <c r="P152" s="222"/>
      <c r="Q152" s="222"/>
      <c r="R152" s="222"/>
      <c r="S152" s="222"/>
      <c r="T152" s="222"/>
      <c r="U152" s="223"/>
      <c r="V152" s="222"/>
      <c r="W152" s="222"/>
      <c r="X152" s="222"/>
      <c r="Y152" s="222"/>
      <c r="Z152" s="222"/>
      <c r="AA152" s="222"/>
      <c r="AB152" s="222"/>
      <c r="AC152" s="222"/>
      <c r="AD152" s="222"/>
      <c r="AE152" s="222"/>
      <c r="AF152" s="520"/>
      <c r="AG152" s="222"/>
      <c r="AH152" s="223"/>
      <c r="AI152" s="222"/>
      <c r="AJ152" s="224"/>
    </row>
    <row r="153" spans="1:38" s="30" customFormat="1" ht="16">
      <c r="A153" s="140"/>
      <c r="B153" s="133" t="s">
        <v>46</v>
      </c>
      <c r="C153" s="29">
        <f>COUNTIFS($AH$5:$AH$109,"Not Applicable",$A$5:$A$109,"SI")</f>
        <v>0</v>
      </c>
      <c r="D153" s="78">
        <f>(100*(COUNTIFS($AH$6:$AH$109,"Not Applicable",$A$6:$A$109,"SI")))/COUNTIF($A$6:$A$109,"SI")</f>
        <v>0</v>
      </c>
      <c r="E153" s="134"/>
      <c r="F153" s="135"/>
      <c r="G153" s="135"/>
      <c r="H153" s="135"/>
      <c r="I153" s="135"/>
      <c r="J153" s="134"/>
      <c r="K153" s="135"/>
      <c r="L153" s="222"/>
      <c r="M153" s="222"/>
      <c r="N153" s="222"/>
      <c r="O153" s="222"/>
      <c r="P153" s="222"/>
      <c r="Q153" s="222"/>
      <c r="R153" s="222"/>
      <c r="S153" s="222"/>
      <c r="T153" s="222"/>
      <c r="U153" s="223"/>
      <c r="V153" s="222"/>
      <c r="W153" s="222"/>
      <c r="X153" s="222"/>
      <c r="Y153" s="222"/>
      <c r="Z153" s="222"/>
      <c r="AA153" s="222"/>
      <c r="AB153" s="222"/>
      <c r="AC153" s="222"/>
      <c r="AD153" s="222"/>
      <c r="AE153" s="222"/>
      <c r="AF153" s="520"/>
      <c r="AG153" s="222"/>
      <c r="AH153" s="223"/>
      <c r="AI153" s="222"/>
      <c r="AJ153" s="224"/>
    </row>
    <row r="154" spans="1:38" s="30" customFormat="1" ht="16">
      <c r="A154" s="140"/>
      <c r="B154" s="132"/>
      <c r="C154" s="31"/>
      <c r="D154" s="31"/>
      <c r="E154" s="134"/>
      <c r="F154" s="135"/>
      <c r="G154" s="135"/>
      <c r="H154" s="135"/>
      <c r="I154" s="135"/>
      <c r="J154" s="134"/>
      <c r="K154" s="135"/>
      <c r="L154" s="222"/>
      <c r="M154" s="222"/>
      <c r="N154" s="222"/>
      <c r="O154" s="222"/>
      <c r="P154" s="222"/>
      <c r="Q154" s="222"/>
      <c r="R154" s="222"/>
      <c r="S154" s="222"/>
      <c r="T154" s="222"/>
      <c r="U154" s="223"/>
      <c r="V154" s="222"/>
      <c r="W154" s="222"/>
      <c r="X154" s="222"/>
      <c r="Y154" s="222"/>
      <c r="Z154" s="222"/>
      <c r="AA154" s="222"/>
      <c r="AB154" s="222"/>
      <c r="AC154" s="222"/>
      <c r="AD154" s="222"/>
      <c r="AE154" s="222"/>
      <c r="AF154" s="520"/>
      <c r="AG154" s="222"/>
      <c r="AH154" s="223"/>
      <c r="AI154" s="222"/>
      <c r="AJ154" s="224"/>
    </row>
    <row r="156" spans="1:38" ht="15" customHeight="1">
      <c r="B156" s="85"/>
      <c r="C156" s="80"/>
      <c r="D156" s="81"/>
      <c r="E156" s="79"/>
      <c r="F156" s="79"/>
      <c r="G156" s="79"/>
      <c r="H156" s="79"/>
      <c r="I156" s="79"/>
      <c r="J156" s="361"/>
      <c r="K156" s="79"/>
      <c r="L156" s="214"/>
      <c r="M156" s="215"/>
      <c r="N156" s="216"/>
      <c r="O156" s="216"/>
      <c r="P156" s="214"/>
      <c r="Q156" s="217"/>
      <c r="R156" s="217"/>
      <c r="S156" s="217"/>
      <c r="T156" s="217"/>
      <c r="U156" s="218"/>
      <c r="V156" s="217"/>
      <c r="W156" s="217"/>
      <c r="X156" s="217"/>
      <c r="Y156" s="217"/>
      <c r="Z156" s="217"/>
      <c r="AA156" s="217"/>
      <c r="AB156" s="217"/>
      <c r="AC156" s="217"/>
      <c r="AD156" s="217"/>
      <c r="AE156" s="217"/>
      <c r="AF156" s="518"/>
      <c r="AG156" s="217"/>
      <c r="AH156" s="218"/>
      <c r="AI156" s="217"/>
      <c r="AJ156" s="217"/>
    </row>
    <row r="157" spans="1:38" ht="15" customHeight="1">
      <c r="B157" s="85"/>
      <c r="C157" s="99"/>
      <c r="D157" s="100"/>
      <c r="E157" s="101"/>
      <c r="F157" s="101"/>
      <c r="G157" s="101"/>
      <c r="H157" s="101"/>
      <c r="I157" s="101"/>
      <c r="J157" s="362"/>
      <c r="K157" s="85"/>
      <c r="L157" s="214"/>
      <c r="M157" s="215"/>
      <c r="N157" s="216"/>
      <c r="O157" s="216"/>
      <c r="P157" s="214"/>
      <c r="Q157" s="217"/>
      <c r="R157" s="217"/>
      <c r="S157" s="217"/>
      <c r="T157" s="217"/>
      <c r="U157" s="218"/>
      <c r="V157" s="217"/>
      <c r="W157" s="217"/>
      <c r="X157" s="217"/>
      <c r="Y157" s="217"/>
      <c r="Z157" s="217"/>
      <c r="AA157" s="217"/>
      <c r="AB157" s="217"/>
      <c r="AC157" s="217"/>
      <c r="AD157" s="217"/>
      <c r="AE157" s="217"/>
      <c r="AF157" s="518"/>
      <c r="AG157" s="217"/>
      <c r="AH157" s="218"/>
      <c r="AI157" s="217"/>
      <c r="AJ157" s="217"/>
    </row>
    <row r="158" spans="1:38" ht="15" customHeight="1">
      <c r="B158" s="82"/>
      <c r="C158" s="83"/>
      <c r="D158" s="84"/>
      <c r="E158" s="32"/>
      <c r="F158" s="32"/>
      <c r="G158" s="32"/>
      <c r="H158" s="32"/>
      <c r="I158" s="32"/>
      <c r="J158" s="363"/>
      <c r="K158" s="82"/>
      <c r="L158" s="214"/>
      <c r="M158" s="215"/>
      <c r="N158" s="216"/>
      <c r="O158" s="216"/>
      <c r="P158" s="214"/>
      <c r="Q158" s="217"/>
      <c r="R158" s="217"/>
      <c r="S158" s="217"/>
      <c r="T158" s="217"/>
      <c r="U158" s="218"/>
      <c r="V158" s="217"/>
      <c r="W158" s="217"/>
      <c r="X158" s="217"/>
      <c r="Y158" s="217"/>
      <c r="Z158" s="217"/>
      <c r="AA158" s="217"/>
      <c r="AB158" s="217"/>
      <c r="AC158" s="217"/>
      <c r="AD158" s="217"/>
      <c r="AE158" s="217"/>
      <c r="AF158" s="518"/>
      <c r="AG158" s="217"/>
      <c r="AH158" s="218"/>
      <c r="AI158" s="217"/>
      <c r="AJ158" s="217"/>
    </row>
    <row r="159" spans="1:38" s="53" customFormat="1">
      <c r="A159" s="236"/>
      <c r="B159" s="30"/>
      <c r="C159" s="30"/>
      <c r="D159" s="30"/>
      <c r="E159" s="65"/>
      <c r="F159" s="30"/>
      <c r="G159" s="30"/>
      <c r="H159" s="30"/>
      <c r="I159" s="30"/>
      <c r="J159" s="65"/>
      <c r="K159" s="30"/>
      <c r="L159" s="220"/>
      <c r="M159" s="220"/>
      <c r="N159" s="220"/>
      <c r="O159" s="220"/>
      <c r="P159" s="220"/>
      <c r="Q159" s="220"/>
      <c r="R159" s="220"/>
      <c r="S159" s="220"/>
      <c r="T159" s="220"/>
      <c r="U159" s="221"/>
      <c r="V159" s="220"/>
      <c r="W159" s="220"/>
      <c r="X159" s="220"/>
      <c r="Y159" s="220"/>
      <c r="Z159" s="220"/>
      <c r="AA159" s="220"/>
      <c r="AB159" s="220"/>
      <c r="AC159" s="220"/>
      <c r="AD159" s="220"/>
      <c r="AE159" s="220"/>
      <c r="AF159" s="519"/>
      <c r="AG159" s="220"/>
      <c r="AH159" s="221"/>
      <c r="AI159" s="220"/>
      <c r="AJ159" s="220"/>
      <c r="AK159" s="30"/>
      <c r="AL159" s="30"/>
    </row>
    <row r="1048269" spans="1:38" s="66" customFormat="1" ht="17" customHeight="1">
      <c r="A1048269" s="141"/>
      <c r="B1048269" s="30"/>
      <c r="C1048269" s="30"/>
      <c r="D1048269" s="30"/>
      <c r="E1048269" s="65"/>
      <c r="F1048269" s="30"/>
      <c r="G1048269" s="30"/>
      <c r="H1048269" s="30"/>
      <c r="I1048269" s="30"/>
      <c r="J1048269" s="65"/>
      <c r="K1048269" s="30"/>
      <c r="L1048269" s="220"/>
      <c r="M1048269" s="220"/>
      <c r="N1048269" s="220"/>
      <c r="O1048269" s="220"/>
      <c r="P1048269" s="220"/>
      <c r="Q1048269" s="220"/>
      <c r="R1048269" s="220"/>
      <c r="S1048269" s="220"/>
      <c r="T1048269" s="220"/>
      <c r="U1048269" s="221"/>
      <c r="V1048269" s="220"/>
      <c r="W1048269" s="220"/>
      <c r="X1048269" s="220"/>
      <c r="Y1048269" s="220"/>
      <c r="Z1048269" s="220"/>
      <c r="AA1048269" s="220"/>
      <c r="AB1048269" s="220"/>
      <c r="AC1048269" s="220"/>
      <c r="AD1048269" s="220"/>
      <c r="AE1048269" s="220"/>
      <c r="AF1048269" s="519"/>
      <c r="AG1048269" s="220"/>
      <c r="AH1048269" s="221"/>
      <c r="AI1048269" s="220"/>
      <c r="AJ1048269" s="220"/>
      <c r="AK1048269" s="30"/>
      <c r="AL1048269" s="30"/>
    </row>
  </sheetData>
  <autoFilter ref="A1:AJ113" xr:uid="{00000000-0009-0000-0000-000001000000}"/>
  <mergeCells count="256">
    <mergeCell ref="AH86:AH95"/>
    <mergeCell ref="AH96:AH104"/>
    <mergeCell ref="M101:P101"/>
    <mergeCell ref="M103:P103"/>
    <mergeCell ref="I96:I108"/>
    <mergeCell ref="M109:T109"/>
    <mergeCell ref="E96:E104"/>
    <mergeCell ref="AH6:AH14"/>
    <mergeCell ref="AH23:AH29"/>
    <mergeCell ref="AH38:AH49"/>
    <mergeCell ref="AH58:AH67"/>
    <mergeCell ref="AH77:AH85"/>
    <mergeCell ref="Q88:R88"/>
    <mergeCell ref="S88:T88"/>
    <mergeCell ref="O90:P90"/>
    <mergeCell ref="Q90:R90"/>
    <mergeCell ref="S90:T90"/>
    <mergeCell ref="O92:P92"/>
    <mergeCell ref="Q92:R92"/>
    <mergeCell ref="S92:T92"/>
    <mergeCell ref="Q103:R103"/>
    <mergeCell ref="S103:T103"/>
    <mergeCell ref="K86:K87"/>
    <mergeCell ref="L86:L87"/>
    <mergeCell ref="D105:D108"/>
    <mergeCell ref="U105:U108"/>
    <mergeCell ref="F96:F108"/>
    <mergeCell ref="M96:P96"/>
    <mergeCell ref="Q96:R96"/>
    <mergeCell ref="S96:T96"/>
    <mergeCell ref="L102:T102"/>
    <mergeCell ref="L104:T104"/>
    <mergeCell ref="Q101:R101"/>
    <mergeCell ref="S101:T101"/>
    <mergeCell ref="U96:U104"/>
    <mergeCell ref="L98:T98"/>
    <mergeCell ref="L100:T100"/>
    <mergeCell ref="Q97:R97"/>
    <mergeCell ref="S97:T97"/>
    <mergeCell ref="Q99:R99"/>
    <mergeCell ref="S99:T99"/>
    <mergeCell ref="M97:P97"/>
    <mergeCell ref="M99:P99"/>
    <mergeCell ref="C96:C99"/>
    <mergeCell ref="D96:D99"/>
    <mergeCell ref="L93:T93"/>
    <mergeCell ref="M94:N94"/>
    <mergeCell ref="O94:P94"/>
    <mergeCell ref="Q94:R94"/>
    <mergeCell ref="S94:T94"/>
    <mergeCell ref="U86:U95"/>
    <mergeCell ref="M88:N88"/>
    <mergeCell ref="L89:T89"/>
    <mergeCell ref="M90:N90"/>
    <mergeCell ref="L91:T91"/>
    <mergeCell ref="M92:N92"/>
    <mergeCell ref="M86:P86"/>
    <mergeCell ref="Q86:R87"/>
    <mergeCell ref="S86:T87"/>
    <mergeCell ref="M87:N87"/>
    <mergeCell ref="O87:P87"/>
    <mergeCell ref="O88:P88"/>
    <mergeCell ref="L95:T95"/>
    <mergeCell ref="I77:I85"/>
    <mergeCell ref="F77:F85"/>
    <mergeCell ref="C86:C90"/>
    <mergeCell ref="D86:D90"/>
    <mergeCell ref="E86:E90"/>
    <mergeCell ref="F86:F95"/>
    <mergeCell ref="I86:I95"/>
    <mergeCell ref="M77:N77"/>
    <mergeCell ref="O77:Q77"/>
    <mergeCell ref="O78:Q78"/>
    <mergeCell ref="R77:T77"/>
    <mergeCell ref="U77:U85"/>
    <mergeCell ref="M78:N78"/>
    <mergeCell ref="M80:N80"/>
    <mergeCell ref="D68:D71"/>
    <mergeCell ref="U68:U71"/>
    <mergeCell ref="D72:D75"/>
    <mergeCell ref="U72:U75"/>
    <mergeCell ref="C77:C80"/>
    <mergeCell ref="D77:D80"/>
    <mergeCell ref="E77:E80"/>
    <mergeCell ref="R78:T78"/>
    <mergeCell ref="L79:T79"/>
    <mergeCell ref="O80:Q80"/>
    <mergeCell ref="R80:T80"/>
    <mergeCell ref="L85:T85"/>
    <mergeCell ref="M84:N84"/>
    <mergeCell ref="L83:T83"/>
    <mergeCell ref="O84:Q84"/>
    <mergeCell ref="R84:T84"/>
    <mergeCell ref="M82:N82"/>
    <mergeCell ref="L81:T81"/>
    <mergeCell ref="O82:Q82"/>
    <mergeCell ref="R82:T82"/>
    <mergeCell ref="P61:Q61"/>
    <mergeCell ref="M66:N66"/>
    <mergeCell ref="P66:Q66"/>
    <mergeCell ref="R66:S66"/>
    <mergeCell ref="M67:N67"/>
    <mergeCell ref="P67:Q67"/>
    <mergeCell ref="R67:S67"/>
    <mergeCell ref="M64:N64"/>
    <mergeCell ref="P64:Q64"/>
    <mergeCell ref="R64:S64"/>
    <mergeCell ref="M65:N65"/>
    <mergeCell ref="P65:Q65"/>
    <mergeCell ref="R65:S65"/>
    <mergeCell ref="C58:C61"/>
    <mergeCell ref="D58:D61"/>
    <mergeCell ref="E58:E61"/>
    <mergeCell ref="F58:F75"/>
    <mergeCell ref="I58:I72"/>
    <mergeCell ref="K58:K59"/>
    <mergeCell ref="L58:L59"/>
    <mergeCell ref="M58:Q58"/>
    <mergeCell ref="R46:S46"/>
    <mergeCell ref="M47:N47"/>
    <mergeCell ref="M48:N48"/>
    <mergeCell ref="M49:N49"/>
    <mergeCell ref="R61:S61"/>
    <mergeCell ref="M62:N62"/>
    <mergeCell ref="P62:Q62"/>
    <mergeCell ref="R62:S62"/>
    <mergeCell ref="M63:N63"/>
    <mergeCell ref="P63:Q63"/>
    <mergeCell ref="R63:S63"/>
    <mergeCell ref="R58:T58"/>
    <mergeCell ref="M59:N59"/>
    <mergeCell ref="P59:Q59"/>
    <mergeCell ref="R59:S59"/>
    <mergeCell ref="M60:N60"/>
    <mergeCell ref="C38:C41"/>
    <mergeCell ref="D38:D41"/>
    <mergeCell ref="E38:E41"/>
    <mergeCell ref="F38:F57"/>
    <mergeCell ref="I38:I54"/>
    <mergeCell ref="D50:D53"/>
    <mergeCell ref="M44:N44"/>
    <mergeCell ref="P44:Q44"/>
    <mergeCell ref="U50:U53"/>
    <mergeCell ref="D54:D57"/>
    <mergeCell ref="U54:U57"/>
    <mergeCell ref="R43:S43"/>
    <mergeCell ref="R45:S45"/>
    <mergeCell ref="M45:N45"/>
    <mergeCell ref="P45:Q45"/>
    <mergeCell ref="M46:N46"/>
    <mergeCell ref="P46:Q46"/>
    <mergeCell ref="U38:U49"/>
    <mergeCell ref="K38:K39"/>
    <mergeCell ref="L38:L39"/>
    <mergeCell ref="M39:N39"/>
    <mergeCell ref="P39:Q39"/>
    <mergeCell ref="R39:S39"/>
    <mergeCell ref="M40:N40"/>
    <mergeCell ref="U6:U14"/>
    <mergeCell ref="L10:T10"/>
    <mergeCell ref="N11:O11"/>
    <mergeCell ref="R11:S11"/>
    <mergeCell ref="L12:T12"/>
    <mergeCell ref="N13:O13"/>
    <mergeCell ref="R13:S13"/>
    <mergeCell ref="L14:T14"/>
    <mergeCell ref="M42:N42"/>
    <mergeCell ref="P42:Q42"/>
    <mergeCell ref="R42:S42"/>
    <mergeCell ref="R41:S41"/>
    <mergeCell ref="R40:S40"/>
    <mergeCell ref="M41:N41"/>
    <mergeCell ref="P41:Q41"/>
    <mergeCell ref="L111:T111"/>
    <mergeCell ref="L113:T113"/>
    <mergeCell ref="L23:L25"/>
    <mergeCell ref="M23:Q23"/>
    <mergeCell ref="R23:T23"/>
    <mergeCell ref="U23:U29"/>
    <mergeCell ref="P48:Q48"/>
    <mergeCell ref="R48:S48"/>
    <mergeCell ref="P49:Q49"/>
    <mergeCell ref="R49:S49"/>
    <mergeCell ref="P47:Q47"/>
    <mergeCell ref="R47:S47"/>
    <mergeCell ref="M24:N25"/>
    <mergeCell ref="O24:O25"/>
    <mergeCell ref="P24:Q25"/>
    <mergeCell ref="P26:Q26"/>
    <mergeCell ref="R44:S44"/>
    <mergeCell ref="P40:Q40"/>
    <mergeCell ref="M43:N43"/>
    <mergeCell ref="P43:Q43"/>
    <mergeCell ref="U58:U67"/>
    <mergeCell ref="P60:Q60"/>
    <mergeCell ref="R60:S60"/>
    <mergeCell ref="M61:N61"/>
    <mergeCell ref="D34:D37"/>
    <mergeCell ref="U34:U37"/>
    <mergeCell ref="F23:F37"/>
    <mergeCell ref="I23:I34"/>
    <mergeCell ref="U30:U33"/>
    <mergeCell ref="M38:Q38"/>
    <mergeCell ref="R38:T38"/>
    <mergeCell ref="R24:S25"/>
    <mergeCell ref="T24:T25"/>
    <mergeCell ref="M28:N28"/>
    <mergeCell ref="M29:N29"/>
    <mergeCell ref="M27:N27"/>
    <mergeCell ref="R26:S26"/>
    <mergeCell ref="D30:D33"/>
    <mergeCell ref="K23:K25"/>
    <mergeCell ref="P27:Q27"/>
    <mergeCell ref="R27:S27"/>
    <mergeCell ref="P28:Q28"/>
    <mergeCell ref="R28:S28"/>
    <mergeCell ref="P29:Q29"/>
    <mergeCell ref="R29:S29"/>
    <mergeCell ref="F6:F22"/>
    <mergeCell ref="C23:C26"/>
    <mergeCell ref="D23:D26"/>
    <mergeCell ref="E23:E26"/>
    <mergeCell ref="D15:D18"/>
    <mergeCell ref="U15:U18"/>
    <mergeCell ref="D19:D22"/>
    <mergeCell ref="U19:U22"/>
    <mergeCell ref="I6:I19"/>
    <mergeCell ref="L6:L8"/>
    <mergeCell ref="M6:Q6"/>
    <mergeCell ref="R6:T6"/>
    <mergeCell ref="M7:M8"/>
    <mergeCell ref="N7:O8"/>
    <mergeCell ref="P7:P8"/>
    <mergeCell ref="Q7:Q8"/>
    <mergeCell ref="C6:C9"/>
    <mergeCell ref="D6:D9"/>
    <mergeCell ref="E6:E9"/>
    <mergeCell ref="R7:S8"/>
    <mergeCell ref="T7:T8"/>
    <mergeCell ref="N9:O9"/>
    <mergeCell ref="R9:S9"/>
    <mergeCell ref="M26:N26"/>
    <mergeCell ref="AJ2:AJ3"/>
    <mergeCell ref="M3:T3"/>
    <mergeCell ref="AD2:AD3"/>
    <mergeCell ref="AE2:AE3"/>
    <mergeCell ref="AF2:AF3"/>
    <mergeCell ref="AG2:AG3"/>
    <mergeCell ref="AH2:AH3"/>
    <mergeCell ref="AI2:AI3"/>
    <mergeCell ref="B2:B3"/>
    <mergeCell ref="C2:D3"/>
    <mergeCell ref="E2:K2"/>
    <mergeCell ref="L2:T2"/>
    <mergeCell ref="U2:U3"/>
    <mergeCell ref="V2:AC2"/>
  </mergeCells>
  <conditionalFormatting sqref="C120">
    <cfRule type="containsText" dxfId="792" priority="383" operator="containsText" text="Alternative">
      <formula>NOT(ISERROR(SEARCH("Alternative",C120)))</formula>
    </cfRule>
    <cfRule type="containsText" dxfId="791" priority="385" operator="containsText" text="Not available">
      <formula>NOT(ISERROR(SEARCH("Not available",C120)))</formula>
    </cfRule>
    <cfRule type="containsText" dxfId="790" priority="386" operator="containsText" text="Incomplete">
      <formula>NOT(ISERROR(SEARCH("Incomplete",C120)))</formula>
    </cfRule>
    <cfRule type="containsText" dxfId="789" priority="387" operator="containsText" text="Complete">
      <formula>NOT(ISERROR(SEARCH("Complete",C120)))</formula>
    </cfRule>
  </conditionalFormatting>
  <conditionalFormatting sqref="B120:C120 B121">
    <cfRule type="containsText" dxfId="788" priority="384" operator="containsText" text="Pending">
      <formula>NOT(ISERROR(SEARCH("Pending",B120)))</formula>
    </cfRule>
  </conditionalFormatting>
  <conditionalFormatting sqref="C119">
    <cfRule type="containsText" dxfId="787" priority="378" operator="containsText" text="Alternative">
      <formula>NOT(ISERROR(SEARCH("Alternative",C119)))</formula>
    </cfRule>
    <cfRule type="containsText" dxfId="786" priority="380" operator="containsText" text="Not available">
      <formula>NOT(ISERROR(SEARCH("Not available",C119)))</formula>
    </cfRule>
    <cfRule type="containsText" dxfId="785" priority="381" operator="containsText" text="Incomplete">
      <formula>NOT(ISERROR(SEARCH("Incomplete",C119)))</formula>
    </cfRule>
    <cfRule type="containsText" dxfId="784" priority="382" operator="containsText" text="Complete">
      <formula>NOT(ISERROR(SEARCH("Complete",C119)))</formula>
    </cfRule>
  </conditionalFormatting>
  <conditionalFormatting sqref="C119">
    <cfRule type="containsText" dxfId="783" priority="379" operator="containsText" text="Pending">
      <formula>NOT(ISERROR(SEARCH("Pending",C119)))</formula>
    </cfRule>
  </conditionalFormatting>
  <conditionalFormatting sqref="B142">
    <cfRule type="containsText" dxfId="782" priority="377" operator="containsText" text="Pending">
      <formula>NOT(ISERROR(SEARCH("Pending",B142)))</formula>
    </cfRule>
  </conditionalFormatting>
  <conditionalFormatting sqref="B128">
    <cfRule type="containsText" dxfId="781" priority="376" operator="containsText" text="Pending">
      <formula>NOT(ISERROR(SEARCH("Pending",B128)))</formula>
    </cfRule>
  </conditionalFormatting>
  <conditionalFormatting sqref="B135">
    <cfRule type="containsText" dxfId="780" priority="375" operator="containsText" text="Pending">
      <formula>NOT(ISERROR(SEARCH("Pending",B135)))</formula>
    </cfRule>
  </conditionalFormatting>
  <conditionalFormatting sqref="B122:B127">
    <cfRule type="containsText" dxfId="779" priority="374" operator="containsText" text="Complete">
      <formula>NOT(ISERROR(SEARCH("Complete",B122)))</formula>
    </cfRule>
  </conditionalFormatting>
  <conditionalFormatting sqref="B122:B127">
    <cfRule type="containsText" dxfId="778" priority="369" operator="containsText" text="Not applicable">
      <formula>NOT(ISERROR(SEARCH("Not applicable",B122)))</formula>
    </cfRule>
    <cfRule type="containsText" dxfId="777" priority="370" operator="containsText" text="Pending">
      <formula>NOT(ISERROR(SEARCH("Pending",B122)))</formula>
    </cfRule>
    <cfRule type="containsText" dxfId="776" priority="371" operator="containsText" text="Alternative">
      <formula>NOT(ISERROR(SEARCH("Alternative",B122)))</formula>
    </cfRule>
    <cfRule type="containsText" dxfId="775" priority="372" operator="containsText" text="Not Available">
      <formula>NOT(ISERROR(SEARCH("Not Available",B122)))</formula>
    </cfRule>
    <cfRule type="containsText" dxfId="774" priority="373" operator="containsText" text="Incomplete">
      <formula>NOT(ISERROR(SEARCH("Incomplete",B122)))</formula>
    </cfRule>
  </conditionalFormatting>
  <conditionalFormatting sqref="B129:B134">
    <cfRule type="containsText" dxfId="773" priority="368" operator="containsText" text="Complete">
      <formula>NOT(ISERROR(SEARCH("Complete",B129)))</formula>
    </cfRule>
  </conditionalFormatting>
  <conditionalFormatting sqref="B129:B134">
    <cfRule type="containsText" dxfId="772" priority="363" operator="containsText" text="Not applicable">
      <formula>NOT(ISERROR(SEARCH("Not applicable",B129)))</formula>
    </cfRule>
    <cfRule type="containsText" dxfId="771" priority="364" operator="containsText" text="Pending">
      <formula>NOT(ISERROR(SEARCH("Pending",B129)))</formula>
    </cfRule>
    <cfRule type="containsText" dxfId="770" priority="365" operator="containsText" text="Alternative">
      <formula>NOT(ISERROR(SEARCH("Alternative",B129)))</formula>
    </cfRule>
    <cfRule type="containsText" dxfId="769" priority="366" operator="containsText" text="Not Available">
      <formula>NOT(ISERROR(SEARCH("Not Available",B129)))</formula>
    </cfRule>
    <cfRule type="containsText" dxfId="768" priority="367" operator="containsText" text="Incomplete">
      <formula>NOT(ISERROR(SEARCH("Incomplete",B129)))</formula>
    </cfRule>
  </conditionalFormatting>
  <conditionalFormatting sqref="B136:B141">
    <cfRule type="containsText" dxfId="767" priority="362" operator="containsText" text="Complete">
      <formula>NOT(ISERROR(SEARCH("Complete",B136)))</formula>
    </cfRule>
  </conditionalFormatting>
  <conditionalFormatting sqref="B136:B141">
    <cfRule type="containsText" dxfId="766" priority="357" operator="containsText" text="Not applicable">
      <formula>NOT(ISERROR(SEARCH("Not applicable",B136)))</formula>
    </cfRule>
    <cfRule type="containsText" dxfId="765" priority="358" operator="containsText" text="Pending">
      <formula>NOT(ISERROR(SEARCH("Pending",B136)))</formula>
    </cfRule>
    <cfRule type="containsText" dxfId="764" priority="359" operator="containsText" text="Alternative">
      <formula>NOT(ISERROR(SEARCH("Alternative",B136)))</formula>
    </cfRule>
    <cfRule type="containsText" dxfId="763" priority="360" operator="containsText" text="Not Available">
      <formula>NOT(ISERROR(SEARCH("Not Available",B136)))</formula>
    </cfRule>
    <cfRule type="containsText" dxfId="762" priority="361" operator="containsText" text="Incomplete">
      <formula>NOT(ISERROR(SEARCH("Incomplete",B136)))</formula>
    </cfRule>
  </conditionalFormatting>
  <conditionalFormatting sqref="D120">
    <cfRule type="containsText" dxfId="761" priority="352" operator="containsText" text="Alternative">
      <formula>NOT(ISERROR(SEARCH("Alternative",D120)))</formula>
    </cfRule>
    <cfRule type="containsText" dxfId="760" priority="354" operator="containsText" text="Not available">
      <formula>NOT(ISERROR(SEARCH("Not available",D120)))</formula>
    </cfRule>
    <cfRule type="containsText" dxfId="759" priority="355" operator="containsText" text="Incomplete">
      <formula>NOT(ISERROR(SEARCH("Incomplete",D120)))</formula>
    </cfRule>
    <cfRule type="containsText" dxfId="758" priority="356" operator="containsText" text="Complete">
      <formula>NOT(ISERROR(SEARCH("Complete",D120)))</formula>
    </cfRule>
  </conditionalFormatting>
  <conditionalFormatting sqref="D120">
    <cfRule type="containsText" dxfId="757" priority="353" operator="containsText" text="Pending">
      <formula>NOT(ISERROR(SEARCH("Pending",D120)))</formula>
    </cfRule>
  </conditionalFormatting>
  <conditionalFormatting sqref="B145">
    <cfRule type="containsText" dxfId="756" priority="351" operator="containsText" text="Pending">
      <formula>NOT(ISERROR(SEARCH("Pending",B145)))</formula>
    </cfRule>
  </conditionalFormatting>
  <conditionalFormatting sqref="B146">
    <cfRule type="containsText" dxfId="755" priority="350" operator="containsText" text="Pending">
      <formula>NOT(ISERROR(SEARCH("Pending",B146)))</formula>
    </cfRule>
  </conditionalFormatting>
  <conditionalFormatting sqref="C154">
    <cfRule type="containsText" dxfId="754" priority="345" operator="containsText" text="Alternative">
      <formula>NOT(ISERROR(SEARCH("Alternative",C154)))</formula>
    </cfRule>
    <cfRule type="containsText" dxfId="753" priority="347" operator="containsText" text="Not available">
      <formula>NOT(ISERROR(SEARCH("Not available",C154)))</formula>
    </cfRule>
    <cfRule type="containsText" dxfId="752" priority="348" operator="containsText" text="Incomplete">
      <formula>NOT(ISERROR(SEARCH("Incomplete",C154)))</formula>
    </cfRule>
    <cfRule type="containsText" dxfId="751" priority="349" operator="containsText" text="Complete">
      <formula>NOT(ISERROR(SEARCH("Complete",C154)))</formula>
    </cfRule>
  </conditionalFormatting>
  <conditionalFormatting sqref="B154:C154">
    <cfRule type="containsText" dxfId="750" priority="346" operator="containsText" text="Pending">
      <formula>NOT(ISERROR(SEARCH("Pending",B154)))</formula>
    </cfRule>
  </conditionalFormatting>
  <conditionalFormatting sqref="B147">
    <cfRule type="containsText" dxfId="749" priority="340" operator="containsText" text="No Benchmark">
      <formula>NOT(ISERROR(SEARCH("No Benchmark",B147)))</formula>
    </cfRule>
    <cfRule type="containsText" dxfId="748" priority="341" operator="containsText" text="Red">
      <formula>NOT(ISERROR(SEARCH("Red",B147)))</formula>
    </cfRule>
    <cfRule type="containsText" dxfId="747" priority="342" operator="containsText" text="Orange">
      <formula>NOT(ISERROR(SEARCH("Orange",B147)))</formula>
    </cfRule>
    <cfRule type="containsText" dxfId="746" priority="343" operator="containsText" text="Yellow">
      <formula>NOT(ISERROR(SEARCH("Yellow",B147)))</formula>
    </cfRule>
    <cfRule type="containsText" dxfId="745" priority="344" operator="containsText" text="Green">
      <formula>NOT(ISERROR(SEARCH("Green",B147)))</formula>
    </cfRule>
  </conditionalFormatting>
  <conditionalFormatting sqref="B148">
    <cfRule type="containsText" dxfId="744" priority="335" operator="containsText" text="No Benchmark">
      <formula>NOT(ISERROR(SEARCH("No Benchmark",B148)))</formula>
    </cfRule>
    <cfRule type="containsText" dxfId="743" priority="336" operator="containsText" text="Red">
      <formula>NOT(ISERROR(SEARCH("Red",B148)))</formula>
    </cfRule>
    <cfRule type="containsText" dxfId="742" priority="337" operator="containsText" text="Orange">
      <formula>NOT(ISERROR(SEARCH("Orange",B148)))</formula>
    </cfRule>
    <cfRule type="containsText" dxfId="741" priority="338" operator="containsText" text="Yellow">
      <formula>NOT(ISERROR(SEARCH("Yellow",B148)))</formula>
    </cfRule>
    <cfRule type="containsText" dxfId="740" priority="339" operator="containsText" text="Green">
      <formula>NOT(ISERROR(SEARCH("Green",B148)))</formula>
    </cfRule>
  </conditionalFormatting>
  <conditionalFormatting sqref="B149">
    <cfRule type="containsText" dxfId="739" priority="330" operator="containsText" text="No Benchmark">
      <formula>NOT(ISERROR(SEARCH("No Benchmark",B149)))</formula>
    </cfRule>
    <cfRule type="containsText" dxfId="738" priority="331" operator="containsText" text="Red">
      <formula>NOT(ISERROR(SEARCH("Red",B149)))</formula>
    </cfRule>
    <cfRule type="containsText" dxfId="737" priority="332" operator="containsText" text="Orange">
      <formula>NOT(ISERROR(SEARCH("Orange",B149)))</formula>
    </cfRule>
    <cfRule type="containsText" dxfId="736" priority="333" operator="containsText" text="Yellow">
      <formula>NOT(ISERROR(SEARCH("Yellow",B149)))</formula>
    </cfRule>
    <cfRule type="containsText" dxfId="735" priority="334" operator="containsText" text="Green">
      <formula>NOT(ISERROR(SEARCH("Green",B149)))</formula>
    </cfRule>
  </conditionalFormatting>
  <conditionalFormatting sqref="B150">
    <cfRule type="containsText" dxfId="734" priority="325" operator="containsText" text="No Benchmark">
      <formula>NOT(ISERROR(SEARCH("No Benchmark",B150)))</formula>
    </cfRule>
    <cfRule type="containsText" dxfId="733" priority="326" operator="containsText" text="Red">
      <formula>NOT(ISERROR(SEARCH("Red",B150)))</formula>
    </cfRule>
    <cfRule type="containsText" dxfId="732" priority="327" operator="containsText" text="Orange">
      <formula>NOT(ISERROR(SEARCH("Orange",B150)))</formula>
    </cfRule>
    <cfRule type="containsText" dxfId="731" priority="328" operator="containsText" text="Yellow">
      <formula>NOT(ISERROR(SEARCH("Yellow",B150)))</formula>
    </cfRule>
    <cfRule type="containsText" dxfId="730" priority="329" operator="containsText" text="Green">
      <formula>NOT(ISERROR(SEARCH("Green",B150)))</formula>
    </cfRule>
  </conditionalFormatting>
  <conditionalFormatting sqref="B151">
    <cfRule type="containsText" dxfId="729" priority="320" operator="containsText" text="Qualitative">
      <formula>NOT(ISERROR(SEARCH("Qualitative",B151)))</formula>
    </cfRule>
    <cfRule type="containsText" dxfId="728" priority="321" operator="containsText" text="Red">
      <formula>NOT(ISERROR(SEARCH("Red",B151)))</formula>
    </cfRule>
    <cfRule type="containsText" dxfId="727" priority="322" operator="containsText" text="Orange">
      <formula>NOT(ISERROR(SEARCH("Orange",B151)))</formula>
    </cfRule>
    <cfRule type="containsText" dxfId="726" priority="323" operator="containsText" text="Yellow">
      <formula>NOT(ISERROR(SEARCH("Yellow",B151)))</formula>
    </cfRule>
    <cfRule type="containsText" dxfId="725" priority="324" operator="containsText" text="Green">
      <formula>NOT(ISERROR(SEARCH("Green",B151)))</formula>
    </cfRule>
  </conditionalFormatting>
  <conditionalFormatting sqref="B152">
    <cfRule type="containsText" dxfId="724" priority="315" operator="containsText" text="No Benchmark">
      <formula>NOT(ISERROR(SEARCH("No Benchmark",B152)))</formula>
    </cfRule>
    <cfRule type="containsText" dxfId="723" priority="316" operator="containsText" text="Red">
      <formula>NOT(ISERROR(SEARCH("Red",B152)))</formula>
    </cfRule>
    <cfRule type="containsText" dxfId="722" priority="317" operator="containsText" text="Orange">
      <formula>NOT(ISERROR(SEARCH("Orange",B152)))</formula>
    </cfRule>
    <cfRule type="containsText" dxfId="721" priority="318" operator="containsText" text="Yellow">
      <formula>NOT(ISERROR(SEARCH("Yellow",B152)))</formula>
    </cfRule>
    <cfRule type="containsText" dxfId="720" priority="319" operator="containsText" text="Green">
      <formula>NOT(ISERROR(SEARCH("Green",B152)))</formula>
    </cfRule>
  </conditionalFormatting>
  <conditionalFormatting sqref="B153">
    <cfRule type="containsText" dxfId="719" priority="310" operator="containsText" text="No Benchmark">
      <formula>NOT(ISERROR(SEARCH("No Benchmark",B153)))</formula>
    </cfRule>
    <cfRule type="containsText" dxfId="718" priority="311" operator="containsText" text="Red">
      <formula>NOT(ISERROR(SEARCH("Red",B153)))</formula>
    </cfRule>
    <cfRule type="containsText" dxfId="717" priority="312" operator="containsText" text="Orange">
      <formula>NOT(ISERROR(SEARCH("Orange",B153)))</formula>
    </cfRule>
    <cfRule type="containsText" dxfId="716" priority="313" operator="containsText" text="Yellow">
      <formula>NOT(ISERROR(SEARCH("Yellow",B153)))</formula>
    </cfRule>
    <cfRule type="containsText" dxfId="715" priority="314" operator="containsText" text="Green">
      <formula>NOT(ISERROR(SEARCH("Green",B153)))</formula>
    </cfRule>
  </conditionalFormatting>
  <conditionalFormatting sqref="U19">
    <cfRule type="containsText" dxfId="714" priority="223" operator="containsText" text="Complete">
      <formula>NOT(ISERROR(SEARCH("Complete",U19)))</formula>
    </cfRule>
  </conditionalFormatting>
  <conditionalFormatting sqref="U19">
    <cfRule type="containsText" dxfId="713" priority="218" operator="containsText" text="Not applicable">
      <formula>NOT(ISERROR(SEARCH("Not applicable",U19)))</formula>
    </cfRule>
    <cfRule type="containsText" dxfId="712" priority="219" operator="containsText" text="Pending">
      <formula>NOT(ISERROR(SEARCH("Pending",U19)))</formula>
    </cfRule>
    <cfRule type="containsText" dxfId="711" priority="220" operator="containsText" text="Alternative">
      <formula>NOT(ISERROR(SEARCH("Alternative",U19)))</formula>
    </cfRule>
    <cfRule type="containsText" dxfId="710" priority="221" operator="containsText" text="Not Available">
      <formula>NOT(ISERROR(SEARCH("Not Available",U19)))</formula>
    </cfRule>
    <cfRule type="containsText" dxfId="709" priority="222" operator="containsText" text="Incomplete">
      <formula>NOT(ISERROR(SEARCH("Incomplete",U19)))</formula>
    </cfRule>
  </conditionalFormatting>
  <conditionalFormatting sqref="U6">
    <cfRule type="containsText" dxfId="708" priority="235" operator="containsText" text="Complete">
      <formula>NOT(ISERROR(SEARCH("Complete",U6)))</formula>
    </cfRule>
  </conditionalFormatting>
  <conditionalFormatting sqref="U6">
    <cfRule type="containsText" dxfId="707" priority="230" operator="containsText" text="Not applicable">
      <formula>NOT(ISERROR(SEARCH("Not applicable",U6)))</formula>
    </cfRule>
    <cfRule type="containsText" dxfId="706" priority="231" operator="containsText" text="Pending">
      <formula>NOT(ISERROR(SEARCH("Pending",U6)))</formula>
    </cfRule>
    <cfRule type="containsText" dxfId="705" priority="232" operator="containsText" text="Alternative">
      <formula>NOT(ISERROR(SEARCH("Alternative",U6)))</formula>
    </cfRule>
    <cfRule type="containsText" dxfId="704" priority="233" operator="containsText" text="Not Available">
      <formula>NOT(ISERROR(SEARCH("Not Available",U6)))</formula>
    </cfRule>
    <cfRule type="containsText" dxfId="703" priority="234" operator="containsText" text="Incomplete">
      <formula>NOT(ISERROR(SEARCH("Incomplete",U6)))</formula>
    </cfRule>
  </conditionalFormatting>
  <conditionalFormatting sqref="U15">
    <cfRule type="containsText" dxfId="702" priority="229" operator="containsText" text="Complete">
      <formula>NOT(ISERROR(SEARCH("Complete",U15)))</formula>
    </cfRule>
  </conditionalFormatting>
  <conditionalFormatting sqref="U15">
    <cfRule type="containsText" dxfId="701" priority="224" operator="containsText" text="Not applicable">
      <formula>NOT(ISERROR(SEARCH("Not applicable",U15)))</formula>
    </cfRule>
    <cfRule type="containsText" dxfId="700" priority="225" operator="containsText" text="Pending">
      <formula>NOT(ISERROR(SEARCH("Pending",U15)))</formula>
    </cfRule>
    <cfRule type="containsText" dxfId="699" priority="226" operator="containsText" text="Alternative">
      <formula>NOT(ISERROR(SEARCH("Alternative",U15)))</formula>
    </cfRule>
    <cfRule type="containsText" dxfId="698" priority="227" operator="containsText" text="Not Available">
      <formula>NOT(ISERROR(SEARCH("Not Available",U15)))</formula>
    </cfRule>
    <cfRule type="containsText" dxfId="697" priority="228" operator="containsText" text="Incomplete">
      <formula>NOT(ISERROR(SEARCH("Incomplete",U15)))</formula>
    </cfRule>
  </conditionalFormatting>
  <conditionalFormatting sqref="C142">
    <cfRule type="containsText" dxfId="696" priority="135" operator="containsText" text="Alternative">
      <formula>NOT(ISERROR(SEARCH("Alternative",C142)))</formula>
    </cfRule>
    <cfRule type="containsText" dxfId="695" priority="137" operator="containsText" text="Not available">
      <formula>NOT(ISERROR(SEARCH("Not available",C142)))</formula>
    </cfRule>
    <cfRule type="containsText" dxfId="694" priority="138" operator="containsText" text="Incomplete">
      <formula>NOT(ISERROR(SEARCH("Incomplete",C142)))</formula>
    </cfRule>
    <cfRule type="containsText" dxfId="693" priority="139" operator="containsText" text="Complete">
      <formula>NOT(ISERROR(SEARCH("Complete",C142)))</formula>
    </cfRule>
  </conditionalFormatting>
  <conditionalFormatting sqref="C142">
    <cfRule type="containsText" dxfId="692" priority="136" operator="containsText" text="Pending">
      <formula>NOT(ISERROR(SEARCH("Pending",C142)))</formula>
    </cfRule>
  </conditionalFormatting>
  <conditionalFormatting sqref="C144">
    <cfRule type="containsText" dxfId="691" priority="130" operator="containsText" text="Alternative">
      <formula>NOT(ISERROR(SEARCH("Alternative",C144)))</formula>
    </cfRule>
    <cfRule type="containsText" dxfId="690" priority="132" operator="containsText" text="Not available">
      <formula>NOT(ISERROR(SEARCH("Not available",C144)))</formula>
    </cfRule>
    <cfRule type="containsText" dxfId="689" priority="133" operator="containsText" text="Incomplete">
      <formula>NOT(ISERROR(SEARCH("Incomplete",C144)))</formula>
    </cfRule>
    <cfRule type="containsText" dxfId="688" priority="134" operator="containsText" text="Complete">
      <formula>NOT(ISERROR(SEARCH("Complete",C144)))</formula>
    </cfRule>
  </conditionalFormatting>
  <conditionalFormatting sqref="C144">
    <cfRule type="containsText" dxfId="687" priority="131" operator="containsText" text="Pending">
      <formula>NOT(ISERROR(SEARCH("Pending",C144)))</formula>
    </cfRule>
  </conditionalFormatting>
  <conditionalFormatting sqref="C145">
    <cfRule type="containsText" dxfId="686" priority="129" operator="containsText" text="Pending">
      <formula>NOT(ISERROR(SEARCH("Pending",C145)))</formula>
    </cfRule>
  </conditionalFormatting>
  <conditionalFormatting sqref="C145">
    <cfRule type="containsText" dxfId="685" priority="125" operator="containsText" text="Alternative">
      <formula>NOT(ISERROR(SEARCH("Alternative",C145)))</formula>
    </cfRule>
    <cfRule type="containsText" dxfId="684" priority="126" operator="containsText" text="Not available">
      <formula>NOT(ISERROR(SEARCH("Not available",C145)))</formula>
    </cfRule>
    <cfRule type="containsText" dxfId="683" priority="127" operator="containsText" text="Incomplete">
      <formula>NOT(ISERROR(SEARCH("Incomplete",C145)))</formula>
    </cfRule>
    <cfRule type="containsText" dxfId="682" priority="128" operator="containsText" text="Complete">
      <formula>NOT(ISERROR(SEARCH("Complete",C145)))</formula>
    </cfRule>
  </conditionalFormatting>
  <conditionalFormatting sqref="D145">
    <cfRule type="containsText" dxfId="681" priority="120" operator="containsText" text="Alternative">
      <formula>NOT(ISERROR(SEARCH("Alternative",D145)))</formula>
    </cfRule>
    <cfRule type="containsText" dxfId="680" priority="122" operator="containsText" text="Not available">
      <formula>NOT(ISERROR(SEARCH("Not available",D145)))</formula>
    </cfRule>
    <cfRule type="containsText" dxfId="679" priority="123" operator="containsText" text="Incomplete">
      <formula>NOT(ISERROR(SEARCH("Incomplete",D145)))</formula>
    </cfRule>
    <cfRule type="containsText" dxfId="678" priority="124" operator="containsText" text="Complete">
      <formula>NOT(ISERROR(SEARCH("Complete",D145)))</formula>
    </cfRule>
  </conditionalFormatting>
  <conditionalFormatting sqref="D145">
    <cfRule type="containsText" dxfId="677" priority="121" operator="containsText" text="Pending">
      <formula>NOT(ISERROR(SEARCH("Pending",D145)))</formula>
    </cfRule>
  </conditionalFormatting>
  <conditionalFormatting sqref="U23">
    <cfRule type="containsText" dxfId="676" priority="119" operator="containsText" text="Complete">
      <formula>NOT(ISERROR(SEARCH("Complete",U23)))</formula>
    </cfRule>
  </conditionalFormatting>
  <conditionalFormatting sqref="U23">
    <cfRule type="containsText" dxfId="675" priority="114" operator="containsText" text="Not applicable">
      <formula>NOT(ISERROR(SEARCH("Not applicable",U23)))</formula>
    </cfRule>
    <cfRule type="containsText" dxfId="674" priority="115" operator="containsText" text="Pending">
      <formula>NOT(ISERROR(SEARCH("Pending",U23)))</formula>
    </cfRule>
    <cfRule type="containsText" dxfId="673" priority="116" operator="containsText" text="Alternative">
      <formula>NOT(ISERROR(SEARCH("Alternative",U23)))</formula>
    </cfRule>
    <cfRule type="containsText" dxfId="672" priority="117" operator="containsText" text="Not Available">
      <formula>NOT(ISERROR(SEARCH("Not Available",U23)))</formula>
    </cfRule>
    <cfRule type="containsText" dxfId="671" priority="118" operator="containsText" text="Incomplete">
      <formula>NOT(ISERROR(SEARCH("Incomplete",U23)))</formula>
    </cfRule>
  </conditionalFormatting>
  <conditionalFormatting sqref="U30">
    <cfRule type="containsText" dxfId="670" priority="113" operator="containsText" text="Complete">
      <formula>NOT(ISERROR(SEARCH("Complete",U30)))</formula>
    </cfRule>
  </conditionalFormatting>
  <conditionalFormatting sqref="U30">
    <cfRule type="containsText" dxfId="669" priority="108" operator="containsText" text="Not applicable">
      <formula>NOT(ISERROR(SEARCH("Not applicable",U30)))</formula>
    </cfRule>
    <cfRule type="containsText" dxfId="668" priority="109" operator="containsText" text="Pending">
      <formula>NOT(ISERROR(SEARCH("Pending",U30)))</formula>
    </cfRule>
    <cfRule type="containsText" dxfId="667" priority="110" operator="containsText" text="Alternative">
      <formula>NOT(ISERROR(SEARCH("Alternative",U30)))</formula>
    </cfRule>
    <cfRule type="containsText" dxfId="666" priority="111" operator="containsText" text="Not Available">
      <formula>NOT(ISERROR(SEARCH("Not Available",U30)))</formula>
    </cfRule>
    <cfRule type="containsText" dxfId="665" priority="112" operator="containsText" text="Incomplete">
      <formula>NOT(ISERROR(SEARCH("Incomplete",U30)))</formula>
    </cfRule>
  </conditionalFormatting>
  <conditionalFormatting sqref="U34">
    <cfRule type="containsText" dxfId="664" priority="107" operator="containsText" text="Complete">
      <formula>NOT(ISERROR(SEARCH("Complete",U34)))</formula>
    </cfRule>
  </conditionalFormatting>
  <conditionalFormatting sqref="U34">
    <cfRule type="containsText" dxfId="663" priority="102" operator="containsText" text="Not applicable">
      <formula>NOT(ISERROR(SEARCH("Not applicable",U34)))</formula>
    </cfRule>
    <cfRule type="containsText" dxfId="662" priority="103" operator="containsText" text="Pending">
      <formula>NOT(ISERROR(SEARCH("Pending",U34)))</formula>
    </cfRule>
    <cfRule type="containsText" dxfId="661" priority="104" operator="containsText" text="Alternative">
      <formula>NOT(ISERROR(SEARCH("Alternative",U34)))</formula>
    </cfRule>
    <cfRule type="containsText" dxfId="660" priority="105" operator="containsText" text="Not Available">
      <formula>NOT(ISERROR(SEARCH("Not Available",U34)))</formula>
    </cfRule>
    <cfRule type="containsText" dxfId="659" priority="106" operator="containsText" text="Incomplete">
      <formula>NOT(ISERROR(SEARCH("Incomplete",U34)))</formula>
    </cfRule>
  </conditionalFormatting>
  <conditionalFormatting sqref="U38">
    <cfRule type="containsText" dxfId="658" priority="101" operator="containsText" text="Complete">
      <formula>NOT(ISERROR(SEARCH("Complete",U38)))</formula>
    </cfRule>
  </conditionalFormatting>
  <conditionalFormatting sqref="U38">
    <cfRule type="containsText" dxfId="657" priority="96" operator="containsText" text="Not applicable">
      <formula>NOT(ISERROR(SEARCH("Not applicable",U38)))</formula>
    </cfRule>
    <cfRule type="containsText" dxfId="656" priority="97" operator="containsText" text="Pending">
      <formula>NOT(ISERROR(SEARCH("Pending",U38)))</formula>
    </cfRule>
    <cfRule type="containsText" dxfId="655" priority="98" operator="containsText" text="Alternative">
      <formula>NOT(ISERROR(SEARCH("Alternative",U38)))</formula>
    </cfRule>
    <cfRule type="containsText" dxfId="654" priority="99" operator="containsText" text="Not Available">
      <formula>NOT(ISERROR(SEARCH("Not Available",U38)))</formula>
    </cfRule>
    <cfRule type="containsText" dxfId="653" priority="100" operator="containsText" text="Incomplete">
      <formula>NOT(ISERROR(SEARCH("Incomplete",U38)))</formula>
    </cfRule>
  </conditionalFormatting>
  <conditionalFormatting sqref="U50">
    <cfRule type="containsText" dxfId="652" priority="95" operator="containsText" text="Complete">
      <formula>NOT(ISERROR(SEARCH("Complete",U50)))</formula>
    </cfRule>
  </conditionalFormatting>
  <conditionalFormatting sqref="U50">
    <cfRule type="containsText" dxfId="651" priority="90" operator="containsText" text="Not applicable">
      <formula>NOT(ISERROR(SEARCH("Not applicable",U50)))</formula>
    </cfRule>
    <cfRule type="containsText" dxfId="650" priority="91" operator="containsText" text="Pending">
      <formula>NOT(ISERROR(SEARCH("Pending",U50)))</formula>
    </cfRule>
    <cfRule type="containsText" dxfId="649" priority="92" operator="containsText" text="Alternative">
      <formula>NOT(ISERROR(SEARCH("Alternative",U50)))</formula>
    </cfRule>
    <cfRule type="containsText" dxfId="648" priority="93" operator="containsText" text="Not Available">
      <formula>NOT(ISERROR(SEARCH("Not Available",U50)))</formula>
    </cfRule>
    <cfRule type="containsText" dxfId="647" priority="94" operator="containsText" text="Incomplete">
      <formula>NOT(ISERROR(SEARCH("Incomplete",U50)))</formula>
    </cfRule>
  </conditionalFormatting>
  <conditionalFormatting sqref="U54">
    <cfRule type="containsText" dxfId="646" priority="89" operator="containsText" text="Complete">
      <formula>NOT(ISERROR(SEARCH("Complete",U54)))</formula>
    </cfRule>
  </conditionalFormatting>
  <conditionalFormatting sqref="U54">
    <cfRule type="containsText" dxfId="645" priority="84" operator="containsText" text="Not applicable">
      <formula>NOT(ISERROR(SEARCH("Not applicable",U54)))</formula>
    </cfRule>
    <cfRule type="containsText" dxfId="644" priority="85" operator="containsText" text="Pending">
      <formula>NOT(ISERROR(SEARCH("Pending",U54)))</formula>
    </cfRule>
    <cfRule type="containsText" dxfId="643" priority="86" operator="containsText" text="Alternative">
      <formula>NOT(ISERROR(SEARCH("Alternative",U54)))</formula>
    </cfRule>
    <cfRule type="containsText" dxfId="642" priority="87" operator="containsText" text="Not Available">
      <formula>NOT(ISERROR(SEARCH("Not Available",U54)))</formula>
    </cfRule>
    <cfRule type="containsText" dxfId="641" priority="88" operator="containsText" text="Incomplete">
      <formula>NOT(ISERROR(SEARCH("Incomplete",U54)))</formula>
    </cfRule>
  </conditionalFormatting>
  <conditionalFormatting sqref="U58">
    <cfRule type="containsText" dxfId="640" priority="83" operator="containsText" text="Complete">
      <formula>NOT(ISERROR(SEARCH("Complete",U58)))</formula>
    </cfRule>
  </conditionalFormatting>
  <conditionalFormatting sqref="U58">
    <cfRule type="containsText" dxfId="639" priority="78" operator="containsText" text="Not applicable">
      <formula>NOT(ISERROR(SEARCH("Not applicable",U58)))</formula>
    </cfRule>
    <cfRule type="containsText" dxfId="638" priority="79" operator="containsText" text="Pending">
      <formula>NOT(ISERROR(SEARCH("Pending",U58)))</formula>
    </cfRule>
    <cfRule type="containsText" dxfId="637" priority="80" operator="containsText" text="Alternative">
      <formula>NOT(ISERROR(SEARCH("Alternative",U58)))</formula>
    </cfRule>
    <cfRule type="containsText" dxfId="636" priority="81" operator="containsText" text="Not Available">
      <formula>NOT(ISERROR(SEARCH("Not Available",U58)))</formula>
    </cfRule>
    <cfRule type="containsText" dxfId="635" priority="82" operator="containsText" text="Incomplete">
      <formula>NOT(ISERROR(SEARCH("Incomplete",U58)))</formula>
    </cfRule>
  </conditionalFormatting>
  <conditionalFormatting sqref="U68">
    <cfRule type="containsText" dxfId="634" priority="77" operator="containsText" text="Complete">
      <formula>NOT(ISERROR(SEARCH("Complete",U68)))</formula>
    </cfRule>
  </conditionalFormatting>
  <conditionalFormatting sqref="U68">
    <cfRule type="containsText" dxfId="633" priority="72" operator="containsText" text="Not applicable">
      <formula>NOT(ISERROR(SEARCH("Not applicable",U68)))</formula>
    </cfRule>
    <cfRule type="containsText" dxfId="632" priority="73" operator="containsText" text="Pending">
      <formula>NOT(ISERROR(SEARCH("Pending",U68)))</formula>
    </cfRule>
    <cfRule type="containsText" dxfId="631" priority="74" operator="containsText" text="Alternative">
      <formula>NOT(ISERROR(SEARCH("Alternative",U68)))</formula>
    </cfRule>
    <cfRule type="containsText" dxfId="630" priority="75" operator="containsText" text="Not Available">
      <formula>NOT(ISERROR(SEARCH("Not Available",U68)))</formula>
    </cfRule>
    <cfRule type="containsText" dxfId="629" priority="76" operator="containsText" text="Incomplete">
      <formula>NOT(ISERROR(SEARCH("Incomplete",U68)))</formula>
    </cfRule>
  </conditionalFormatting>
  <conditionalFormatting sqref="U72">
    <cfRule type="containsText" dxfId="628" priority="71" operator="containsText" text="Complete">
      <formula>NOT(ISERROR(SEARCH("Complete",U72)))</formula>
    </cfRule>
  </conditionalFormatting>
  <conditionalFormatting sqref="U72">
    <cfRule type="containsText" dxfId="627" priority="66" operator="containsText" text="Not applicable">
      <formula>NOT(ISERROR(SEARCH("Not applicable",U72)))</formula>
    </cfRule>
    <cfRule type="containsText" dxfId="626" priority="67" operator="containsText" text="Pending">
      <formula>NOT(ISERROR(SEARCH("Pending",U72)))</formula>
    </cfRule>
    <cfRule type="containsText" dxfId="625" priority="68" operator="containsText" text="Alternative">
      <formula>NOT(ISERROR(SEARCH("Alternative",U72)))</formula>
    </cfRule>
    <cfRule type="containsText" dxfId="624" priority="69" operator="containsText" text="Not Available">
      <formula>NOT(ISERROR(SEARCH("Not Available",U72)))</formula>
    </cfRule>
    <cfRule type="containsText" dxfId="623" priority="70" operator="containsText" text="Incomplete">
      <formula>NOT(ISERROR(SEARCH("Incomplete",U72)))</formula>
    </cfRule>
  </conditionalFormatting>
  <conditionalFormatting sqref="U77">
    <cfRule type="containsText" dxfId="622" priority="65" operator="containsText" text="Complete">
      <formula>NOT(ISERROR(SEARCH("Complete",U77)))</formula>
    </cfRule>
  </conditionalFormatting>
  <conditionalFormatting sqref="U77">
    <cfRule type="containsText" dxfId="621" priority="60" operator="containsText" text="Not applicable">
      <formula>NOT(ISERROR(SEARCH("Not applicable",U77)))</formula>
    </cfRule>
    <cfRule type="containsText" dxfId="620" priority="61" operator="containsText" text="Pending">
      <formula>NOT(ISERROR(SEARCH("Pending",U77)))</formula>
    </cfRule>
    <cfRule type="containsText" dxfId="619" priority="62" operator="containsText" text="Alternative">
      <formula>NOT(ISERROR(SEARCH("Alternative",U77)))</formula>
    </cfRule>
    <cfRule type="containsText" dxfId="618" priority="63" operator="containsText" text="Not Available">
      <formula>NOT(ISERROR(SEARCH("Not Available",U77)))</formula>
    </cfRule>
    <cfRule type="containsText" dxfId="617" priority="64" operator="containsText" text="Incomplete">
      <formula>NOT(ISERROR(SEARCH("Incomplete",U77)))</formula>
    </cfRule>
  </conditionalFormatting>
  <conditionalFormatting sqref="U86:U87">
    <cfRule type="containsText" dxfId="616" priority="59" operator="containsText" text="Complete">
      <formula>NOT(ISERROR(SEARCH("Complete",U86)))</formula>
    </cfRule>
  </conditionalFormatting>
  <conditionalFormatting sqref="U86:U87">
    <cfRule type="containsText" dxfId="615" priority="54" operator="containsText" text="Not applicable">
      <formula>NOT(ISERROR(SEARCH("Not applicable",U86)))</formula>
    </cfRule>
    <cfRule type="containsText" dxfId="614" priority="55" operator="containsText" text="Pending">
      <formula>NOT(ISERROR(SEARCH("Pending",U86)))</formula>
    </cfRule>
    <cfRule type="containsText" dxfId="613" priority="56" operator="containsText" text="Alternative">
      <formula>NOT(ISERROR(SEARCH("Alternative",U86)))</formula>
    </cfRule>
    <cfRule type="containsText" dxfId="612" priority="57" operator="containsText" text="Not Available">
      <formula>NOT(ISERROR(SEARCH("Not Available",U86)))</formula>
    </cfRule>
    <cfRule type="containsText" dxfId="611" priority="58" operator="containsText" text="Incomplete">
      <formula>NOT(ISERROR(SEARCH("Incomplete",U86)))</formula>
    </cfRule>
  </conditionalFormatting>
  <conditionalFormatting sqref="U96">
    <cfRule type="containsText" dxfId="610" priority="53" operator="containsText" text="Complete">
      <formula>NOT(ISERROR(SEARCH("Complete",U96)))</formula>
    </cfRule>
  </conditionalFormatting>
  <conditionalFormatting sqref="U96">
    <cfRule type="containsText" dxfId="609" priority="48" operator="containsText" text="Not applicable">
      <formula>NOT(ISERROR(SEARCH("Not applicable",U96)))</formula>
    </cfRule>
    <cfRule type="containsText" dxfId="608" priority="49" operator="containsText" text="Pending">
      <formula>NOT(ISERROR(SEARCH("Pending",U96)))</formula>
    </cfRule>
    <cfRule type="containsText" dxfId="607" priority="50" operator="containsText" text="Alternative">
      <formula>NOT(ISERROR(SEARCH("Alternative",U96)))</formula>
    </cfRule>
    <cfRule type="containsText" dxfId="606" priority="51" operator="containsText" text="Not Available">
      <formula>NOT(ISERROR(SEARCH("Not Available",U96)))</formula>
    </cfRule>
    <cfRule type="containsText" dxfId="605" priority="52" operator="containsText" text="Incomplete">
      <formula>NOT(ISERROR(SEARCH("Incomplete",U96)))</formula>
    </cfRule>
  </conditionalFormatting>
  <conditionalFormatting sqref="U105">
    <cfRule type="containsText" dxfId="604" priority="47" operator="containsText" text="Complete">
      <formula>NOT(ISERROR(SEARCH("Complete",U105)))</formula>
    </cfRule>
  </conditionalFormatting>
  <conditionalFormatting sqref="U105">
    <cfRule type="containsText" dxfId="603" priority="42" operator="containsText" text="Not applicable">
      <formula>NOT(ISERROR(SEARCH("Not applicable",U105)))</formula>
    </cfRule>
    <cfRule type="containsText" dxfId="602" priority="43" operator="containsText" text="Pending">
      <formula>NOT(ISERROR(SEARCH("Pending",U105)))</formula>
    </cfRule>
    <cfRule type="containsText" dxfId="601" priority="44" operator="containsText" text="Alternative">
      <formula>NOT(ISERROR(SEARCH("Alternative",U105)))</formula>
    </cfRule>
    <cfRule type="containsText" dxfId="600" priority="45" operator="containsText" text="Not Available">
      <formula>NOT(ISERROR(SEARCH("Not Available",U105)))</formula>
    </cfRule>
    <cfRule type="containsText" dxfId="599" priority="46" operator="containsText" text="Incomplete">
      <formula>NOT(ISERROR(SEARCH("Incomplete",U105)))</formula>
    </cfRule>
  </conditionalFormatting>
  <conditionalFormatting sqref="U109">
    <cfRule type="containsText" dxfId="598" priority="41" operator="containsText" text="Complete">
      <formula>NOT(ISERROR(SEARCH("Complete",U109)))</formula>
    </cfRule>
  </conditionalFormatting>
  <conditionalFormatting sqref="U109">
    <cfRule type="containsText" dxfId="597" priority="36" operator="containsText" text="Not applicable">
      <formula>NOT(ISERROR(SEARCH("Not applicable",U109)))</formula>
    </cfRule>
    <cfRule type="containsText" dxfId="596" priority="37" operator="containsText" text="Pending">
      <formula>NOT(ISERROR(SEARCH("Pending",U109)))</formula>
    </cfRule>
    <cfRule type="containsText" dxfId="595" priority="38" operator="containsText" text="Alternative">
      <formula>NOT(ISERROR(SEARCH("Alternative",U109)))</formula>
    </cfRule>
    <cfRule type="containsText" dxfId="594" priority="39" operator="containsText" text="Not Available">
      <formula>NOT(ISERROR(SEARCH("Not Available",U109)))</formula>
    </cfRule>
    <cfRule type="containsText" dxfId="593" priority="40" operator="containsText" text="Incomplete">
      <formula>NOT(ISERROR(SEARCH("Incomplete",U109)))</formula>
    </cfRule>
  </conditionalFormatting>
  <conditionalFormatting sqref="AH6">
    <cfRule type="containsText" dxfId="592" priority="31" operator="containsText" text="Qualitative">
      <formula>NOT(ISERROR(SEARCH("Qualitative",AH6)))</formula>
    </cfRule>
    <cfRule type="containsText" dxfId="591" priority="32" operator="containsText" text="Red">
      <formula>NOT(ISERROR(SEARCH("Red",AH6)))</formula>
    </cfRule>
    <cfRule type="containsText" dxfId="590" priority="33" operator="containsText" text="Orange">
      <formula>NOT(ISERROR(SEARCH("Orange",AH6)))</formula>
    </cfRule>
    <cfRule type="containsText" dxfId="589" priority="34" operator="containsText" text="Yellow">
      <formula>NOT(ISERROR(SEARCH("Yellow",AH6)))</formula>
    </cfRule>
    <cfRule type="containsText" dxfId="588" priority="35" operator="containsText" text="Green">
      <formula>NOT(ISERROR(SEARCH("Green",AH6)))</formula>
    </cfRule>
  </conditionalFormatting>
  <conditionalFormatting sqref="AH23">
    <cfRule type="containsText" dxfId="587" priority="26" operator="containsText" text="Qualitative">
      <formula>NOT(ISERROR(SEARCH("Qualitative",AH23)))</formula>
    </cfRule>
    <cfRule type="containsText" dxfId="586" priority="27" operator="containsText" text="Red">
      <formula>NOT(ISERROR(SEARCH("Red",AH23)))</formula>
    </cfRule>
    <cfRule type="containsText" dxfId="585" priority="28" operator="containsText" text="Orange">
      <formula>NOT(ISERROR(SEARCH("Orange",AH23)))</formula>
    </cfRule>
    <cfRule type="containsText" dxfId="584" priority="29" operator="containsText" text="Yellow">
      <formula>NOT(ISERROR(SEARCH("Yellow",AH23)))</formula>
    </cfRule>
    <cfRule type="containsText" dxfId="583" priority="30" operator="containsText" text="Green">
      <formula>NOT(ISERROR(SEARCH("Green",AH23)))</formula>
    </cfRule>
  </conditionalFormatting>
  <conditionalFormatting sqref="AH38">
    <cfRule type="containsText" dxfId="582" priority="21" operator="containsText" text="Qualitative">
      <formula>NOT(ISERROR(SEARCH("Qualitative",AH38)))</formula>
    </cfRule>
    <cfRule type="containsText" dxfId="581" priority="22" operator="containsText" text="Red">
      <formula>NOT(ISERROR(SEARCH("Red",AH38)))</formula>
    </cfRule>
    <cfRule type="containsText" dxfId="580" priority="23" operator="containsText" text="Orange">
      <formula>NOT(ISERROR(SEARCH("Orange",AH38)))</formula>
    </cfRule>
    <cfRule type="containsText" dxfId="579" priority="24" operator="containsText" text="Yellow">
      <formula>NOT(ISERROR(SEARCH("Yellow",AH38)))</formula>
    </cfRule>
    <cfRule type="containsText" dxfId="578" priority="25" operator="containsText" text="Green">
      <formula>NOT(ISERROR(SEARCH("Green",AH38)))</formula>
    </cfRule>
  </conditionalFormatting>
  <conditionalFormatting sqref="AH58">
    <cfRule type="containsText" dxfId="577" priority="16" operator="containsText" text="Qualitative">
      <formula>NOT(ISERROR(SEARCH("Qualitative",AH58)))</formula>
    </cfRule>
    <cfRule type="containsText" dxfId="576" priority="17" operator="containsText" text="Red">
      <formula>NOT(ISERROR(SEARCH("Red",AH58)))</formula>
    </cfRule>
    <cfRule type="containsText" dxfId="575" priority="18" operator="containsText" text="Orange">
      <formula>NOT(ISERROR(SEARCH("Orange",AH58)))</formula>
    </cfRule>
    <cfRule type="containsText" dxfId="574" priority="19" operator="containsText" text="Yellow">
      <formula>NOT(ISERROR(SEARCH("Yellow",AH58)))</formula>
    </cfRule>
    <cfRule type="containsText" dxfId="573" priority="20" operator="containsText" text="Green">
      <formula>NOT(ISERROR(SEARCH("Green",AH58)))</formula>
    </cfRule>
  </conditionalFormatting>
  <conditionalFormatting sqref="AH77">
    <cfRule type="containsText" dxfId="572" priority="11" operator="containsText" text="Qualitative">
      <formula>NOT(ISERROR(SEARCH("Qualitative",AH77)))</formula>
    </cfRule>
    <cfRule type="containsText" dxfId="571" priority="12" operator="containsText" text="Red">
      <formula>NOT(ISERROR(SEARCH("Red",AH77)))</formula>
    </cfRule>
    <cfRule type="containsText" dxfId="570" priority="13" operator="containsText" text="Orange">
      <formula>NOT(ISERROR(SEARCH("Orange",AH77)))</formula>
    </cfRule>
    <cfRule type="containsText" dxfId="569" priority="14" operator="containsText" text="Yellow">
      <formula>NOT(ISERROR(SEARCH("Yellow",AH77)))</formula>
    </cfRule>
    <cfRule type="containsText" dxfId="568" priority="15" operator="containsText" text="Green">
      <formula>NOT(ISERROR(SEARCH("Green",AH77)))</formula>
    </cfRule>
  </conditionalFormatting>
  <conditionalFormatting sqref="AH86">
    <cfRule type="containsText" dxfId="567" priority="6" operator="containsText" text="Qualitative">
      <formula>NOT(ISERROR(SEARCH("Qualitative",AH86)))</formula>
    </cfRule>
    <cfRule type="containsText" dxfId="566" priority="7" operator="containsText" text="Red">
      <formula>NOT(ISERROR(SEARCH("Red",AH86)))</formula>
    </cfRule>
    <cfRule type="containsText" dxfId="565" priority="8" operator="containsText" text="Orange">
      <formula>NOT(ISERROR(SEARCH("Orange",AH86)))</formula>
    </cfRule>
    <cfRule type="containsText" dxfId="564" priority="9" operator="containsText" text="Yellow">
      <formula>NOT(ISERROR(SEARCH("Yellow",AH86)))</formula>
    </cfRule>
    <cfRule type="containsText" dxfId="563" priority="10" operator="containsText" text="Green">
      <formula>NOT(ISERROR(SEARCH("Green",AH86)))</formula>
    </cfRule>
  </conditionalFormatting>
  <conditionalFormatting sqref="AH96">
    <cfRule type="containsText" dxfId="562" priority="1" operator="containsText" text="Qualitative">
      <formula>NOT(ISERROR(SEARCH("Qualitative",AH96)))</formula>
    </cfRule>
    <cfRule type="containsText" dxfId="561" priority="2" operator="containsText" text="Red">
      <formula>NOT(ISERROR(SEARCH("Red",AH96)))</formula>
    </cfRule>
    <cfRule type="containsText" dxfId="560" priority="3" operator="containsText" text="Orange">
      <formula>NOT(ISERROR(SEARCH("Orange",AH96)))</formula>
    </cfRule>
    <cfRule type="containsText" dxfId="559" priority="4" operator="containsText" text="Yellow">
      <formula>NOT(ISERROR(SEARCH("Yellow",AH96)))</formula>
    </cfRule>
    <cfRule type="containsText" dxfId="558" priority="5" operator="containsText" text="Green">
      <formula>NOT(ISERROR(SEARCH("Green",AH96)))</formula>
    </cfRule>
  </conditionalFormatting>
  <conditionalFormatting sqref="H114">
    <cfRule type="containsText" dxfId="557" priority="388" operator="containsText" text="Not available">
      <formula>NOT(ISERROR(SEARCH("Not available",#REF!)))</formula>
    </cfRule>
    <cfRule type="containsText" dxfId="556" priority="389" operator="containsText" text="Not applicable">
      <formula>NOT(ISERROR(SEARCH("Not applicable",#REF!)))</formula>
    </cfRule>
    <cfRule type="containsText" dxfId="555" priority="390" operator="containsText" text="alternative">
      <formula>NOT(ISERROR(SEARCH("alternative",#REF!)))</formula>
    </cfRule>
    <cfRule type="containsText" dxfId="554" priority="391" operator="containsText" text="pending">
      <formula>NOT(ISERROR(SEARCH("pending",#REF!)))</formula>
    </cfRule>
    <cfRule type="containsText" dxfId="553" priority="392" operator="containsText" text="Not available">
      <formula>NOT(ISERROR(SEARCH("Not available",#REF!)))</formula>
    </cfRule>
    <cfRule type="containsText" dxfId="552" priority="393" operator="containsText" text="incomplete">
      <formula>NOT(ISERROR(SEARCH("incomplete",#REF!)))</formula>
    </cfRule>
    <cfRule type="containsText" dxfId="551" priority="394" operator="containsText" text="Complete">
      <formula>NOT(ISERROR(SEARCH("Complete",#REF!)))</formula>
    </cfRule>
  </conditionalFormatting>
  <conditionalFormatting sqref="H156">
    <cfRule type="containsText" dxfId="550" priority="303" operator="containsText" text="Not available">
      <formula>NOT(ISERROR(SEARCH("Not available",#REF!)))</formula>
    </cfRule>
    <cfRule type="containsText" dxfId="549" priority="304" operator="containsText" text="Not applicable">
      <formula>NOT(ISERROR(SEARCH("Not applicable",#REF!)))</formula>
    </cfRule>
    <cfRule type="containsText" dxfId="548" priority="305" operator="containsText" text="alternative">
      <formula>NOT(ISERROR(SEARCH("alternative",#REF!)))</formula>
    </cfRule>
    <cfRule type="containsText" dxfId="547" priority="306" operator="containsText" text="pending">
      <formula>NOT(ISERROR(SEARCH("pending",#REF!)))</formula>
    </cfRule>
    <cfRule type="containsText" dxfId="546" priority="307" operator="containsText" text="Not available">
      <formula>NOT(ISERROR(SEARCH("Not available",#REF!)))</formula>
    </cfRule>
    <cfRule type="containsText" dxfId="545" priority="308" operator="containsText" text="incomplete">
      <formula>NOT(ISERROR(SEARCH("incomplete",#REF!)))</formula>
    </cfRule>
    <cfRule type="containsText" dxfId="544" priority="309" operator="containsText" text="Complete">
      <formula>NOT(ISERROR(SEARCH("Complete",#REF!)))</formula>
    </cfRule>
  </conditionalFormatting>
  <dataValidations count="3">
    <dataValidation allowBlank="1" showInputMessage="1" showErrorMessage="1" prompt="[FF] - Form Fill_x000a_[SC] - Single Choice_x000a_[MC] - Mutliple Choice_x000a_[PT] - Predetermined Table_x000a_[TT] - Time Table" sqref="H3" xr:uid="{30F10F10-FB49-4E8D-B40F-CA910A52CA87}"/>
    <dataValidation allowBlank="1" showInputMessage="1" showErrorMessage="1" prompt="[bas] - Basic_x000a_[int] - Intermediate_x000a_[adv] - Advance" sqref="G112 G3:G14 G58:G67 G23:G29 G38:G49 G109:G110 G76:G104" xr:uid="{1B041EE4-F593-48BD-8D99-80F865A18A0C}"/>
    <dataValidation allowBlank="1" showInputMessage="1" showErrorMessage="1" prompt="(if applicable) data from which the answer was derived" sqref="V3" xr:uid="{19D122EF-1C95-4BB3-B32B-D4ABDC850A1A}"/>
  </dataValidations>
  <hyperlinks>
    <hyperlink ref="L111:T111" r:id="rId1" display="Stakeholders Database" xr:uid="{8F45DF30-3219-4A87-87C9-D6ED2EAD8801}"/>
    <hyperlink ref="L113:T113" r:id="rId2" display="Policies, Plans and Initiatives Database" xr:uid="{EE13E4DA-6889-40E9-8224-04545388DFAF}"/>
  </hyperlinks>
  <pageMargins left="0.75" right="0.75" top="1" bottom="1" header="0.5" footer="0.5"/>
  <pageSetup paperSize="8" scale="33" fitToHeight="0" orientation="landscape" horizontalDpi="4294967292" verticalDpi="4294967292" r:id="rId3"/>
  <drawing r:id="rId4"/>
  <extLst>
    <ext xmlns:x14="http://schemas.microsoft.com/office/spreadsheetml/2009/9/main" uri="{CCE6A557-97BC-4b89-ADB6-D9C93CAAB3DF}">
      <x14:dataValidations xmlns:xm="http://schemas.microsoft.com/office/excel/2006/main" count="8">
        <x14:dataValidation type="list" allowBlank="1" showInputMessage="1" showErrorMessage="1" xr:uid="{1E0A0EC4-5680-410B-8D0C-E1DE2B743315}">
          <x14:formula1>
            <xm:f>'Auxiliar Values'!$AR$144:$AR$147</xm:f>
          </x14:formula1>
          <xm:sqref>L19 L34 L54 L72</xm:sqref>
        </x14:dataValidation>
        <x14:dataValidation type="list" allowBlank="1" showInputMessage="1" showErrorMessage="1" xr:uid="{E51DB4BD-5D6B-4773-9A39-E2C8B1FD2565}">
          <x14:formula1>
            <xm:f>'Auxiliar Values'!$E$111:$E$114</xm:f>
          </x14:formula1>
          <xm:sqref>P9:Q9 P40:P49 P26:P29 P60:P67</xm:sqref>
        </x14:dataValidation>
        <x14:dataValidation type="list" allowBlank="1" showInputMessage="1" showErrorMessage="1" xr:uid="{DB226CC9-FDB1-41F1-9779-0F65B10ECA5F}">
          <x14:formula1>
            <xm:f>'Auxiliar Values'!$BV$144:$BV$145</xm:f>
          </x14:formula1>
          <xm:sqref>M26:M29 N13 M40:M49 R40:R49 R26:R29 N9 N11 R9 R11 R13 M60:M67 R60:R67</xm:sqref>
        </x14:dataValidation>
        <x14:dataValidation type="list" allowBlank="1" showInputMessage="1" showErrorMessage="1" xr:uid="{2698A553-2F98-4D9B-B930-242ED8A456CB}">
          <x14:formula1>
            <xm:f>'Drop lists '!$A$2:$A$7</xm:f>
          </x14:formula1>
          <xm:sqref>U6 U15 U19 U23 U30 U34 U38 U50 U54 U58 U68 U72 U77 U86:U87 U96 U105 U109</xm:sqref>
        </x14:dataValidation>
        <x14:dataValidation type="list" allowBlank="1" showInputMessage="1" showErrorMessage="1" xr:uid="{C4DDFFAD-6BFA-4A7E-904E-3CC0BE4371EB}">
          <x14:formula1>
            <xm:f>'Auxiliar Values'!$O$2:$O$9</xm:f>
          </x14:formula1>
          <xm:sqref>H6:H14 H23:H29 H38:H49 H58:H67 H77:H104 H109</xm:sqref>
        </x14:dataValidation>
        <x14:dataValidation type="list" allowBlank="1" showInputMessage="1" showErrorMessage="1" xr:uid="{A78AE7B5-60FC-4367-A7F1-05E1E2F2AB52}">
          <x14:formula1>
            <xm:f>'Auxiliar Values'!$Q$2:$Q$3</xm:f>
          </x14:formula1>
          <xm:sqref>M78:Q78 M80:Q80 M82:Q82 M84:Q84</xm:sqref>
        </x14:dataValidation>
        <x14:dataValidation type="list" allowBlank="1" showInputMessage="1" showErrorMessage="1" xr:uid="{DED62761-770F-411D-A584-FF3E09260CDD}">
          <x14:formula1>
            <xm:f>'Auxiliar Values'!$F$2:$F$3</xm:f>
          </x14:formula1>
          <xm:sqref>L109</xm:sqref>
        </x14:dataValidation>
        <x14:dataValidation type="list" allowBlank="1" showInputMessage="1" showErrorMessage="1" xr:uid="{634C206B-6D10-4132-9D32-AB2A4ED55A8B}">
          <x14:formula1>
            <xm:f>'Drop lists '!$A$25:$A$31</xm:f>
          </x14:formula1>
          <xm:sqref>AH6 AH23 AH38 AH58 AH77 AH86 AH96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EC5BD-1504-4126-9CE2-4B16987E2E3A}">
  <sheetPr codeName="Sheet7">
    <tabColor rgb="FF673AB7"/>
  </sheetPr>
  <dimension ref="A1:AG192"/>
  <sheetViews>
    <sheetView showGridLines="0" topLeftCell="A115" zoomScale="55" zoomScaleNormal="55" zoomScaleSheetLayoutView="32" zoomScalePageLayoutView="50" workbookViewId="0">
      <selection activeCell="B168" sqref="B168:D168"/>
    </sheetView>
  </sheetViews>
  <sheetFormatPr baseColWidth="10" defaultColWidth="10.6640625" defaultRowHeight="16"/>
  <cols>
    <col min="1" max="1" width="5.6640625" style="35" customWidth="1"/>
    <col min="2" max="4" width="18.5" style="35" customWidth="1"/>
    <col min="5" max="5" width="5.6640625" style="35" customWidth="1"/>
    <col min="6" max="8" width="18.5" style="35" customWidth="1"/>
    <col min="9" max="9" width="5.6640625" style="35" customWidth="1"/>
    <col min="10" max="12" width="18.5" style="35" customWidth="1"/>
    <col min="13" max="13" width="5.6640625" style="35" customWidth="1"/>
    <col min="14" max="16" width="18.6640625" style="35" customWidth="1"/>
    <col min="17" max="17" width="5.6640625" style="35" customWidth="1"/>
    <col min="18" max="20" width="17.1640625" style="35" customWidth="1"/>
    <col min="21" max="21" width="5.6640625" style="35" customWidth="1"/>
    <col min="22" max="23" width="25.1640625" style="35" customWidth="1"/>
    <col min="24" max="16384" width="10.6640625" style="35"/>
  </cols>
  <sheetData>
    <row r="1" spans="1:33" s="1058" customFormat="1" ht="75.5" customHeight="1">
      <c r="A1" s="1056"/>
      <c r="B1" s="1057"/>
      <c r="E1" s="1059"/>
      <c r="F1" s="1060"/>
      <c r="G1" s="1059"/>
      <c r="H1" s="1059"/>
      <c r="J1" s="1059"/>
      <c r="U1" s="1061"/>
      <c r="AG1" s="1061"/>
    </row>
    <row r="2" spans="1:33" s="33" customFormat="1" ht="33" customHeight="1" thickBot="1">
      <c r="B2" s="1062" t="s">
        <v>66</v>
      </c>
      <c r="D2" s="34"/>
      <c r="G2" s="1676" t="s">
        <v>459</v>
      </c>
      <c r="H2" s="1676"/>
      <c r="I2" s="1676"/>
      <c r="J2" s="1676"/>
      <c r="K2" s="1676"/>
      <c r="L2" s="1676"/>
      <c r="N2" s="1062" t="s">
        <v>67</v>
      </c>
    </row>
    <row r="3" spans="1:33" ht="17" thickTop="1">
      <c r="A3" s="109"/>
      <c r="B3" s="110"/>
      <c r="C3" s="110"/>
      <c r="D3" s="110"/>
      <c r="E3" s="110"/>
      <c r="F3" s="110"/>
      <c r="G3" s="110"/>
      <c r="H3" s="110"/>
      <c r="I3" s="110"/>
      <c r="J3" s="110"/>
      <c r="K3" s="110"/>
      <c r="L3" s="111"/>
      <c r="M3" s="109"/>
      <c r="N3" s="110"/>
      <c r="O3" s="110"/>
      <c r="P3" s="110"/>
      <c r="Q3" s="110"/>
      <c r="R3" s="110"/>
      <c r="S3" s="110"/>
      <c r="T3" s="110"/>
      <c r="U3" s="110"/>
      <c r="V3" s="110"/>
      <c r="W3" s="111"/>
    </row>
    <row r="4" spans="1:33">
      <c r="A4" s="112"/>
      <c r="L4" s="113"/>
      <c r="M4" s="112"/>
      <c r="W4" s="113"/>
    </row>
    <row r="5" spans="1:33" ht="42" customHeight="1">
      <c r="A5" s="112"/>
      <c r="B5" s="1677" t="s">
        <v>1230</v>
      </c>
      <c r="C5" s="1677"/>
      <c r="D5" s="1677"/>
      <c r="L5" s="113"/>
      <c r="M5" s="112"/>
      <c r="W5" s="113"/>
    </row>
    <row r="6" spans="1:33">
      <c r="A6" s="112"/>
      <c r="L6" s="113"/>
      <c r="M6" s="112"/>
      <c r="V6" s="1063" t="s">
        <v>0</v>
      </c>
      <c r="W6" s="1064" t="s">
        <v>17</v>
      </c>
    </row>
    <row r="7" spans="1:33">
      <c r="A7" s="112"/>
      <c r="B7" s="1063" t="s">
        <v>0</v>
      </c>
      <c r="C7" s="1065" t="s">
        <v>20</v>
      </c>
      <c r="D7" s="1066" t="s">
        <v>17</v>
      </c>
      <c r="L7" s="113"/>
      <c r="M7" s="112"/>
      <c r="V7" s="1678" t="s">
        <v>35</v>
      </c>
      <c r="W7" s="1679"/>
    </row>
    <row r="8" spans="1:33">
      <c r="A8" s="112"/>
      <c r="B8" s="1672" t="s">
        <v>18</v>
      </c>
      <c r="C8" s="1673"/>
      <c r="D8" s="1674"/>
      <c r="L8" s="113"/>
      <c r="M8" s="112"/>
      <c r="V8" s="1067" t="s">
        <v>63</v>
      </c>
      <c r="W8" s="117">
        <f>D9+D12+D13+D14</f>
        <v>0</v>
      </c>
    </row>
    <row r="9" spans="1:33">
      <c r="A9" s="112"/>
      <c r="B9" s="1068" t="s">
        <v>10</v>
      </c>
      <c r="C9" s="1069">
        <f>C71+C121+C96+O71+C146</f>
        <v>0</v>
      </c>
      <c r="D9" s="1069">
        <f>(D71+D121+D96+P71+D146)/5</f>
        <v>0</v>
      </c>
      <c r="L9" s="113"/>
      <c r="M9" s="112"/>
      <c r="V9" s="1070" t="s">
        <v>61</v>
      </c>
      <c r="W9" s="117">
        <f>D10+D11</f>
        <v>80</v>
      </c>
    </row>
    <row r="10" spans="1:33">
      <c r="A10" s="112"/>
      <c r="B10" s="1068" t="s">
        <v>11</v>
      </c>
      <c r="C10" s="1069">
        <f t="shared" ref="C10:C14" si="0">C72+C122+C97+O72+C147</f>
        <v>59</v>
      </c>
      <c r="D10" s="1069">
        <f t="shared" ref="D10:D14" si="1">(D72+D122+D97+P72+D147)/5</f>
        <v>80</v>
      </c>
      <c r="L10" s="113"/>
      <c r="M10" s="112"/>
      <c r="V10" s="1678" t="s">
        <v>36</v>
      </c>
      <c r="W10" s="1679"/>
    </row>
    <row r="11" spans="1:33">
      <c r="A11" s="112"/>
      <c r="B11" s="1068" t="s">
        <v>6</v>
      </c>
      <c r="C11" s="1069">
        <f t="shared" si="0"/>
        <v>0</v>
      </c>
      <c r="D11" s="1069">
        <f t="shared" si="1"/>
        <v>0</v>
      </c>
      <c r="L11" s="113"/>
      <c r="M11" s="112"/>
      <c r="V11" s="1067" t="s">
        <v>63</v>
      </c>
      <c r="W11" s="117">
        <f>D16+D19+D20+D21</f>
        <v>0</v>
      </c>
    </row>
    <row r="12" spans="1:33">
      <c r="A12" s="112"/>
      <c r="B12" s="1068" t="s">
        <v>12</v>
      </c>
      <c r="C12" s="1069">
        <f t="shared" si="0"/>
        <v>0</v>
      </c>
      <c r="D12" s="1069">
        <f t="shared" si="1"/>
        <v>0</v>
      </c>
      <c r="L12" s="113"/>
      <c r="M12" s="112"/>
      <c r="V12" s="1070" t="s">
        <v>61</v>
      </c>
      <c r="W12" s="117">
        <f>D17+D18</f>
        <v>80</v>
      </c>
    </row>
    <row r="13" spans="1:33">
      <c r="A13" s="112"/>
      <c r="B13" s="1068" t="s">
        <v>5</v>
      </c>
      <c r="C13" s="1069">
        <f t="shared" si="0"/>
        <v>0</v>
      </c>
      <c r="D13" s="1069">
        <f t="shared" si="1"/>
        <v>0</v>
      </c>
      <c r="L13" s="113"/>
      <c r="M13" s="112"/>
      <c r="V13" s="1678" t="s">
        <v>21</v>
      </c>
      <c r="W13" s="1679"/>
    </row>
    <row r="14" spans="1:33">
      <c r="A14" s="112"/>
      <c r="B14" s="1068" t="s">
        <v>7</v>
      </c>
      <c r="C14" s="1069">
        <f t="shared" si="0"/>
        <v>0</v>
      </c>
      <c r="D14" s="1069">
        <f t="shared" si="1"/>
        <v>0</v>
      </c>
      <c r="L14" s="113"/>
      <c r="M14" s="112"/>
      <c r="V14" s="1067" t="s">
        <v>63</v>
      </c>
      <c r="W14" s="117">
        <f>D23+D26+D27+D28</f>
        <v>0</v>
      </c>
    </row>
    <row r="15" spans="1:33">
      <c r="A15" s="112"/>
      <c r="B15" s="1672" t="s">
        <v>19</v>
      </c>
      <c r="C15" s="1673"/>
      <c r="D15" s="1674"/>
      <c r="L15" s="113"/>
      <c r="M15" s="112"/>
      <c r="V15" s="1070" t="s">
        <v>61</v>
      </c>
      <c r="W15" s="117">
        <f>D24+D25</f>
        <v>80</v>
      </c>
    </row>
    <row r="16" spans="1:33">
      <c r="A16" s="112"/>
      <c r="B16" s="1068" t="s">
        <v>10</v>
      </c>
      <c r="C16" s="1069">
        <f>SUM(C78,C103,C128,C153,)</f>
        <v>0</v>
      </c>
      <c r="D16" s="1069">
        <f>SUM(D78,D103,D128,D153,)/5</f>
        <v>0</v>
      </c>
      <c r="L16" s="113"/>
      <c r="M16" s="112"/>
      <c r="W16" s="113"/>
    </row>
    <row r="17" spans="1:23">
      <c r="A17" s="112"/>
      <c r="B17" s="1068" t="s">
        <v>11</v>
      </c>
      <c r="C17" s="1069">
        <f t="shared" ref="C17:C21" si="2">SUM(C79,C104,C129,C154,)</f>
        <v>28</v>
      </c>
      <c r="D17" s="1069">
        <f t="shared" ref="D17:D21" si="3">SUM(D79,D104,D129,D154,)/5</f>
        <v>80</v>
      </c>
      <c r="L17" s="113"/>
      <c r="M17" s="112"/>
      <c r="W17" s="113"/>
    </row>
    <row r="18" spans="1:23">
      <c r="A18" s="112"/>
      <c r="B18" s="1068" t="s">
        <v>6</v>
      </c>
      <c r="C18" s="1069">
        <f t="shared" si="2"/>
        <v>0</v>
      </c>
      <c r="D18" s="1069">
        <f t="shared" si="3"/>
        <v>0</v>
      </c>
      <c r="L18" s="113"/>
      <c r="M18" s="112"/>
      <c r="W18" s="113"/>
    </row>
    <row r="19" spans="1:23">
      <c r="A19" s="112"/>
      <c r="B19" s="1068" t="s">
        <v>12</v>
      </c>
      <c r="C19" s="1069">
        <f t="shared" si="2"/>
        <v>0</v>
      </c>
      <c r="D19" s="1069">
        <f t="shared" si="3"/>
        <v>0</v>
      </c>
      <c r="L19" s="113"/>
      <c r="M19" s="112"/>
      <c r="W19" s="113"/>
    </row>
    <row r="20" spans="1:23">
      <c r="A20" s="112"/>
      <c r="B20" s="1068" t="s">
        <v>5</v>
      </c>
      <c r="C20" s="1069">
        <f t="shared" si="2"/>
        <v>0</v>
      </c>
      <c r="D20" s="1069">
        <f t="shared" si="3"/>
        <v>0</v>
      </c>
      <c r="L20" s="113"/>
      <c r="M20" s="112"/>
      <c r="W20" s="113"/>
    </row>
    <row r="21" spans="1:23">
      <c r="A21" s="112"/>
      <c r="B21" s="1068" t="s">
        <v>7</v>
      </c>
      <c r="C21" s="1069">
        <f t="shared" si="2"/>
        <v>0</v>
      </c>
      <c r="D21" s="1069">
        <f t="shared" si="3"/>
        <v>0</v>
      </c>
      <c r="L21" s="113"/>
      <c r="M21" s="112"/>
      <c r="W21" s="113"/>
    </row>
    <row r="22" spans="1:23">
      <c r="A22" s="112"/>
      <c r="B22" s="1672" t="s">
        <v>62</v>
      </c>
      <c r="C22" s="1673"/>
      <c r="D22" s="1674"/>
      <c r="L22" s="113"/>
      <c r="M22" s="112"/>
      <c r="W22" s="113"/>
    </row>
    <row r="23" spans="1:23">
      <c r="A23" s="112"/>
      <c r="B23" s="1068" t="s">
        <v>10</v>
      </c>
      <c r="C23" s="1069">
        <f>SUM(C85,C110,C135,C160,)/5</f>
        <v>0</v>
      </c>
      <c r="D23" s="1069">
        <f>SUM(D85,D110,D135,D160,)/5</f>
        <v>0</v>
      </c>
      <c r="L23" s="113"/>
      <c r="M23" s="112"/>
      <c r="W23" s="113"/>
    </row>
    <row r="24" spans="1:23">
      <c r="A24" s="112"/>
      <c r="B24" s="1068" t="s">
        <v>11</v>
      </c>
      <c r="C24" s="1069">
        <f t="shared" ref="C24:C28" si="4">SUM(C86,C111,C136,C161,)</f>
        <v>87</v>
      </c>
      <c r="D24" s="1069">
        <f t="shared" ref="D24:D28" si="5">SUM(D86,D111,D136,D161,)/5</f>
        <v>80</v>
      </c>
      <c r="L24" s="113"/>
      <c r="M24" s="112"/>
      <c r="W24" s="113"/>
    </row>
    <row r="25" spans="1:23">
      <c r="A25" s="112"/>
      <c r="B25" s="1068" t="s">
        <v>6</v>
      </c>
      <c r="C25" s="1069">
        <f t="shared" si="4"/>
        <v>0</v>
      </c>
      <c r="D25" s="1069">
        <f t="shared" si="5"/>
        <v>0</v>
      </c>
      <c r="L25" s="113"/>
      <c r="M25" s="112"/>
      <c r="W25" s="113"/>
    </row>
    <row r="26" spans="1:23">
      <c r="A26" s="112"/>
      <c r="B26" s="1068" t="s">
        <v>12</v>
      </c>
      <c r="C26" s="1069">
        <f t="shared" si="4"/>
        <v>0</v>
      </c>
      <c r="D26" s="1069">
        <f t="shared" si="5"/>
        <v>0</v>
      </c>
      <c r="L26" s="113"/>
      <c r="M26" s="112"/>
      <c r="W26" s="113"/>
    </row>
    <row r="27" spans="1:23">
      <c r="A27" s="112"/>
      <c r="B27" s="1068" t="s">
        <v>5</v>
      </c>
      <c r="C27" s="1069">
        <f t="shared" si="4"/>
        <v>0</v>
      </c>
      <c r="D27" s="1069">
        <f t="shared" si="5"/>
        <v>0</v>
      </c>
      <c r="L27" s="113"/>
      <c r="M27" s="112"/>
      <c r="W27" s="113"/>
    </row>
    <row r="28" spans="1:23">
      <c r="A28" s="112"/>
      <c r="B28" s="1068" t="s">
        <v>7</v>
      </c>
      <c r="C28" s="1069">
        <f t="shared" si="4"/>
        <v>0</v>
      </c>
      <c r="D28" s="1069">
        <f t="shared" si="5"/>
        <v>0</v>
      </c>
      <c r="L28" s="113"/>
      <c r="M28" s="112"/>
      <c r="W28" s="113"/>
    </row>
    <row r="29" spans="1:23">
      <c r="A29" s="112"/>
      <c r="B29" s="1071"/>
      <c r="C29" s="37"/>
      <c r="D29" s="37"/>
      <c r="L29" s="113"/>
      <c r="M29" s="112"/>
      <c r="W29" s="113"/>
    </row>
    <row r="30" spans="1:23">
      <c r="A30" s="112"/>
      <c r="B30" s="1071"/>
      <c r="C30" s="37"/>
      <c r="D30" s="37"/>
      <c r="L30" s="113"/>
      <c r="M30" s="112"/>
      <c r="W30" s="113"/>
    </row>
    <row r="31" spans="1:23">
      <c r="A31" s="112"/>
      <c r="B31" s="1071"/>
      <c r="C31" s="37"/>
      <c r="D31" s="37"/>
      <c r="L31" s="113"/>
      <c r="M31" s="112"/>
      <c r="W31" s="113"/>
    </row>
    <row r="32" spans="1:23">
      <c r="A32" s="112"/>
      <c r="B32" s="1071"/>
      <c r="C32" s="37"/>
      <c r="D32" s="37"/>
      <c r="L32" s="113"/>
      <c r="M32" s="112"/>
      <c r="W32" s="113"/>
    </row>
    <row r="33" spans="1:23">
      <c r="A33" s="112"/>
      <c r="B33" s="1071"/>
      <c r="C33" s="37"/>
      <c r="D33" s="37"/>
      <c r="L33" s="113"/>
      <c r="M33" s="112"/>
      <c r="W33" s="113"/>
    </row>
    <row r="34" spans="1:23">
      <c r="A34" s="112"/>
      <c r="B34" s="1071"/>
      <c r="C34" s="37"/>
      <c r="D34" s="37"/>
      <c r="L34" s="113"/>
      <c r="M34" s="112"/>
      <c r="W34" s="113"/>
    </row>
    <row r="35" spans="1:23">
      <c r="A35" s="112"/>
      <c r="B35" s="1071"/>
      <c r="C35" s="37"/>
      <c r="D35" s="37"/>
      <c r="L35" s="113"/>
      <c r="M35" s="112"/>
      <c r="W35" s="113"/>
    </row>
    <row r="36" spans="1:23">
      <c r="A36" s="112"/>
      <c r="B36" s="1071"/>
      <c r="C36" s="37"/>
      <c r="D36" s="37"/>
      <c r="L36" s="113"/>
      <c r="M36" s="112"/>
      <c r="W36" s="113"/>
    </row>
    <row r="37" spans="1:23">
      <c r="A37" s="112"/>
      <c r="B37" s="1071"/>
      <c r="C37" s="37"/>
      <c r="D37" s="37"/>
      <c r="L37" s="113"/>
      <c r="M37" s="112"/>
      <c r="W37" s="113"/>
    </row>
    <row r="38" spans="1:23">
      <c r="A38" s="112"/>
      <c r="B38" s="1071"/>
      <c r="C38" s="37"/>
      <c r="D38" s="37"/>
      <c r="L38" s="113"/>
      <c r="M38" s="112"/>
      <c r="W38" s="113"/>
    </row>
    <row r="39" spans="1:23">
      <c r="A39" s="112"/>
      <c r="B39" s="1071"/>
      <c r="C39" s="37"/>
      <c r="D39" s="37"/>
      <c r="L39" s="113"/>
      <c r="M39" s="112"/>
      <c r="W39" s="113"/>
    </row>
    <row r="40" spans="1:23">
      <c r="A40" s="112"/>
      <c r="B40" s="1071"/>
      <c r="C40" s="37"/>
      <c r="D40" s="37"/>
      <c r="L40" s="113"/>
      <c r="M40" s="112"/>
      <c r="W40" s="113"/>
    </row>
    <row r="41" spans="1:23">
      <c r="A41" s="112"/>
      <c r="B41" s="1071"/>
      <c r="C41" s="37"/>
      <c r="D41" s="37"/>
      <c r="L41" s="113"/>
      <c r="M41" s="112"/>
      <c r="W41" s="113"/>
    </row>
    <row r="42" spans="1:23">
      <c r="A42" s="112"/>
      <c r="B42" s="1071"/>
      <c r="C42" s="37"/>
      <c r="D42" s="37"/>
      <c r="L42" s="113"/>
      <c r="M42" s="112"/>
      <c r="W42" s="113"/>
    </row>
    <row r="43" spans="1:23">
      <c r="A43" s="112"/>
      <c r="B43" s="1071"/>
      <c r="C43" s="37"/>
      <c r="D43" s="37"/>
      <c r="L43" s="113"/>
      <c r="M43" s="112"/>
      <c r="W43" s="113"/>
    </row>
    <row r="44" spans="1:23">
      <c r="A44" s="112"/>
      <c r="B44" s="1071"/>
      <c r="C44" s="37"/>
      <c r="D44" s="37"/>
      <c r="L44" s="113"/>
      <c r="M44" s="112"/>
      <c r="W44" s="113"/>
    </row>
    <row r="45" spans="1:23">
      <c r="A45" s="112"/>
      <c r="B45" s="1071"/>
      <c r="C45" s="37"/>
      <c r="D45" s="37"/>
      <c r="L45" s="113"/>
      <c r="M45" s="112"/>
      <c r="W45" s="113"/>
    </row>
    <row r="46" spans="1:23">
      <c r="A46" s="112"/>
      <c r="B46" s="1071"/>
      <c r="C46" s="37"/>
      <c r="D46" s="37"/>
      <c r="L46" s="113"/>
      <c r="M46" s="112"/>
      <c r="W46" s="113"/>
    </row>
    <row r="47" spans="1:23">
      <c r="A47" s="112"/>
      <c r="B47" s="1071"/>
      <c r="C47" s="37"/>
      <c r="D47" s="37"/>
      <c r="L47" s="113"/>
      <c r="M47" s="112"/>
      <c r="W47" s="113"/>
    </row>
    <row r="48" spans="1:23">
      <c r="A48" s="112"/>
      <c r="B48" s="1071"/>
      <c r="C48" s="37"/>
      <c r="D48" s="37"/>
      <c r="L48" s="113"/>
      <c r="M48" s="112"/>
      <c r="W48" s="113"/>
    </row>
    <row r="49" spans="1:23">
      <c r="A49" s="112"/>
      <c r="B49" s="1071"/>
      <c r="C49" s="37"/>
      <c r="D49" s="37"/>
      <c r="L49" s="113"/>
      <c r="M49" s="112"/>
      <c r="W49" s="113"/>
    </row>
    <row r="50" spans="1:23">
      <c r="A50" s="112"/>
      <c r="B50" s="1071"/>
      <c r="C50" s="37"/>
      <c r="D50" s="37"/>
      <c r="L50" s="113"/>
      <c r="M50" s="112"/>
      <c r="W50" s="113"/>
    </row>
    <row r="51" spans="1:23">
      <c r="A51" s="112"/>
      <c r="B51" s="1071"/>
      <c r="C51" s="37"/>
      <c r="D51" s="37"/>
      <c r="L51" s="113"/>
      <c r="M51" s="112"/>
      <c r="W51" s="113"/>
    </row>
    <row r="52" spans="1:23">
      <c r="A52" s="112"/>
      <c r="B52" s="1071"/>
      <c r="C52" s="37"/>
      <c r="D52" s="37"/>
      <c r="L52" s="113"/>
      <c r="M52" s="112"/>
      <c r="W52" s="113"/>
    </row>
    <row r="53" spans="1:23">
      <c r="A53" s="112"/>
      <c r="B53" s="1071"/>
      <c r="C53" s="37"/>
      <c r="D53" s="37"/>
      <c r="L53" s="113"/>
      <c r="M53" s="112"/>
      <c r="W53" s="113"/>
    </row>
    <row r="54" spans="1:23">
      <c r="A54" s="112"/>
      <c r="B54" s="1071"/>
      <c r="C54" s="37"/>
      <c r="D54" s="37"/>
      <c r="L54" s="113"/>
      <c r="M54" s="112"/>
      <c r="W54" s="113"/>
    </row>
    <row r="55" spans="1:23">
      <c r="A55" s="112"/>
      <c r="B55" s="1071"/>
      <c r="C55" s="37"/>
      <c r="D55" s="37"/>
      <c r="L55" s="113"/>
      <c r="M55" s="112"/>
      <c r="W55" s="113"/>
    </row>
    <row r="56" spans="1:23">
      <c r="A56" s="112"/>
      <c r="B56" s="1071"/>
      <c r="C56" s="37"/>
      <c r="D56" s="37"/>
      <c r="L56" s="113"/>
      <c r="M56" s="112"/>
      <c r="W56" s="113"/>
    </row>
    <row r="57" spans="1:23">
      <c r="A57" s="112"/>
      <c r="B57" s="1071"/>
      <c r="C57" s="37"/>
      <c r="D57" s="37"/>
      <c r="L57" s="113"/>
      <c r="M57" s="112"/>
      <c r="W57" s="113"/>
    </row>
    <row r="58" spans="1:23">
      <c r="A58" s="112"/>
      <c r="B58" s="1071"/>
      <c r="C58" s="37"/>
      <c r="D58" s="37"/>
      <c r="L58" s="113"/>
      <c r="M58" s="112"/>
      <c r="W58" s="113"/>
    </row>
    <row r="59" spans="1:23">
      <c r="A59" s="112"/>
      <c r="B59" s="1071"/>
      <c r="C59" s="37"/>
      <c r="D59" s="37"/>
      <c r="L59" s="113"/>
      <c r="M59" s="112"/>
      <c r="W59" s="113"/>
    </row>
    <row r="60" spans="1:23">
      <c r="A60" s="112"/>
      <c r="B60" s="1071"/>
      <c r="C60" s="37"/>
      <c r="D60" s="37"/>
      <c r="L60" s="113"/>
      <c r="M60" s="112"/>
      <c r="W60" s="113"/>
    </row>
    <row r="61" spans="1:23">
      <c r="A61" s="112"/>
      <c r="B61" s="1071"/>
      <c r="C61" s="37"/>
      <c r="D61" s="37"/>
      <c r="L61" s="113"/>
      <c r="M61" s="112"/>
      <c r="W61" s="113"/>
    </row>
    <row r="62" spans="1:23">
      <c r="A62" s="112"/>
      <c r="B62" s="1071"/>
      <c r="C62" s="37"/>
      <c r="D62" s="37"/>
      <c r="L62" s="113"/>
      <c r="M62" s="112"/>
      <c r="W62" s="113"/>
    </row>
    <row r="63" spans="1:23">
      <c r="A63" s="112"/>
      <c r="B63" s="1071"/>
      <c r="C63" s="37"/>
      <c r="D63" s="37"/>
      <c r="L63" s="113"/>
      <c r="M63" s="112"/>
      <c r="W63" s="113"/>
    </row>
    <row r="64" spans="1:23">
      <c r="A64" s="112"/>
      <c r="B64" s="1071"/>
      <c r="C64" s="37"/>
      <c r="D64" s="37"/>
      <c r="L64" s="113"/>
      <c r="M64" s="112"/>
      <c r="W64" s="113"/>
    </row>
    <row r="65" spans="1:23" ht="17" thickBot="1">
      <c r="A65" s="114"/>
      <c r="B65" s="1072"/>
      <c r="C65" s="1073"/>
      <c r="D65" s="1073"/>
      <c r="E65" s="115"/>
      <c r="F65" s="115"/>
      <c r="G65" s="115"/>
      <c r="H65" s="115"/>
      <c r="I65" s="115"/>
      <c r="J65" s="115"/>
      <c r="K65" s="115"/>
      <c r="L65" s="116"/>
      <c r="M65" s="114"/>
      <c r="N65" s="115"/>
      <c r="O65" s="115"/>
      <c r="P65" s="115"/>
      <c r="Q65" s="115"/>
      <c r="R65" s="115"/>
      <c r="S65" s="115"/>
      <c r="T65" s="115"/>
      <c r="U65" s="115"/>
      <c r="V65" s="115"/>
      <c r="W65" s="116"/>
    </row>
    <row r="66" spans="1:23" ht="17" thickTop="1">
      <c r="A66" s="109"/>
      <c r="B66" s="110"/>
      <c r="C66" s="110"/>
      <c r="D66" s="110"/>
      <c r="E66" s="110"/>
      <c r="F66" s="110"/>
      <c r="G66" s="110"/>
      <c r="H66" s="110"/>
      <c r="I66" s="110"/>
      <c r="J66" s="110"/>
      <c r="K66" s="110"/>
      <c r="L66" s="111"/>
    </row>
    <row r="67" spans="1:23" ht="21">
      <c r="A67" s="112"/>
      <c r="B67" s="1680"/>
      <c r="C67" s="1680"/>
      <c r="D67" s="1680"/>
      <c r="L67" s="113"/>
    </row>
    <row r="68" spans="1:23" ht="21">
      <c r="A68" s="112"/>
      <c r="B68" s="1681" t="s">
        <v>1231</v>
      </c>
      <c r="C68" s="1681"/>
      <c r="D68" s="1681"/>
      <c r="L68" s="113"/>
      <c r="N68" s="1680"/>
      <c r="O68" s="1680"/>
      <c r="P68" s="1680"/>
    </row>
    <row r="69" spans="1:23">
      <c r="A69" s="112"/>
      <c r="B69" s="1063" t="s">
        <v>0</v>
      </c>
      <c r="C69" s="1065" t="s">
        <v>20</v>
      </c>
      <c r="D69" s="1066" t="s">
        <v>17</v>
      </c>
      <c r="L69" s="113"/>
      <c r="N69" s="1074"/>
      <c r="O69" s="1071"/>
      <c r="P69" s="1071"/>
      <c r="W69" s="36"/>
    </row>
    <row r="70" spans="1:23">
      <c r="A70" s="112"/>
      <c r="B70" s="1672" t="s">
        <v>18</v>
      </c>
      <c r="C70" s="1673"/>
      <c r="D70" s="1674"/>
      <c r="L70" s="113"/>
      <c r="N70" s="1675"/>
      <c r="O70" s="1675"/>
      <c r="P70" s="1675"/>
      <c r="W70" s="36"/>
    </row>
    <row r="71" spans="1:23">
      <c r="A71" s="112"/>
      <c r="B71" s="1068" t="s">
        <v>10</v>
      </c>
      <c r="C71" s="37">
        <f>'5.1 Public Works'!C77</f>
        <v>0</v>
      </c>
      <c r="D71" s="37">
        <f>'5.1 Public Works'!D77</f>
        <v>0</v>
      </c>
      <c r="L71" s="113"/>
      <c r="N71" s="1071"/>
      <c r="O71" s="37"/>
      <c r="P71" s="37"/>
    </row>
    <row r="72" spans="1:23">
      <c r="A72" s="112"/>
      <c r="B72" s="1068" t="s">
        <v>11</v>
      </c>
      <c r="C72" s="37">
        <f>'5.1 Public Works'!C78</f>
        <v>12</v>
      </c>
      <c r="D72" s="37">
        <f>'5.1 Public Works'!D78</f>
        <v>100</v>
      </c>
      <c r="L72" s="113"/>
      <c r="N72" s="1071"/>
      <c r="O72" s="37"/>
      <c r="P72" s="37"/>
    </row>
    <row r="73" spans="1:23">
      <c r="A73" s="112"/>
      <c r="B73" s="1068" t="s">
        <v>6</v>
      </c>
      <c r="C73" s="37">
        <f>'5.1 Public Works'!C79</f>
        <v>0</v>
      </c>
      <c r="D73" s="37">
        <f>'5.1 Public Works'!D79</f>
        <v>0</v>
      </c>
      <c r="L73" s="113"/>
      <c r="N73" s="1071"/>
      <c r="O73" s="37"/>
      <c r="P73" s="37"/>
    </row>
    <row r="74" spans="1:23">
      <c r="A74" s="112"/>
      <c r="B74" s="1068" t="s">
        <v>12</v>
      </c>
      <c r="C74" s="37">
        <f>'5.1 Public Works'!C80</f>
        <v>0</v>
      </c>
      <c r="D74" s="37">
        <f>'5.1 Public Works'!D80</f>
        <v>0</v>
      </c>
      <c r="L74" s="113"/>
      <c r="N74" s="1071"/>
      <c r="O74" s="37"/>
      <c r="P74" s="37"/>
    </row>
    <row r="75" spans="1:23">
      <c r="A75" s="112"/>
      <c r="B75" s="1068" t="s">
        <v>5</v>
      </c>
      <c r="C75" s="37">
        <f>'5.1 Public Works'!C81</f>
        <v>0</v>
      </c>
      <c r="D75" s="37">
        <f>'5.1 Public Works'!D81</f>
        <v>0</v>
      </c>
      <c r="L75" s="113"/>
      <c r="N75" s="1071"/>
      <c r="O75" s="37"/>
      <c r="P75" s="37"/>
    </row>
    <row r="76" spans="1:23">
      <c r="A76" s="112"/>
      <c r="B76" s="1068" t="s">
        <v>7</v>
      </c>
      <c r="C76" s="37">
        <f>'5.1 Public Works'!C82</f>
        <v>0</v>
      </c>
      <c r="D76" s="37">
        <f>'5.1 Public Works'!D82</f>
        <v>0</v>
      </c>
      <c r="L76" s="113"/>
      <c r="N76" s="1071"/>
      <c r="O76" s="37"/>
      <c r="P76" s="37"/>
    </row>
    <row r="77" spans="1:23">
      <c r="A77" s="112"/>
      <c r="B77" s="1672" t="s">
        <v>19</v>
      </c>
      <c r="C77" s="1673"/>
      <c r="D77" s="1674"/>
      <c r="L77" s="113"/>
      <c r="N77" s="1675"/>
      <c r="O77" s="1675"/>
      <c r="P77" s="1675"/>
    </row>
    <row r="78" spans="1:23">
      <c r="A78" s="112"/>
      <c r="B78" s="1068" t="s">
        <v>10</v>
      </c>
      <c r="C78" s="37">
        <f>'5.1 Public Works'!C84</f>
        <v>0</v>
      </c>
      <c r="D78" s="37">
        <f>'5.1 Public Works'!D84</f>
        <v>0</v>
      </c>
      <c r="L78" s="113"/>
      <c r="N78" s="1071"/>
      <c r="O78" s="37"/>
      <c r="P78" s="37"/>
    </row>
    <row r="79" spans="1:23">
      <c r="A79" s="112"/>
      <c r="B79" s="1068" t="s">
        <v>11</v>
      </c>
      <c r="C79" s="37">
        <f>'5.1 Public Works'!C85</f>
        <v>9</v>
      </c>
      <c r="D79" s="37">
        <f>'5.1 Public Works'!D85</f>
        <v>100</v>
      </c>
      <c r="L79" s="113"/>
      <c r="N79" s="1071"/>
      <c r="O79" s="37"/>
      <c r="P79" s="37"/>
    </row>
    <row r="80" spans="1:23">
      <c r="A80" s="112"/>
      <c r="B80" s="1068" t="s">
        <v>6</v>
      </c>
      <c r="C80" s="37">
        <f>'5.1 Public Works'!C86</f>
        <v>0</v>
      </c>
      <c r="D80" s="37">
        <f>'5.1 Public Works'!D86</f>
        <v>0</v>
      </c>
      <c r="L80" s="113"/>
      <c r="N80" s="1071"/>
      <c r="O80" s="37"/>
      <c r="P80" s="37"/>
    </row>
    <row r="81" spans="1:23">
      <c r="A81" s="112"/>
      <c r="B81" s="1068" t="s">
        <v>12</v>
      </c>
      <c r="C81" s="37">
        <f>'5.1 Public Works'!C87</f>
        <v>0</v>
      </c>
      <c r="D81" s="37">
        <f>'5.1 Public Works'!D87</f>
        <v>0</v>
      </c>
      <c r="L81" s="113"/>
      <c r="N81" s="1071"/>
      <c r="O81" s="37"/>
      <c r="P81" s="37"/>
    </row>
    <row r="82" spans="1:23">
      <c r="A82" s="112"/>
      <c r="B82" s="1068" t="s">
        <v>5</v>
      </c>
      <c r="C82" s="37">
        <f>'5.1 Public Works'!C88</f>
        <v>0</v>
      </c>
      <c r="D82" s="37">
        <f>'5.1 Public Works'!D88</f>
        <v>0</v>
      </c>
      <c r="L82" s="113"/>
      <c r="N82" s="1071"/>
      <c r="O82" s="37"/>
      <c r="P82" s="37"/>
    </row>
    <row r="83" spans="1:23">
      <c r="A83" s="112"/>
      <c r="B83" s="1068" t="s">
        <v>7</v>
      </c>
      <c r="C83" s="37">
        <f>'5.1 Public Works'!C89</f>
        <v>0</v>
      </c>
      <c r="D83" s="37">
        <f>'5.1 Public Works'!D89</f>
        <v>0</v>
      </c>
      <c r="L83" s="113"/>
      <c r="N83" s="1071"/>
      <c r="O83" s="37"/>
      <c r="P83" s="37"/>
    </row>
    <row r="84" spans="1:23">
      <c r="A84" s="112"/>
      <c r="B84" s="1672" t="s">
        <v>468</v>
      </c>
      <c r="C84" s="1673"/>
      <c r="D84" s="1674"/>
      <c r="L84" s="113"/>
      <c r="N84" s="1675"/>
      <c r="O84" s="1675"/>
      <c r="P84" s="1675"/>
    </row>
    <row r="85" spans="1:23">
      <c r="A85" s="112"/>
      <c r="B85" s="1068" t="s">
        <v>10</v>
      </c>
      <c r="C85" s="37">
        <f>'5.1 Public Works'!C91</f>
        <v>0</v>
      </c>
      <c r="D85" s="37">
        <f>'5.1 Public Works'!D91</f>
        <v>0</v>
      </c>
      <c r="L85" s="113"/>
      <c r="N85" s="1071"/>
      <c r="O85" s="37"/>
      <c r="P85" s="37"/>
    </row>
    <row r="86" spans="1:23">
      <c r="A86" s="112"/>
      <c r="B86" s="1068" t="s">
        <v>11</v>
      </c>
      <c r="C86" s="37">
        <f>'5.1 Public Works'!C92</f>
        <v>21</v>
      </c>
      <c r="D86" s="37">
        <f>'5.1 Public Works'!D92</f>
        <v>100</v>
      </c>
      <c r="L86" s="113"/>
      <c r="N86" s="1071"/>
      <c r="O86" s="37"/>
      <c r="P86" s="37"/>
    </row>
    <row r="87" spans="1:23">
      <c r="A87" s="112"/>
      <c r="B87" s="1068" t="s">
        <v>6</v>
      </c>
      <c r="C87" s="37">
        <f>'5.1 Public Works'!C93</f>
        <v>0</v>
      </c>
      <c r="D87" s="37">
        <f>'5.1 Public Works'!D93</f>
        <v>0</v>
      </c>
      <c r="L87" s="113"/>
      <c r="N87" s="1071"/>
      <c r="O87" s="37"/>
      <c r="P87" s="37"/>
    </row>
    <row r="88" spans="1:23">
      <c r="A88" s="112"/>
      <c r="B88" s="1068" t="s">
        <v>12</v>
      </c>
      <c r="C88" s="37">
        <f>'5.1 Public Works'!C94</f>
        <v>0</v>
      </c>
      <c r="D88" s="37">
        <f>'5.1 Public Works'!D94</f>
        <v>0</v>
      </c>
      <c r="L88" s="113"/>
      <c r="N88" s="1071"/>
      <c r="O88" s="37"/>
      <c r="P88" s="37"/>
    </row>
    <row r="89" spans="1:23">
      <c r="A89" s="112"/>
      <c r="B89" s="1068" t="s">
        <v>5</v>
      </c>
      <c r="C89" s="37">
        <f>'5.1 Public Works'!C95</f>
        <v>0</v>
      </c>
      <c r="D89" s="37">
        <f>'5.1 Public Works'!D95</f>
        <v>0</v>
      </c>
      <c r="L89" s="113"/>
      <c r="N89" s="1071"/>
      <c r="O89" s="37"/>
      <c r="P89" s="37"/>
    </row>
    <row r="90" spans="1:23">
      <c r="A90" s="112"/>
      <c r="B90" s="1068" t="s">
        <v>7</v>
      </c>
      <c r="C90" s="37">
        <f>'5.1 Public Works'!C96</f>
        <v>0</v>
      </c>
      <c r="D90" s="37">
        <f>'5.1 Public Works'!D96</f>
        <v>0</v>
      </c>
      <c r="L90" s="113"/>
      <c r="N90" s="1071"/>
      <c r="O90" s="37"/>
      <c r="P90" s="37"/>
    </row>
    <row r="91" spans="1:23">
      <c r="A91" s="112"/>
      <c r="L91" s="113"/>
    </row>
    <row r="92" spans="1:23">
      <c r="A92" s="112"/>
      <c r="L92" s="113"/>
    </row>
    <row r="93" spans="1:23" ht="21">
      <c r="A93" s="112"/>
      <c r="B93" s="1681" t="s">
        <v>1234</v>
      </c>
      <c r="C93" s="1681"/>
      <c r="D93" s="1681"/>
      <c r="L93" s="113"/>
      <c r="W93" s="36"/>
    </row>
    <row r="94" spans="1:23">
      <c r="A94" s="112"/>
      <c r="B94" s="1063" t="s">
        <v>0</v>
      </c>
      <c r="C94" s="1065" t="s">
        <v>20</v>
      </c>
      <c r="D94" s="1066" t="s">
        <v>17</v>
      </c>
      <c r="L94" s="113"/>
    </row>
    <row r="95" spans="1:23">
      <c r="A95" s="112"/>
      <c r="B95" s="1672" t="s">
        <v>18</v>
      </c>
      <c r="C95" s="1673"/>
      <c r="D95" s="1674"/>
      <c r="L95" s="113"/>
    </row>
    <row r="96" spans="1:23">
      <c r="A96" s="112"/>
      <c r="B96" s="1068" t="s">
        <v>10</v>
      </c>
      <c r="C96" s="37">
        <f>'5.2 Permits, Monitoring and Ins'!C131</f>
        <v>0</v>
      </c>
      <c r="D96" s="37">
        <f>'5.2 Permits, Monitoring and Ins'!D131</f>
        <v>0</v>
      </c>
      <c r="L96" s="113"/>
    </row>
    <row r="97" spans="1:12">
      <c r="A97" s="112"/>
      <c r="B97" s="1068" t="s">
        <v>11</v>
      </c>
      <c r="C97" s="37">
        <f>'5.2 Permits, Monitoring and Ins'!C132</f>
        <v>24</v>
      </c>
      <c r="D97" s="37">
        <f>'5.2 Permits, Monitoring and Ins'!D132</f>
        <v>100</v>
      </c>
      <c r="L97" s="113"/>
    </row>
    <row r="98" spans="1:12">
      <c r="A98" s="112"/>
      <c r="B98" s="1068" t="s">
        <v>6</v>
      </c>
      <c r="C98" s="37">
        <f>'5.2 Permits, Monitoring and Ins'!C133</f>
        <v>0</v>
      </c>
      <c r="D98" s="37">
        <f>'5.2 Permits, Monitoring and Ins'!D133</f>
        <v>0</v>
      </c>
      <c r="L98" s="113"/>
    </row>
    <row r="99" spans="1:12">
      <c r="A99" s="112"/>
      <c r="B99" s="1068" t="s">
        <v>12</v>
      </c>
      <c r="C99" s="37">
        <f>'5.2 Permits, Monitoring and Ins'!C134</f>
        <v>0</v>
      </c>
      <c r="D99" s="37">
        <f>'5.2 Permits, Monitoring and Ins'!D134</f>
        <v>0</v>
      </c>
      <c r="L99" s="113"/>
    </row>
    <row r="100" spans="1:12">
      <c r="A100" s="112"/>
      <c r="B100" s="1068" t="s">
        <v>5</v>
      </c>
      <c r="C100" s="37">
        <f>'5.2 Permits, Monitoring and Ins'!C135</f>
        <v>0</v>
      </c>
      <c r="D100" s="37">
        <f>'5.2 Permits, Monitoring and Ins'!D135</f>
        <v>0</v>
      </c>
      <c r="L100" s="113"/>
    </row>
    <row r="101" spans="1:12">
      <c r="A101" s="112"/>
      <c r="B101" s="1068" t="s">
        <v>7</v>
      </c>
      <c r="C101" s="37">
        <f>'5.2 Permits, Monitoring and Ins'!C136</f>
        <v>0</v>
      </c>
      <c r="D101" s="37">
        <f>'5.2 Permits, Monitoring and Ins'!D136</f>
        <v>0</v>
      </c>
      <c r="L101" s="113"/>
    </row>
    <row r="102" spans="1:12">
      <c r="A102" s="112"/>
      <c r="B102" s="1672" t="s">
        <v>19</v>
      </c>
      <c r="C102" s="1673"/>
      <c r="D102" s="1674"/>
      <c r="L102" s="113"/>
    </row>
    <row r="103" spans="1:12">
      <c r="A103" s="112"/>
      <c r="B103" s="1068" t="s">
        <v>10</v>
      </c>
      <c r="C103" s="37">
        <f>'5.2 Permits, Monitoring and Ins'!C138</f>
        <v>0</v>
      </c>
      <c r="D103" s="37">
        <f>'5.2 Permits, Monitoring and Ins'!D138</f>
        <v>0</v>
      </c>
      <c r="L103" s="113"/>
    </row>
    <row r="104" spans="1:12">
      <c r="A104" s="112"/>
      <c r="B104" s="1068" t="s">
        <v>11</v>
      </c>
      <c r="C104" s="37">
        <f>'5.2 Permits, Monitoring and Ins'!C139</f>
        <v>6</v>
      </c>
      <c r="D104" s="37">
        <f>'5.2 Permits, Monitoring and Ins'!D139</f>
        <v>100</v>
      </c>
      <c r="L104" s="113"/>
    </row>
    <row r="105" spans="1:12">
      <c r="A105" s="112"/>
      <c r="B105" s="1068" t="s">
        <v>6</v>
      </c>
      <c r="C105" s="37">
        <f>'5.2 Permits, Monitoring and Ins'!C140</f>
        <v>0</v>
      </c>
      <c r="D105" s="37">
        <f>'5.2 Permits, Monitoring and Ins'!D140</f>
        <v>0</v>
      </c>
      <c r="L105" s="113"/>
    </row>
    <row r="106" spans="1:12">
      <c r="A106" s="112"/>
      <c r="B106" s="1068" t="s">
        <v>12</v>
      </c>
      <c r="C106" s="37">
        <f>'5.2 Permits, Monitoring and Ins'!C141</f>
        <v>0</v>
      </c>
      <c r="D106" s="37">
        <f>'5.2 Permits, Monitoring and Ins'!D141</f>
        <v>0</v>
      </c>
      <c r="L106" s="113"/>
    </row>
    <row r="107" spans="1:12">
      <c r="A107" s="112"/>
      <c r="B107" s="1068" t="s">
        <v>5</v>
      </c>
      <c r="C107" s="37">
        <f>'5.2 Permits, Monitoring and Ins'!C142</f>
        <v>0</v>
      </c>
      <c r="D107" s="37">
        <f>'5.2 Permits, Monitoring and Ins'!D142</f>
        <v>0</v>
      </c>
      <c r="L107" s="113"/>
    </row>
    <row r="108" spans="1:12">
      <c r="A108" s="112"/>
      <c r="B108" s="1068" t="s">
        <v>7</v>
      </c>
      <c r="C108" s="37">
        <f>'5.2 Permits, Monitoring and Ins'!C143</f>
        <v>0</v>
      </c>
      <c r="D108" s="37">
        <f>'5.2 Permits, Monitoring and Ins'!D143</f>
        <v>0</v>
      </c>
      <c r="L108" s="113"/>
    </row>
    <row r="109" spans="1:12">
      <c r="A109" s="112"/>
      <c r="B109" s="1672" t="s">
        <v>468</v>
      </c>
      <c r="C109" s="1673"/>
      <c r="D109" s="1674"/>
      <c r="L109" s="113"/>
    </row>
    <row r="110" spans="1:12">
      <c r="A110" s="112"/>
      <c r="B110" s="1068" t="s">
        <v>10</v>
      </c>
      <c r="C110" s="37">
        <f>'5.2 Permits, Monitoring and Ins'!C145</f>
        <v>0</v>
      </c>
      <c r="D110" s="37">
        <f>'5.2 Permits, Monitoring and Ins'!D145</f>
        <v>0</v>
      </c>
      <c r="L110" s="113"/>
    </row>
    <row r="111" spans="1:12">
      <c r="A111" s="112"/>
      <c r="B111" s="1068" t="s">
        <v>11</v>
      </c>
      <c r="C111" s="37">
        <f>'5.2 Permits, Monitoring and Ins'!C146</f>
        <v>30</v>
      </c>
      <c r="D111" s="37">
        <f>'5.2 Permits, Monitoring and Ins'!D146</f>
        <v>100</v>
      </c>
      <c r="L111" s="113"/>
    </row>
    <row r="112" spans="1:12">
      <c r="A112" s="112"/>
      <c r="B112" s="1068" t="s">
        <v>6</v>
      </c>
      <c r="C112" s="37">
        <f>'5.2 Permits, Monitoring and Ins'!C147</f>
        <v>0</v>
      </c>
      <c r="D112" s="37">
        <f>'5.2 Permits, Monitoring and Ins'!D147</f>
        <v>0</v>
      </c>
      <c r="L112" s="113"/>
    </row>
    <row r="113" spans="1:23">
      <c r="A113" s="112"/>
      <c r="B113" s="1068" t="s">
        <v>12</v>
      </c>
      <c r="C113" s="37">
        <f>'5.2 Permits, Monitoring and Ins'!C148</f>
        <v>0</v>
      </c>
      <c r="D113" s="37">
        <f>'5.2 Permits, Monitoring and Ins'!D148</f>
        <v>0</v>
      </c>
      <c r="L113" s="113"/>
    </row>
    <row r="114" spans="1:23">
      <c r="A114" s="112"/>
      <c r="B114" s="1068" t="s">
        <v>5</v>
      </c>
      <c r="C114" s="37">
        <f>'5.2 Permits, Monitoring and Ins'!C149</f>
        <v>0</v>
      </c>
      <c r="D114" s="37">
        <f>'5.2 Permits, Monitoring and Ins'!D149</f>
        <v>0</v>
      </c>
      <c r="L114" s="113"/>
    </row>
    <row r="115" spans="1:23">
      <c r="A115" s="112"/>
      <c r="B115" s="1068" t="s">
        <v>7</v>
      </c>
      <c r="C115" s="37">
        <f>'5.2 Permits, Monitoring and Ins'!C150</f>
        <v>0</v>
      </c>
      <c r="D115" s="37">
        <f>'5.2 Permits, Monitoring and Ins'!D150</f>
        <v>0</v>
      </c>
      <c r="L115" s="113"/>
    </row>
    <row r="116" spans="1:23">
      <c r="A116" s="112"/>
      <c r="C116" s="1075"/>
      <c r="L116" s="113"/>
    </row>
    <row r="117" spans="1:23">
      <c r="A117" s="112"/>
      <c r="C117" s="1075"/>
      <c r="L117" s="113"/>
      <c r="W117" s="36"/>
    </row>
    <row r="118" spans="1:23" ht="21">
      <c r="A118" s="112"/>
      <c r="B118" s="1681" t="s">
        <v>1232</v>
      </c>
      <c r="C118" s="1681"/>
      <c r="D118" s="1681"/>
      <c r="L118" s="113"/>
    </row>
    <row r="119" spans="1:23">
      <c r="A119" s="112"/>
      <c r="B119" s="1063" t="s">
        <v>0</v>
      </c>
      <c r="C119" s="1065" t="s">
        <v>20</v>
      </c>
      <c r="D119" s="1066" t="s">
        <v>17</v>
      </c>
      <c r="L119" s="113"/>
    </row>
    <row r="120" spans="1:23">
      <c r="A120" s="112"/>
      <c r="B120" s="1672" t="s">
        <v>18</v>
      </c>
      <c r="C120" s="1673"/>
      <c r="D120" s="1674"/>
      <c r="L120" s="113"/>
    </row>
    <row r="121" spans="1:23">
      <c r="A121" s="112"/>
      <c r="B121" s="1068" t="s">
        <v>10</v>
      </c>
      <c r="C121" s="37">
        <f>'5.3 Community Welfare'!C88</f>
        <v>0</v>
      </c>
      <c r="D121" s="37">
        <f>'5.3 Community Welfare'!D88</f>
        <v>0</v>
      </c>
      <c r="L121" s="113"/>
    </row>
    <row r="122" spans="1:23">
      <c r="A122" s="112"/>
      <c r="B122" s="1068" t="s">
        <v>11</v>
      </c>
      <c r="C122" s="37">
        <f>'5.3 Community Welfare'!C89</f>
        <v>8</v>
      </c>
      <c r="D122" s="37">
        <f>'5.3 Community Welfare'!D89</f>
        <v>100</v>
      </c>
      <c r="L122" s="113"/>
    </row>
    <row r="123" spans="1:23">
      <c r="A123" s="112"/>
      <c r="B123" s="1068" t="s">
        <v>6</v>
      </c>
      <c r="C123" s="37">
        <f>'5.3 Community Welfare'!C90</f>
        <v>0</v>
      </c>
      <c r="D123" s="37">
        <f>'5.3 Community Welfare'!D90</f>
        <v>0</v>
      </c>
      <c r="L123" s="113"/>
    </row>
    <row r="124" spans="1:23">
      <c r="A124" s="112"/>
      <c r="B124" s="1068" t="s">
        <v>12</v>
      </c>
      <c r="C124" s="37">
        <f>'5.3 Community Welfare'!C91</f>
        <v>0</v>
      </c>
      <c r="D124" s="37">
        <f>'5.3 Community Welfare'!D91</f>
        <v>0</v>
      </c>
      <c r="L124" s="113"/>
    </row>
    <row r="125" spans="1:23">
      <c r="A125" s="112"/>
      <c r="B125" s="1068" t="s">
        <v>5</v>
      </c>
      <c r="C125" s="37">
        <f>'5.3 Community Welfare'!C92</f>
        <v>0</v>
      </c>
      <c r="D125" s="37">
        <f>'5.3 Community Welfare'!D92</f>
        <v>0</v>
      </c>
      <c r="L125" s="113"/>
    </row>
    <row r="126" spans="1:23">
      <c r="A126" s="112"/>
      <c r="B126" s="1068" t="s">
        <v>7</v>
      </c>
      <c r="C126" s="37">
        <f>'5.3 Community Welfare'!C93</f>
        <v>0</v>
      </c>
      <c r="D126" s="37">
        <f>'5.3 Community Welfare'!D93</f>
        <v>0</v>
      </c>
      <c r="L126" s="113"/>
    </row>
    <row r="127" spans="1:23">
      <c r="A127" s="112"/>
      <c r="B127" s="1672" t="s">
        <v>19</v>
      </c>
      <c r="C127" s="1673"/>
      <c r="D127" s="1674"/>
      <c r="L127" s="113"/>
    </row>
    <row r="128" spans="1:23">
      <c r="A128" s="112"/>
      <c r="B128" s="1068" t="s">
        <v>10</v>
      </c>
      <c r="C128" s="37">
        <f>'5.3 Community Welfare'!C95</f>
        <v>0</v>
      </c>
      <c r="D128" s="37">
        <f>'5.3 Community Welfare'!D95</f>
        <v>0</v>
      </c>
      <c r="L128" s="113"/>
    </row>
    <row r="129" spans="1:23">
      <c r="A129" s="112"/>
      <c r="B129" s="1068" t="s">
        <v>11</v>
      </c>
      <c r="C129" s="37">
        <f>'5.3 Community Welfare'!C96</f>
        <v>4</v>
      </c>
      <c r="D129" s="37">
        <f>'5.3 Community Welfare'!D96</f>
        <v>100</v>
      </c>
      <c r="L129" s="113"/>
    </row>
    <row r="130" spans="1:23">
      <c r="A130" s="112"/>
      <c r="B130" s="1068" t="s">
        <v>6</v>
      </c>
      <c r="C130" s="37">
        <f>'5.3 Community Welfare'!C97</f>
        <v>0</v>
      </c>
      <c r="D130" s="37">
        <f>'5.3 Community Welfare'!D97</f>
        <v>0</v>
      </c>
      <c r="L130" s="113"/>
    </row>
    <row r="131" spans="1:23">
      <c r="A131" s="112"/>
      <c r="B131" s="1068" t="s">
        <v>12</v>
      </c>
      <c r="C131" s="37">
        <f>'5.3 Community Welfare'!C98</f>
        <v>0</v>
      </c>
      <c r="D131" s="37">
        <f>'5.3 Community Welfare'!D98</f>
        <v>0</v>
      </c>
      <c r="L131" s="113"/>
    </row>
    <row r="132" spans="1:23">
      <c r="A132" s="112"/>
      <c r="B132" s="1068" t="s">
        <v>5</v>
      </c>
      <c r="C132" s="37">
        <f>'5.3 Community Welfare'!C99</f>
        <v>0</v>
      </c>
      <c r="D132" s="37">
        <f>'5.3 Community Welfare'!D99</f>
        <v>0</v>
      </c>
      <c r="L132" s="113"/>
    </row>
    <row r="133" spans="1:23">
      <c r="A133" s="112"/>
      <c r="B133" s="1068" t="s">
        <v>7</v>
      </c>
      <c r="C133" s="37">
        <f>'5.3 Community Welfare'!C100</f>
        <v>0</v>
      </c>
      <c r="D133" s="37">
        <f>'5.3 Community Welfare'!D100</f>
        <v>0</v>
      </c>
      <c r="L133" s="113"/>
    </row>
    <row r="134" spans="1:23">
      <c r="A134" s="112"/>
      <c r="B134" s="1672" t="s">
        <v>468</v>
      </c>
      <c r="C134" s="1673"/>
      <c r="D134" s="1674"/>
      <c r="L134" s="113"/>
    </row>
    <row r="135" spans="1:23">
      <c r="A135" s="112"/>
      <c r="B135" s="1068" t="s">
        <v>10</v>
      </c>
      <c r="C135" s="37">
        <f>'5.3 Community Welfare'!C102</f>
        <v>0</v>
      </c>
      <c r="D135" s="37">
        <f>'5.3 Community Welfare'!D102</f>
        <v>0</v>
      </c>
      <c r="L135" s="113"/>
    </row>
    <row r="136" spans="1:23">
      <c r="A136" s="112"/>
      <c r="B136" s="1068" t="s">
        <v>11</v>
      </c>
      <c r="C136" s="37">
        <f>'5.3 Community Welfare'!C103</f>
        <v>12</v>
      </c>
      <c r="D136" s="37">
        <f>'5.3 Community Welfare'!D103</f>
        <v>100</v>
      </c>
      <c r="L136" s="113"/>
    </row>
    <row r="137" spans="1:23">
      <c r="A137" s="112"/>
      <c r="B137" s="1068" t="s">
        <v>6</v>
      </c>
      <c r="C137" s="37">
        <f>'5.3 Community Welfare'!C104</f>
        <v>0</v>
      </c>
      <c r="D137" s="37">
        <f>'5.3 Community Welfare'!D104</f>
        <v>0</v>
      </c>
      <c r="L137" s="113"/>
    </row>
    <row r="138" spans="1:23">
      <c r="A138" s="112"/>
      <c r="B138" s="1068" t="s">
        <v>12</v>
      </c>
      <c r="C138" s="37">
        <f>'5.3 Community Welfare'!C105</f>
        <v>0</v>
      </c>
      <c r="D138" s="37">
        <f>'5.3 Community Welfare'!D105</f>
        <v>0</v>
      </c>
      <c r="L138" s="113"/>
    </row>
    <row r="139" spans="1:23">
      <c r="A139" s="112"/>
      <c r="B139" s="1068" t="s">
        <v>5</v>
      </c>
      <c r="C139" s="37">
        <f>'5.3 Community Welfare'!C106</f>
        <v>0</v>
      </c>
      <c r="D139" s="37">
        <f>'5.3 Community Welfare'!D106</f>
        <v>0</v>
      </c>
      <c r="L139" s="113"/>
    </row>
    <row r="140" spans="1:23">
      <c r="A140" s="112"/>
      <c r="B140" s="1068" t="s">
        <v>7</v>
      </c>
      <c r="C140" s="37">
        <f>'5.3 Community Welfare'!C107</f>
        <v>0</v>
      </c>
      <c r="D140" s="37">
        <f>'5.3 Community Welfare'!D107</f>
        <v>0</v>
      </c>
      <c r="L140" s="113"/>
    </row>
    <row r="141" spans="1:23">
      <c r="A141" s="112"/>
      <c r="C141" s="1075"/>
      <c r="L141" s="113"/>
    </row>
    <row r="142" spans="1:23">
      <c r="A142" s="112"/>
      <c r="C142" s="1075"/>
      <c r="L142" s="113"/>
      <c r="W142" s="36"/>
    </row>
    <row r="143" spans="1:23" ht="21">
      <c r="A143" s="112"/>
      <c r="B143" s="1681" t="s">
        <v>1235</v>
      </c>
      <c r="C143" s="1681"/>
      <c r="D143" s="1681"/>
      <c r="L143" s="113"/>
    </row>
    <row r="144" spans="1:23">
      <c r="A144" s="112"/>
      <c r="B144" s="1063" t="s">
        <v>0</v>
      </c>
      <c r="C144" s="1065" t="s">
        <v>20</v>
      </c>
      <c r="D144" s="1066" t="s">
        <v>17</v>
      </c>
      <c r="L144" s="113"/>
    </row>
    <row r="145" spans="1:12">
      <c r="A145" s="112"/>
      <c r="B145" s="1672" t="s">
        <v>18</v>
      </c>
      <c r="C145" s="1673"/>
      <c r="D145" s="1674"/>
      <c r="L145" s="113"/>
    </row>
    <row r="146" spans="1:12">
      <c r="A146" s="112"/>
      <c r="B146" s="1068" t="s">
        <v>10</v>
      </c>
      <c r="C146" s="37">
        <f>'5.4 Local Public Security and L'!C105</f>
        <v>0</v>
      </c>
      <c r="D146" s="37">
        <f>'5.4 Local Public Security and L'!D105</f>
        <v>0</v>
      </c>
      <c r="L146" s="113"/>
    </row>
    <row r="147" spans="1:12">
      <c r="A147" s="112"/>
      <c r="B147" s="1068" t="s">
        <v>11</v>
      </c>
      <c r="C147" s="37">
        <f>'5.4 Local Public Security and L'!C106</f>
        <v>15</v>
      </c>
      <c r="D147" s="37">
        <f>'5.4 Local Public Security and L'!D106</f>
        <v>100</v>
      </c>
      <c r="L147" s="113"/>
    </row>
    <row r="148" spans="1:12">
      <c r="A148" s="112"/>
      <c r="B148" s="1068" t="s">
        <v>6</v>
      </c>
      <c r="C148" s="37">
        <f>'5.4 Local Public Security and L'!C107</f>
        <v>0</v>
      </c>
      <c r="D148" s="37">
        <f>'5.4 Local Public Security and L'!D107</f>
        <v>0</v>
      </c>
      <c r="L148" s="113"/>
    </row>
    <row r="149" spans="1:12">
      <c r="A149" s="112"/>
      <c r="B149" s="1068" t="s">
        <v>12</v>
      </c>
      <c r="C149" s="37">
        <f>'5.4 Local Public Security and L'!C108</f>
        <v>0</v>
      </c>
      <c r="D149" s="37">
        <f>'5.4 Local Public Security and L'!D108</f>
        <v>0</v>
      </c>
      <c r="L149" s="113"/>
    </row>
    <row r="150" spans="1:12">
      <c r="A150" s="112"/>
      <c r="B150" s="1068" t="s">
        <v>5</v>
      </c>
      <c r="C150" s="37">
        <f>'5.4 Local Public Security and L'!C109</f>
        <v>0</v>
      </c>
      <c r="D150" s="37">
        <f>'5.4 Local Public Security and L'!D109</f>
        <v>0</v>
      </c>
      <c r="L150" s="113"/>
    </row>
    <row r="151" spans="1:12">
      <c r="A151" s="112"/>
      <c r="B151" s="1068" t="s">
        <v>7</v>
      </c>
      <c r="C151" s="37">
        <f>'5.4 Local Public Security and L'!C110</f>
        <v>0</v>
      </c>
      <c r="D151" s="37">
        <f>'5.4 Local Public Security and L'!D110</f>
        <v>0</v>
      </c>
      <c r="L151" s="113"/>
    </row>
    <row r="152" spans="1:12">
      <c r="A152" s="112"/>
      <c r="B152" s="1672" t="s">
        <v>19</v>
      </c>
      <c r="C152" s="1673"/>
      <c r="D152" s="1674"/>
      <c r="L152" s="113"/>
    </row>
    <row r="153" spans="1:12">
      <c r="A153" s="112"/>
      <c r="B153" s="1068" t="s">
        <v>10</v>
      </c>
      <c r="C153" s="37">
        <f>'5.4 Local Public Security and L'!C112</f>
        <v>0</v>
      </c>
      <c r="D153" s="37">
        <f>'5.4 Local Public Security and L'!D112</f>
        <v>0</v>
      </c>
      <c r="L153" s="113"/>
    </row>
    <row r="154" spans="1:12">
      <c r="A154" s="112"/>
      <c r="B154" s="1068" t="s">
        <v>11</v>
      </c>
      <c r="C154" s="37">
        <f>'5.4 Local Public Security and L'!C113</f>
        <v>9</v>
      </c>
      <c r="D154" s="37">
        <f>'5.4 Local Public Security and L'!D113</f>
        <v>100</v>
      </c>
      <c r="L154" s="113"/>
    </row>
    <row r="155" spans="1:12">
      <c r="A155" s="112"/>
      <c r="B155" s="1068" t="s">
        <v>6</v>
      </c>
      <c r="C155" s="37">
        <f>'5.4 Local Public Security and L'!C114</f>
        <v>0</v>
      </c>
      <c r="D155" s="37">
        <f>'5.4 Local Public Security and L'!D114</f>
        <v>0</v>
      </c>
      <c r="L155" s="113"/>
    </row>
    <row r="156" spans="1:12">
      <c r="A156" s="112"/>
      <c r="B156" s="1068" t="s">
        <v>12</v>
      </c>
      <c r="C156" s="37">
        <f>'5.4 Local Public Security and L'!C115</f>
        <v>0</v>
      </c>
      <c r="D156" s="37">
        <f>'5.4 Local Public Security and L'!D115</f>
        <v>0</v>
      </c>
      <c r="L156" s="113"/>
    </row>
    <row r="157" spans="1:12">
      <c r="A157" s="112"/>
      <c r="B157" s="1068" t="s">
        <v>5</v>
      </c>
      <c r="C157" s="37">
        <f>'5.4 Local Public Security and L'!C116</f>
        <v>0</v>
      </c>
      <c r="D157" s="37">
        <f>'5.4 Local Public Security and L'!D116</f>
        <v>0</v>
      </c>
      <c r="L157" s="113"/>
    </row>
    <row r="158" spans="1:12">
      <c r="A158" s="112"/>
      <c r="B158" s="1068" t="s">
        <v>7</v>
      </c>
      <c r="C158" s="37">
        <f>'5.4 Local Public Security and L'!C117</f>
        <v>0</v>
      </c>
      <c r="D158" s="37">
        <f>'5.4 Local Public Security and L'!D117</f>
        <v>0</v>
      </c>
      <c r="L158" s="113"/>
    </row>
    <row r="159" spans="1:12">
      <c r="A159" s="112"/>
      <c r="B159" s="1672" t="s">
        <v>468</v>
      </c>
      <c r="C159" s="1673"/>
      <c r="D159" s="1674"/>
      <c r="L159" s="113"/>
    </row>
    <row r="160" spans="1:12">
      <c r="A160" s="112"/>
      <c r="B160" s="1068" t="s">
        <v>10</v>
      </c>
      <c r="C160" s="37">
        <f>'5.4 Local Public Security and L'!C119</f>
        <v>0</v>
      </c>
      <c r="D160" s="37">
        <f>'5.4 Local Public Security and L'!D119</f>
        <v>0</v>
      </c>
      <c r="L160" s="113"/>
    </row>
    <row r="161" spans="1:23">
      <c r="A161" s="112"/>
      <c r="B161" s="1068" t="s">
        <v>11</v>
      </c>
      <c r="C161" s="37">
        <f>'5.4 Local Public Security and L'!C120</f>
        <v>24</v>
      </c>
      <c r="D161" s="37">
        <f>'5.4 Local Public Security and L'!D120</f>
        <v>100</v>
      </c>
      <c r="L161" s="113"/>
    </row>
    <row r="162" spans="1:23">
      <c r="A162" s="112"/>
      <c r="B162" s="1068" t="s">
        <v>6</v>
      </c>
      <c r="C162" s="37">
        <f>'5.4 Local Public Security and L'!C121</f>
        <v>0</v>
      </c>
      <c r="D162" s="37">
        <f>'5.4 Local Public Security and L'!D121</f>
        <v>0</v>
      </c>
      <c r="L162" s="113"/>
    </row>
    <row r="163" spans="1:23">
      <c r="A163" s="112"/>
      <c r="B163" s="1068" t="s">
        <v>12</v>
      </c>
      <c r="C163" s="37">
        <f>'5.4 Local Public Security and L'!C122</f>
        <v>0</v>
      </c>
      <c r="D163" s="37">
        <f>'5.4 Local Public Security and L'!D122</f>
        <v>0</v>
      </c>
      <c r="L163" s="113"/>
    </row>
    <row r="164" spans="1:23">
      <c r="A164" s="112"/>
      <c r="B164" s="1068" t="s">
        <v>5</v>
      </c>
      <c r="C164" s="37">
        <f>'5.4 Local Public Security and L'!C123</f>
        <v>0</v>
      </c>
      <c r="D164" s="37">
        <f>'5.4 Local Public Security and L'!D123</f>
        <v>0</v>
      </c>
      <c r="L164" s="113"/>
    </row>
    <row r="165" spans="1:23">
      <c r="A165" s="112"/>
      <c r="B165" s="1068" t="s">
        <v>7</v>
      </c>
      <c r="C165" s="37">
        <f>'5.4 Local Public Security and L'!C124</f>
        <v>0</v>
      </c>
      <c r="D165" s="37">
        <f>'5.4 Local Public Security and L'!D124</f>
        <v>0</v>
      </c>
      <c r="L165" s="113"/>
    </row>
    <row r="166" spans="1:23">
      <c r="A166" s="112"/>
      <c r="C166" s="1075"/>
      <c r="L166" s="113"/>
    </row>
    <row r="167" spans="1:23">
      <c r="A167" s="112"/>
      <c r="C167" s="1075"/>
      <c r="L167" s="113"/>
      <c r="W167" s="36"/>
    </row>
    <row r="168" spans="1:23" ht="21">
      <c r="A168" s="112"/>
      <c r="B168" s="1681" t="s">
        <v>1233</v>
      </c>
      <c r="C168" s="1681"/>
      <c r="D168" s="1681"/>
      <c r="L168" s="113"/>
    </row>
    <row r="169" spans="1:23">
      <c r="A169" s="112"/>
      <c r="B169" s="1063" t="s">
        <v>0</v>
      </c>
      <c r="C169" s="1065" t="s">
        <v>20</v>
      </c>
      <c r="D169" s="1066" t="s">
        <v>17</v>
      </c>
      <c r="L169" s="113"/>
    </row>
    <row r="170" spans="1:23">
      <c r="A170" s="112"/>
      <c r="B170" s="1672" t="s">
        <v>18</v>
      </c>
      <c r="C170" s="1673"/>
      <c r="D170" s="1674"/>
      <c r="L170" s="113"/>
    </row>
    <row r="171" spans="1:23">
      <c r="A171" s="112"/>
      <c r="B171" s="1068" t="s">
        <v>10</v>
      </c>
      <c r="C171" s="37">
        <f>'5.5 Emergency &amp; Rescue Services'!C122</f>
        <v>0</v>
      </c>
      <c r="D171" s="37">
        <f>'5.5 Emergency &amp; Rescue Services'!D122</f>
        <v>0</v>
      </c>
      <c r="L171" s="113"/>
    </row>
    <row r="172" spans="1:23">
      <c r="A172" s="112"/>
      <c r="B172" s="1068" t="s">
        <v>11</v>
      </c>
      <c r="C172" s="37">
        <f>'5.5 Emergency &amp; Rescue Services'!C123</f>
        <v>7</v>
      </c>
      <c r="D172" s="37">
        <f>'5.5 Emergency &amp; Rescue Services'!D123</f>
        <v>100</v>
      </c>
      <c r="L172" s="113"/>
    </row>
    <row r="173" spans="1:23">
      <c r="A173" s="112"/>
      <c r="B173" s="1068" t="s">
        <v>6</v>
      </c>
      <c r="C173" s="37">
        <f>'5.5 Emergency &amp; Rescue Services'!C124</f>
        <v>0</v>
      </c>
      <c r="D173" s="37">
        <f>'5.5 Emergency &amp; Rescue Services'!D124</f>
        <v>0</v>
      </c>
      <c r="L173" s="113"/>
    </row>
    <row r="174" spans="1:23">
      <c r="A174" s="112"/>
      <c r="B174" s="1068" t="s">
        <v>12</v>
      </c>
      <c r="C174" s="37">
        <f>'5.5 Emergency &amp; Rescue Services'!C125</f>
        <v>0</v>
      </c>
      <c r="D174" s="37">
        <f>'5.5 Emergency &amp; Rescue Services'!D125</f>
        <v>0</v>
      </c>
      <c r="L174" s="113"/>
    </row>
    <row r="175" spans="1:23">
      <c r="A175" s="112"/>
      <c r="B175" s="1068" t="s">
        <v>5</v>
      </c>
      <c r="C175" s="37">
        <f>'5.5 Emergency &amp; Rescue Services'!C126</f>
        <v>0</v>
      </c>
      <c r="D175" s="37">
        <f>'5.5 Emergency &amp; Rescue Services'!D126</f>
        <v>0</v>
      </c>
      <c r="L175" s="113"/>
    </row>
    <row r="176" spans="1:23">
      <c r="A176" s="112"/>
      <c r="B176" s="1068" t="s">
        <v>7</v>
      </c>
      <c r="C176" s="37">
        <f>'5.5 Emergency &amp; Rescue Services'!C127</f>
        <v>0</v>
      </c>
      <c r="D176" s="37">
        <f>'5.5 Emergency &amp; Rescue Services'!D127</f>
        <v>0</v>
      </c>
      <c r="L176" s="113"/>
    </row>
    <row r="177" spans="1:23">
      <c r="A177" s="112"/>
      <c r="B177" s="1672" t="s">
        <v>19</v>
      </c>
      <c r="C177" s="1673"/>
      <c r="D177" s="1674"/>
      <c r="L177" s="113"/>
    </row>
    <row r="178" spans="1:23">
      <c r="A178" s="112"/>
      <c r="B178" s="1068" t="s">
        <v>10</v>
      </c>
      <c r="C178" s="37">
        <f>'5.5 Emergency &amp; Rescue Services'!C129</f>
        <v>0</v>
      </c>
      <c r="D178" s="37">
        <f>'5.5 Emergency &amp; Rescue Services'!D129</f>
        <v>0</v>
      </c>
      <c r="L178" s="113"/>
    </row>
    <row r="179" spans="1:23">
      <c r="A179" s="112"/>
      <c r="B179" s="1068" t="s">
        <v>11</v>
      </c>
      <c r="C179" s="37">
        <f>'5.5 Emergency &amp; Rescue Services'!C130</f>
        <v>10</v>
      </c>
      <c r="D179" s="37">
        <f>'5.5 Emergency &amp; Rescue Services'!D130</f>
        <v>100</v>
      </c>
      <c r="L179" s="113"/>
    </row>
    <row r="180" spans="1:23">
      <c r="A180" s="112"/>
      <c r="B180" s="1068" t="s">
        <v>6</v>
      </c>
      <c r="C180" s="37">
        <f>'5.5 Emergency &amp; Rescue Services'!C131</f>
        <v>0</v>
      </c>
      <c r="D180" s="37">
        <f>'5.5 Emergency &amp; Rescue Services'!D131</f>
        <v>0</v>
      </c>
      <c r="L180" s="113"/>
    </row>
    <row r="181" spans="1:23">
      <c r="A181" s="112"/>
      <c r="B181" s="1068" t="s">
        <v>12</v>
      </c>
      <c r="C181" s="37">
        <f>'5.5 Emergency &amp; Rescue Services'!C132</f>
        <v>0</v>
      </c>
      <c r="D181" s="37">
        <f>'5.5 Emergency &amp; Rescue Services'!D132</f>
        <v>0</v>
      </c>
      <c r="L181" s="113"/>
    </row>
    <row r="182" spans="1:23">
      <c r="A182" s="112"/>
      <c r="B182" s="1068" t="s">
        <v>5</v>
      </c>
      <c r="C182" s="37">
        <f>'5.5 Emergency &amp; Rescue Services'!C133</f>
        <v>0</v>
      </c>
      <c r="D182" s="37">
        <f>'5.5 Emergency &amp; Rescue Services'!D133</f>
        <v>0</v>
      </c>
      <c r="L182" s="113"/>
    </row>
    <row r="183" spans="1:23">
      <c r="A183" s="112"/>
      <c r="B183" s="1068" t="s">
        <v>7</v>
      </c>
      <c r="C183" s="37">
        <f>'5.5 Emergency &amp; Rescue Services'!C134</f>
        <v>0</v>
      </c>
      <c r="D183" s="37">
        <f>'5.5 Emergency &amp; Rescue Services'!D134</f>
        <v>0</v>
      </c>
      <c r="L183" s="113"/>
    </row>
    <row r="184" spans="1:23">
      <c r="A184" s="112"/>
      <c r="B184" s="1672" t="s">
        <v>468</v>
      </c>
      <c r="C184" s="1673"/>
      <c r="D184" s="1674"/>
      <c r="L184" s="113"/>
    </row>
    <row r="185" spans="1:23">
      <c r="A185" s="112"/>
      <c r="B185" s="1068" t="s">
        <v>10</v>
      </c>
      <c r="C185" s="37">
        <f>'5.5 Emergency &amp; Rescue Services'!C136</f>
        <v>0</v>
      </c>
      <c r="D185" s="37">
        <f>'5.5 Emergency &amp; Rescue Services'!D136</f>
        <v>0</v>
      </c>
      <c r="L185" s="113"/>
    </row>
    <row r="186" spans="1:23">
      <c r="A186" s="112"/>
      <c r="B186" s="1068" t="s">
        <v>11</v>
      </c>
      <c r="C186" s="37">
        <f>'5.5 Emergency &amp; Rescue Services'!C137</f>
        <v>17</v>
      </c>
      <c r="D186" s="37">
        <f>'5.5 Emergency &amp; Rescue Services'!D137</f>
        <v>100</v>
      </c>
      <c r="L186" s="113"/>
    </row>
    <row r="187" spans="1:23">
      <c r="A187" s="112"/>
      <c r="B187" s="1068" t="s">
        <v>6</v>
      </c>
      <c r="C187" s="37">
        <f>'5.5 Emergency &amp; Rescue Services'!C138</f>
        <v>0</v>
      </c>
      <c r="D187" s="37">
        <f>'5.5 Emergency &amp; Rescue Services'!D138</f>
        <v>0</v>
      </c>
      <c r="L187" s="113"/>
    </row>
    <row r="188" spans="1:23">
      <c r="A188" s="112"/>
      <c r="B188" s="1068" t="s">
        <v>12</v>
      </c>
      <c r="C188" s="37">
        <f>'5.5 Emergency &amp; Rescue Services'!C139</f>
        <v>0</v>
      </c>
      <c r="D188" s="37">
        <f>'5.5 Emergency &amp; Rescue Services'!D139</f>
        <v>0</v>
      </c>
      <c r="L188" s="113"/>
    </row>
    <row r="189" spans="1:23">
      <c r="A189" s="112"/>
      <c r="B189" s="1068" t="s">
        <v>5</v>
      </c>
      <c r="C189" s="37">
        <f>'5.5 Emergency &amp; Rescue Services'!C140</f>
        <v>0</v>
      </c>
      <c r="D189" s="37">
        <f>'5.5 Emergency &amp; Rescue Services'!D140</f>
        <v>0</v>
      </c>
      <c r="L189" s="113"/>
    </row>
    <row r="190" spans="1:23">
      <c r="A190" s="112"/>
      <c r="B190" s="1068" t="s">
        <v>7</v>
      </c>
      <c r="C190" s="37">
        <f>'5.5 Emergency &amp; Rescue Services'!C141</f>
        <v>0</v>
      </c>
      <c r="D190" s="37">
        <f>'5.5 Emergency &amp; Rescue Services'!D141</f>
        <v>0</v>
      </c>
      <c r="L190" s="113"/>
    </row>
    <row r="191" spans="1:23" ht="17" thickBot="1">
      <c r="A191" s="114"/>
      <c r="B191" s="115"/>
      <c r="C191" s="115"/>
      <c r="D191" s="115"/>
      <c r="E191" s="115"/>
      <c r="F191" s="115"/>
      <c r="G191" s="115"/>
      <c r="H191" s="115"/>
      <c r="I191" s="115"/>
      <c r="J191" s="115"/>
      <c r="K191" s="115"/>
      <c r="L191" s="116"/>
      <c r="W191" s="36"/>
    </row>
    <row r="192" spans="1:23" ht="17" thickTop="1"/>
  </sheetData>
  <mergeCells count="33">
    <mergeCell ref="B168:D168"/>
    <mergeCell ref="B170:D170"/>
    <mergeCell ref="B177:D177"/>
    <mergeCell ref="B184:D184"/>
    <mergeCell ref="B143:D143"/>
    <mergeCell ref="B145:D145"/>
    <mergeCell ref="B152:D152"/>
    <mergeCell ref="B159:D159"/>
    <mergeCell ref="B134:D134"/>
    <mergeCell ref="B77:D77"/>
    <mergeCell ref="N77:P77"/>
    <mergeCell ref="B84:D84"/>
    <mergeCell ref="N84:P84"/>
    <mergeCell ref="B93:D93"/>
    <mergeCell ref="B95:D95"/>
    <mergeCell ref="B102:D102"/>
    <mergeCell ref="B109:D109"/>
    <mergeCell ref="B118:D118"/>
    <mergeCell ref="B120:D120"/>
    <mergeCell ref="B127:D127"/>
    <mergeCell ref="B70:D70"/>
    <mergeCell ref="N70:P70"/>
    <mergeCell ref="G2:L2"/>
    <mergeCell ref="B5:D5"/>
    <mergeCell ref="V7:W7"/>
    <mergeCell ref="B8:D8"/>
    <mergeCell ref="V10:W10"/>
    <mergeCell ref="V13:W13"/>
    <mergeCell ref="B15:D15"/>
    <mergeCell ref="B22:D22"/>
    <mergeCell ref="B67:D67"/>
    <mergeCell ref="B68:D68"/>
    <mergeCell ref="N68:P68"/>
  </mergeCells>
  <conditionalFormatting sqref="C69">
    <cfRule type="containsText" dxfId="543" priority="302" operator="containsText" text="Alternative">
      <formula>NOT(ISERROR(SEARCH("Alternative",C69)))</formula>
    </cfRule>
    <cfRule type="containsText" dxfId="542" priority="304" operator="containsText" text="Not available">
      <formula>NOT(ISERROR(SEARCH("Not available",C69)))</formula>
    </cfRule>
    <cfRule type="containsText" dxfId="541" priority="305" operator="containsText" text="Incomplete">
      <formula>NOT(ISERROR(SEARCH("Incomplete",C69)))</formula>
    </cfRule>
    <cfRule type="containsText" dxfId="540" priority="306" operator="containsText" text="Complete">
      <formula>NOT(ISERROR(SEARCH("Complete",C69)))</formula>
    </cfRule>
  </conditionalFormatting>
  <conditionalFormatting sqref="B69:C69 B70">
    <cfRule type="containsText" dxfId="539" priority="303" operator="containsText" text="Pending">
      <formula>NOT(ISERROR(SEARCH("Pending",B69)))</formula>
    </cfRule>
  </conditionalFormatting>
  <conditionalFormatting sqref="D69">
    <cfRule type="containsText" dxfId="538" priority="297" operator="containsText" text="Alternative">
      <formula>NOT(ISERROR(SEARCH("Alternative",D69)))</formula>
    </cfRule>
    <cfRule type="containsText" dxfId="537" priority="299" operator="containsText" text="Not available">
      <formula>NOT(ISERROR(SEARCH("Not available",D69)))</formula>
    </cfRule>
    <cfRule type="containsText" dxfId="536" priority="300" operator="containsText" text="Incomplete">
      <formula>NOT(ISERROR(SEARCH("Incomplete",D69)))</formula>
    </cfRule>
    <cfRule type="containsText" dxfId="535" priority="301" operator="containsText" text="Complete">
      <formula>NOT(ISERROR(SEARCH("Complete",D69)))</formula>
    </cfRule>
  </conditionalFormatting>
  <conditionalFormatting sqref="D69">
    <cfRule type="containsText" dxfId="534" priority="298" operator="containsText" text="Pending">
      <formula>NOT(ISERROR(SEARCH("Pending",D69)))</formula>
    </cfRule>
  </conditionalFormatting>
  <conditionalFormatting sqref="B77">
    <cfRule type="containsText" dxfId="533" priority="296" operator="containsText" text="Pending">
      <formula>NOT(ISERROR(SEARCH("Pending",B77)))</formula>
    </cfRule>
  </conditionalFormatting>
  <conditionalFormatting sqref="B84">
    <cfRule type="containsText" dxfId="532" priority="295" operator="containsText" text="Pending">
      <formula>NOT(ISERROR(SEARCH("Pending",B84)))</formula>
    </cfRule>
  </conditionalFormatting>
  <conditionalFormatting sqref="B22">
    <cfRule type="containsText" dxfId="531" priority="283" operator="containsText" text="Pending">
      <formula>NOT(ISERROR(SEARCH("Pending",B22)))</formula>
    </cfRule>
  </conditionalFormatting>
  <conditionalFormatting sqref="C7">
    <cfRule type="containsText" dxfId="530" priority="290" operator="containsText" text="Alternative">
      <formula>NOT(ISERROR(SEARCH("Alternative",C7)))</formula>
    </cfRule>
    <cfRule type="containsText" dxfId="529" priority="292" operator="containsText" text="Not available">
      <formula>NOT(ISERROR(SEARCH("Not available",C7)))</formula>
    </cfRule>
    <cfRule type="containsText" dxfId="528" priority="293" operator="containsText" text="Incomplete">
      <formula>NOT(ISERROR(SEARCH("Incomplete",C7)))</formula>
    </cfRule>
    <cfRule type="containsText" dxfId="527" priority="294" operator="containsText" text="Complete">
      <formula>NOT(ISERROR(SEARCH("Complete",C7)))</formula>
    </cfRule>
  </conditionalFormatting>
  <conditionalFormatting sqref="B7:C7 B8">
    <cfRule type="containsText" dxfId="526" priority="291" operator="containsText" text="Pending">
      <formula>NOT(ISERROR(SEARCH("Pending",B7)))</formula>
    </cfRule>
  </conditionalFormatting>
  <conditionalFormatting sqref="D7">
    <cfRule type="containsText" dxfId="525" priority="285" operator="containsText" text="Alternative">
      <formula>NOT(ISERROR(SEARCH("Alternative",D7)))</formula>
    </cfRule>
    <cfRule type="containsText" dxfId="524" priority="287" operator="containsText" text="Not available">
      <formula>NOT(ISERROR(SEARCH("Not available",D7)))</formula>
    </cfRule>
    <cfRule type="containsText" dxfId="523" priority="288" operator="containsText" text="Incomplete">
      <formula>NOT(ISERROR(SEARCH("Incomplete",D7)))</formula>
    </cfRule>
    <cfRule type="containsText" dxfId="522" priority="289" operator="containsText" text="Complete">
      <formula>NOT(ISERROR(SEARCH("Complete",D7)))</formula>
    </cfRule>
  </conditionalFormatting>
  <conditionalFormatting sqref="D7">
    <cfRule type="containsText" dxfId="521" priority="286" operator="containsText" text="Pending">
      <formula>NOT(ISERROR(SEARCH("Pending",D7)))</formula>
    </cfRule>
  </conditionalFormatting>
  <conditionalFormatting sqref="B15">
    <cfRule type="containsText" dxfId="520" priority="284" operator="containsText" text="Pending">
      <formula>NOT(ISERROR(SEARCH("Pending",B15)))</formula>
    </cfRule>
  </conditionalFormatting>
  <conditionalFormatting sqref="B9:B14">
    <cfRule type="containsText" dxfId="519" priority="282" operator="containsText" text="Complete">
      <formula>NOT(ISERROR(SEARCH("Complete",B9)))</formula>
    </cfRule>
  </conditionalFormatting>
  <conditionalFormatting sqref="B9:B14">
    <cfRule type="containsText" dxfId="518" priority="277" operator="containsText" text="Not applicable">
      <formula>NOT(ISERROR(SEARCH("Not applicable",B9)))</formula>
    </cfRule>
    <cfRule type="containsText" dxfId="517" priority="278" operator="containsText" text="Pending">
      <formula>NOT(ISERROR(SEARCH("Pending",B9)))</formula>
    </cfRule>
    <cfRule type="containsText" dxfId="516" priority="279" operator="containsText" text="Alternative">
      <formula>NOT(ISERROR(SEARCH("Alternative",B9)))</formula>
    </cfRule>
    <cfRule type="containsText" dxfId="515" priority="280" operator="containsText" text="Not Available">
      <formula>NOT(ISERROR(SEARCH("Not Available",B9)))</formula>
    </cfRule>
    <cfRule type="containsText" dxfId="514" priority="281" operator="containsText" text="Incomplete">
      <formula>NOT(ISERROR(SEARCH("Incomplete",B9)))</formula>
    </cfRule>
  </conditionalFormatting>
  <conditionalFormatting sqref="B16:B21">
    <cfRule type="containsText" dxfId="513" priority="276" operator="containsText" text="Complete">
      <formula>NOT(ISERROR(SEARCH("Complete",B16)))</formula>
    </cfRule>
  </conditionalFormatting>
  <conditionalFormatting sqref="B16:B21">
    <cfRule type="containsText" dxfId="512" priority="271" operator="containsText" text="Not applicable">
      <formula>NOT(ISERROR(SEARCH("Not applicable",B16)))</formula>
    </cfRule>
    <cfRule type="containsText" dxfId="511" priority="272" operator="containsText" text="Pending">
      <formula>NOT(ISERROR(SEARCH("Pending",B16)))</formula>
    </cfRule>
    <cfRule type="containsText" dxfId="510" priority="273" operator="containsText" text="Alternative">
      <formula>NOT(ISERROR(SEARCH("Alternative",B16)))</formula>
    </cfRule>
    <cfRule type="containsText" dxfId="509" priority="274" operator="containsText" text="Not Available">
      <formula>NOT(ISERROR(SEARCH("Not Available",B16)))</formula>
    </cfRule>
    <cfRule type="containsText" dxfId="508" priority="275" operator="containsText" text="Incomplete">
      <formula>NOT(ISERROR(SEARCH("Incomplete",B16)))</formula>
    </cfRule>
  </conditionalFormatting>
  <conditionalFormatting sqref="B23:B65">
    <cfRule type="containsText" dxfId="507" priority="270" operator="containsText" text="Complete">
      <formula>NOT(ISERROR(SEARCH("Complete",B23)))</formula>
    </cfRule>
  </conditionalFormatting>
  <conditionalFormatting sqref="B23:B65">
    <cfRule type="containsText" dxfId="506" priority="265" operator="containsText" text="Not applicable">
      <formula>NOT(ISERROR(SEARCH("Not applicable",B23)))</formula>
    </cfRule>
    <cfRule type="containsText" dxfId="505" priority="266" operator="containsText" text="Pending">
      <formula>NOT(ISERROR(SEARCH("Pending",B23)))</formula>
    </cfRule>
    <cfRule type="containsText" dxfId="504" priority="267" operator="containsText" text="Alternative">
      <formula>NOT(ISERROR(SEARCH("Alternative",B23)))</formula>
    </cfRule>
    <cfRule type="containsText" dxfId="503" priority="268" operator="containsText" text="Not Available">
      <formula>NOT(ISERROR(SEARCH("Not Available",B23)))</formula>
    </cfRule>
    <cfRule type="containsText" dxfId="502" priority="269" operator="containsText" text="Incomplete">
      <formula>NOT(ISERROR(SEARCH("Incomplete",B23)))</formula>
    </cfRule>
  </conditionalFormatting>
  <conditionalFormatting sqref="B71:B76">
    <cfRule type="containsText" dxfId="501" priority="264" operator="containsText" text="Complete">
      <formula>NOT(ISERROR(SEARCH("Complete",B71)))</formula>
    </cfRule>
  </conditionalFormatting>
  <conditionalFormatting sqref="B71:B76">
    <cfRule type="containsText" dxfId="500" priority="259" operator="containsText" text="Not applicable">
      <formula>NOT(ISERROR(SEARCH("Not applicable",B71)))</formula>
    </cfRule>
    <cfRule type="containsText" dxfId="499" priority="260" operator="containsText" text="Pending">
      <formula>NOT(ISERROR(SEARCH("Pending",B71)))</formula>
    </cfRule>
    <cfRule type="containsText" dxfId="498" priority="261" operator="containsText" text="Alternative">
      <formula>NOT(ISERROR(SEARCH("Alternative",B71)))</formula>
    </cfRule>
    <cfRule type="containsText" dxfId="497" priority="262" operator="containsText" text="Not Available">
      <formula>NOT(ISERROR(SEARCH("Not Available",B71)))</formula>
    </cfRule>
    <cfRule type="containsText" dxfId="496" priority="263" operator="containsText" text="Incomplete">
      <formula>NOT(ISERROR(SEARCH("Incomplete",B71)))</formula>
    </cfRule>
  </conditionalFormatting>
  <conditionalFormatting sqref="B78:B83">
    <cfRule type="containsText" dxfId="495" priority="258" operator="containsText" text="Complete">
      <formula>NOT(ISERROR(SEARCH("Complete",B78)))</formula>
    </cfRule>
  </conditionalFormatting>
  <conditionalFormatting sqref="B78:B83">
    <cfRule type="containsText" dxfId="494" priority="253" operator="containsText" text="Not applicable">
      <formula>NOT(ISERROR(SEARCH("Not applicable",B78)))</formula>
    </cfRule>
    <cfRule type="containsText" dxfId="493" priority="254" operator="containsText" text="Pending">
      <formula>NOT(ISERROR(SEARCH("Pending",B78)))</formula>
    </cfRule>
    <cfRule type="containsText" dxfId="492" priority="255" operator="containsText" text="Alternative">
      <formula>NOT(ISERROR(SEARCH("Alternative",B78)))</formula>
    </cfRule>
    <cfRule type="containsText" dxfId="491" priority="256" operator="containsText" text="Not Available">
      <formula>NOT(ISERROR(SEARCH("Not Available",B78)))</formula>
    </cfRule>
    <cfRule type="containsText" dxfId="490" priority="257" operator="containsText" text="Incomplete">
      <formula>NOT(ISERROR(SEARCH("Incomplete",B78)))</formula>
    </cfRule>
  </conditionalFormatting>
  <conditionalFormatting sqref="B85:B90">
    <cfRule type="containsText" dxfId="489" priority="252" operator="containsText" text="Complete">
      <formula>NOT(ISERROR(SEARCH("Complete",B85)))</formula>
    </cfRule>
  </conditionalFormatting>
  <conditionalFormatting sqref="B85:B90">
    <cfRule type="containsText" dxfId="488" priority="247" operator="containsText" text="Not applicable">
      <formula>NOT(ISERROR(SEARCH("Not applicable",B85)))</formula>
    </cfRule>
    <cfRule type="containsText" dxfId="487" priority="248" operator="containsText" text="Pending">
      <formula>NOT(ISERROR(SEARCH("Pending",B85)))</formula>
    </cfRule>
    <cfRule type="containsText" dxfId="486" priority="249" operator="containsText" text="Alternative">
      <formula>NOT(ISERROR(SEARCH("Alternative",B85)))</formula>
    </cfRule>
    <cfRule type="containsText" dxfId="485" priority="250" operator="containsText" text="Not Available">
      <formula>NOT(ISERROR(SEARCH("Not Available",B85)))</formula>
    </cfRule>
    <cfRule type="containsText" dxfId="484" priority="251" operator="containsText" text="Incomplete">
      <formula>NOT(ISERROR(SEARCH("Incomplete",B85)))</formula>
    </cfRule>
  </conditionalFormatting>
  <conditionalFormatting sqref="C119">
    <cfRule type="containsText" dxfId="483" priority="242" operator="containsText" text="Alternative">
      <formula>NOT(ISERROR(SEARCH("Alternative",C119)))</formula>
    </cfRule>
    <cfRule type="containsText" dxfId="482" priority="244" operator="containsText" text="Not available">
      <formula>NOT(ISERROR(SEARCH("Not available",C119)))</formula>
    </cfRule>
    <cfRule type="containsText" dxfId="481" priority="245" operator="containsText" text="Incomplete">
      <formula>NOT(ISERROR(SEARCH("Incomplete",C119)))</formula>
    </cfRule>
    <cfRule type="containsText" dxfId="480" priority="246" operator="containsText" text="Complete">
      <formula>NOT(ISERROR(SEARCH("Complete",C119)))</formula>
    </cfRule>
  </conditionalFormatting>
  <conditionalFormatting sqref="B119:C119 B120">
    <cfRule type="containsText" dxfId="479" priority="243" operator="containsText" text="Pending">
      <formula>NOT(ISERROR(SEARCH("Pending",B119)))</formula>
    </cfRule>
  </conditionalFormatting>
  <conditionalFormatting sqref="D119">
    <cfRule type="containsText" dxfId="478" priority="237" operator="containsText" text="Alternative">
      <formula>NOT(ISERROR(SEARCH("Alternative",D119)))</formula>
    </cfRule>
    <cfRule type="containsText" dxfId="477" priority="239" operator="containsText" text="Not available">
      <formula>NOT(ISERROR(SEARCH("Not available",D119)))</formula>
    </cfRule>
    <cfRule type="containsText" dxfId="476" priority="240" operator="containsText" text="Incomplete">
      <formula>NOT(ISERROR(SEARCH("Incomplete",D119)))</formula>
    </cfRule>
    <cfRule type="containsText" dxfId="475" priority="241" operator="containsText" text="Complete">
      <formula>NOT(ISERROR(SEARCH("Complete",D119)))</formula>
    </cfRule>
  </conditionalFormatting>
  <conditionalFormatting sqref="D119">
    <cfRule type="containsText" dxfId="474" priority="238" operator="containsText" text="Pending">
      <formula>NOT(ISERROR(SEARCH("Pending",D119)))</formula>
    </cfRule>
  </conditionalFormatting>
  <conditionalFormatting sqref="B127">
    <cfRule type="containsText" dxfId="473" priority="236" operator="containsText" text="Pending">
      <formula>NOT(ISERROR(SEARCH("Pending",B127)))</formula>
    </cfRule>
  </conditionalFormatting>
  <conditionalFormatting sqref="B121:B126">
    <cfRule type="containsText" dxfId="472" priority="235" operator="containsText" text="Complete">
      <formula>NOT(ISERROR(SEARCH("Complete",B121)))</formula>
    </cfRule>
  </conditionalFormatting>
  <conditionalFormatting sqref="B121:B126">
    <cfRule type="containsText" dxfId="471" priority="230" operator="containsText" text="Not applicable">
      <formula>NOT(ISERROR(SEARCH("Not applicable",B121)))</formula>
    </cfRule>
    <cfRule type="containsText" dxfId="470" priority="231" operator="containsText" text="Pending">
      <formula>NOT(ISERROR(SEARCH("Pending",B121)))</formula>
    </cfRule>
    <cfRule type="containsText" dxfId="469" priority="232" operator="containsText" text="Alternative">
      <formula>NOT(ISERROR(SEARCH("Alternative",B121)))</formula>
    </cfRule>
    <cfRule type="containsText" dxfId="468" priority="233" operator="containsText" text="Not Available">
      <formula>NOT(ISERROR(SEARCH("Not Available",B121)))</formula>
    </cfRule>
    <cfRule type="containsText" dxfId="467" priority="234" operator="containsText" text="Incomplete">
      <formula>NOT(ISERROR(SEARCH("Incomplete",B121)))</formula>
    </cfRule>
  </conditionalFormatting>
  <conditionalFormatting sqref="B128:B133">
    <cfRule type="containsText" dxfId="466" priority="229" operator="containsText" text="Complete">
      <formula>NOT(ISERROR(SEARCH("Complete",B128)))</formula>
    </cfRule>
  </conditionalFormatting>
  <conditionalFormatting sqref="B128:B133">
    <cfRule type="containsText" dxfId="465" priority="224" operator="containsText" text="Not applicable">
      <formula>NOT(ISERROR(SEARCH("Not applicable",B128)))</formula>
    </cfRule>
    <cfRule type="containsText" dxfId="464" priority="225" operator="containsText" text="Pending">
      <formula>NOT(ISERROR(SEARCH("Pending",B128)))</formula>
    </cfRule>
    <cfRule type="containsText" dxfId="463" priority="226" operator="containsText" text="Alternative">
      <formula>NOT(ISERROR(SEARCH("Alternative",B128)))</formula>
    </cfRule>
    <cfRule type="containsText" dxfId="462" priority="227" operator="containsText" text="Not Available">
      <formula>NOT(ISERROR(SEARCH("Not Available",B128)))</formula>
    </cfRule>
    <cfRule type="containsText" dxfId="461" priority="228" operator="containsText" text="Incomplete">
      <formula>NOT(ISERROR(SEARCH("Incomplete",B128)))</formula>
    </cfRule>
  </conditionalFormatting>
  <conditionalFormatting sqref="B135:B140">
    <cfRule type="containsText" dxfId="460" priority="223" operator="containsText" text="Complete">
      <formula>NOT(ISERROR(SEARCH("Complete",B135)))</formula>
    </cfRule>
  </conditionalFormatting>
  <conditionalFormatting sqref="B135:B140">
    <cfRule type="containsText" dxfId="459" priority="218" operator="containsText" text="Not applicable">
      <formula>NOT(ISERROR(SEARCH("Not applicable",B135)))</formula>
    </cfRule>
    <cfRule type="containsText" dxfId="458" priority="219" operator="containsText" text="Pending">
      <formula>NOT(ISERROR(SEARCH("Pending",B135)))</formula>
    </cfRule>
    <cfRule type="containsText" dxfId="457" priority="220" operator="containsText" text="Alternative">
      <formula>NOT(ISERROR(SEARCH("Alternative",B135)))</formula>
    </cfRule>
    <cfRule type="containsText" dxfId="456" priority="221" operator="containsText" text="Not Available">
      <formula>NOT(ISERROR(SEARCH("Not Available",B135)))</formula>
    </cfRule>
    <cfRule type="containsText" dxfId="455" priority="222" operator="containsText" text="Incomplete">
      <formula>NOT(ISERROR(SEARCH("Incomplete",B135)))</formula>
    </cfRule>
  </conditionalFormatting>
  <conditionalFormatting sqref="C94">
    <cfRule type="containsText" dxfId="454" priority="213" operator="containsText" text="Alternative">
      <formula>NOT(ISERROR(SEARCH("Alternative",C94)))</formula>
    </cfRule>
    <cfRule type="containsText" dxfId="453" priority="215" operator="containsText" text="Not available">
      <formula>NOT(ISERROR(SEARCH("Not available",C94)))</formula>
    </cfRule>
    <cfRule type="containsText" dxfId="452" priority="216" operator="containsText" text="Incomplete">
      <formula>NOT(ISERROR(SEARCH("Incomplete",C94)))</formula>
    </cfRule>
    <cfRule type="containsText" dxfId="451" priority="217" operator="containsText" text="Complete">
      <formula>NOT(ISERROR(SEARCH("Complete",C94)))</formula>
    </cfRule>
  </conditionalFormatting>
  <conditionalFormatting sqref="B94:C94 B95">
    <cfRule type="containsText" dxfId="450" priority="214" operator="containsText" text="Pending">
      <formula>NOT(ISERROR(SEARCH("Pending",B94)))</formula>
    </cfRule>
  </conditionalFormatting>
  <conditionalFormatting sqref="D94">
    <cfRule type="containsText" dxfId="449" priority="208" operator="containsText" text="Alternative">
      <formula>NOT(ISERROR(SEARCH("Alternative",D94)))</formula>
    </cfRule>
    <cfRule type="containsText" dxfId="448" priority="210" operator="containsText" text="Not available">
      <formula>NOT(ISERROR(SEARCH("Not available",D94)))</formula>
    </cfRule>
    <cfRule type="containsText" dxfId="447" priority="211" operator="containsText" text="Incomplete">
      <formula>NOT(ISERROR(SEARCH("Incomplete",D94)))</formula>
    </cfRule>
    <cfRule type="containsText" dxfId="446" priority="212" operator="containsText" text="Complete">
      <formula>NOT(ISERROR(SEARCH("Complete",D94)))</formula>
    </cfRule>
  </conditionalFormatting>
  <conditionalFormatting sqref="D94">
    <cfRule type="containsText" dxfId="445" priority="209" operator="containsText" text="Pending">
      <formula>NOT(ISERROR(SEARCH("Pending",D94)))</formula>
    </cfRule>
  </conditionalFormatting>
  <conditionalFormatting sqref="B102">
    <cfRule type="containsText" dxfId="444" priority="207" operator="containsText" text="Pending">
      <formula>NOT(ISERROR(SEARCH("Pending",B102)))</formula>
    </cfRule>
  </conditionalFormatting>
  <conditionalFormatting sqref="B96:B101">
    <cfRule type="containsText" dxfId="443" priority="206" operator="containsText" text="Complete">
      <formula>NOT(ISERROR(SEARCH("Complete",B96)))</formula>
    </cfRule>
  </conditionalFormatting>
  <conditionalFormatting sqref="B96:B101">
    <cfRule type="containsText" dxfId="442" priority="201" operator="containsText" text="Not applicable">
      <formula>NOT(ISERROR(SEARCH("Not applicable",B96)))</formula>
    </cfRule>
    <cfRule type="containsText" dxfId="441" priority="202" operator="containsText" text="Pending">
      <formula>NOT(ISERROR(SEARCH("Pending",B96)))</formula>
    </cfRule>
    <cfRule type="containsText" dxfId="440" priority="203" operator="containsText" text="Alternative">
      <formula>NOT(ISERROR(SEARCH("Alternative",B96)))</formula>
    </cfRule>
    <cfRule type="containsText" dxfId="439" priority="204" operator="containsText" text="Not Available">
      <formula>NOT(ISERROR(SEARCH("Not Available",B96)))</formula>
    </cfRule>
    <cfRule type="containsText" dxfId="438" priority="205" operator="containsText" text="Incomplete">
      <formula>NOT(ISERROR(SEARCH("Incomplete",B96)))</formula>
    </cfRule>
  </conditionalFormatting>
  <conditionalFormatting sqref="B103:B108">
    <cfRule type="containsText" dxfId="437" priority="200" operator="containsText" text="Complete">
      <formula>NOT(ISERROR(SEARCH("Complete",B103)))</formula>
    </cfRule>
  </conditionalFormatting>
  <conditionalFormatting sqref="B103:B108">
    <cfRule type="containsText" dxfId="436" priority="195" operator="containsText" text="Not applicable">
      <formula>NOT(ISERROR(SEARCH("Not applicable",B103)))</formula>
    </cfRule>
    <cfRule type="containsText" dxfId="435" priority="196" operator="containsText" text="Pending">
      <formula>NOT(ISERROR(SEARCH("Pending",B103)))</formula>
    </cfRule>
    <cfRule type="containsText" dxfId="434" priority="197" operator="containsText" text="Alternative">
      <formula>NOT(ISERROR(SEARCH("Alternative",B103)))</formula>
    </cfRule>
    <cfRule type="containsText" dxfId="433" priority="198" operator="containsText" text="Not Available">
      <formula>NOT(ISERROR(SEARCH("Not Available",B103)))</formula>
    </cfRule>
    <cfRule type="containsText" dxfId="432" priority="199" operator="containsText" text="Incomplete">
      <formula>NOT(ISERROR(SEARCH("Incomplete",B103)))</formula>
    </cfRule>
  </conditionalFormatting>
  <conditionalFormatting sqref="B110:B115">
    <cfRule type="containsText" dxfId="431" priority="194" operator="containsText" text="Complete">
      <formula>NOT(ISERROR(SEARCH("Complete",B110)))</formula>
    </cfRule>
  </conditionalFormatting>
  <conditionalFormatting sqref="B110:B115">
    <cfRule type="containsText" dxfId="430" priority="189" operator="containsText" text="Not applicable">
      <formula>NOT(ISERROR(SEARCH("Not applicable",B110)))</formula>
    </cfRule>
    <cfRule type="containsText" dxfId="429" priority="190" operator="containsText" text="Pending">
      <formula>NOT(ISERROR(SEARCH("Pending",B110)))</formula>
    </cfRule>
    <cfRule type="containsText" dxfId="428" priority="191" operator="containsText" text="Alternative">
      <formula>NOT(ISERROR(SEARCH("Alternative",B110)))</formula>
    </cfRule>
    <cfRule type="containsText" dxfId="427" priority="192" operator="containsText" text="Not Available">
      <formula>NOT(ISERROR(SEARCH("Not Available",B110)))</formula>
    </cfRule>
    <cfRule type="containsText" dxfId="426" priority="193" operator="containsText" text="Incomplete">
      <formula>NOT(ISERROR(SEARCH("Incomplete",B110)))</formula>
    </cfRule>
  </conditionalFormatting>
  <conditionalFormatting sqref="O69">
    <cfRule type="containsText" dxfId="425" priority="184" operator="containsText" text="Alternative">
      <formula>NOT(ISERROR(SEARCH("Alternative",O69)))</formula>
    </cfRule>
    <cfRule type="containsText" dxfId="424" priority="186" operator="containsText" text="Not available">
      <formula>NOT(ISERROR(SEARCH("Not available",O69)))</formula>
    </cfRule>
    <cfRule type="containsText" dxfId="423" priority="187" operator="containsText" text="Incomplete">
      <formula>NOT(ISERROR(SEARCH("Incomplete",O69)))</formula>
    </cfRule>
    <cfRule type="containsText" dxfId="422" priority="188" operator="containsText" text="Complete">
      <formula>NOT(ISERROR(SEARCH("Complete",O69)))</formula>
    </cfRule>
  </conditionalFormatting>
  <conditionalFormatting sqref="N69:O69 N70">
    <cfRule type="containsText" dxfId="421" priority="185" operator="containsText" text="Pending">
      <formula>NOT(ISERROR(SEARCH("Pending",N69)))</formula>
    </cfRule>
  </conditionalFormatting>
  <conditionalFormatting sqref="P69">
    <cfRule type="containsText" dxfId="420" priority="179" operator="containsText" text="Alternative">
      <formula>NOT(ISERROR(SEARCH("Alternative",P69)))</formula>
    </cfRule>
    <cfRule type="containsText" dxfId="419" priority="181" operator="containsText" text="Not available">
      <formula>NOT(ISERROR(SEARCH("Not available",P69)))</formula>
    </cfRule>
    <cfRule type="containsText" dxfId="418" priority="182" operator="containsText" text="Incomplete">
      <formula>NOT(ISERROR(SEARCH("Incomplete",P69)))</formula>
    </cfRule>
    <cfRule type="containsText" dxfId="417" priority="183" operator="containsText" text="Complete">
      <formula>NOT(ISERROR(SEARCH("Complete",P69)))</formula>
    </cfRule>
  </conditionalFormatting>
  <conditionalFormatting sqref="P69">
    <cfRule type="containsText" dxfId="416" priority="180" operator="containsText" text="Pending">
      <formula>NOT(ISERROR(SEARCH("Pending",P69)))</formula>
    </cfRule>
  </conditionalFormatting>
  <conditionalFormatting sqref="N77">
    <cfRule type="containsText" dxfId="415" priority="178" operator="containsText" text="Pending">
      <formula>NOT(ISERROR(SEARCH("Pending",N77)))</formula>
    </cfRule>
  </conditionalFormatting>
  <conditionalFormatting sqref="N84">
    <cfRule type="containsText" dxfId="414" priority="177" operator="containsText" text="Pending">
      <formula>NOT(ISERROR(SEARCH("Pending",N84)))</formula>
    </cfRule>
  </conditionalFormatting>
  <conditionalFormatting sqref="N71:N76">
    <cfRule type="containsText" dxfId="413" priority="176" operator="containsText" text="Complete">
      <formula>NOT(ISERROR(SEARCH("Complete",N71)))</formula>
    </cfRule>
  </conditionalFormatting>
  <conditionalFormatting sqref="N71:N76">
    <cfRule type="containsText" dxfId="412" priority="171" operator="containsText" text="Not applicable">
      <formula>NOT(ISERROR(SEARCH("Not applicable",N71)))</formula>
    </cfRule>
    <cfRule type="containsText" dxfId="411" priority="172" operator="containsText" text="Pending">
      <formula>NOT(ISERROR(SEARCH("Pending",N71)))</formula>
    </cfRule>
    <cfRule type="containsText" dxfId="410" priority="173" operator="containsText" text="Alternative">
      <formula>NOT(ISERROR(SEARCH("Alternative",N71)))</formula>
    </cfRule>
    <cfRule type="containsText" dxfId="409" priority="174" operator="containsText" text="Not Available">
      <formula>NOT(ISERROR(SEARCH("Not Available",N71)))</formula>
    </cfRule>
    <cfRule type="containsText" dxfId="408" priority="175" operator="containsText" text="Incomplete">
      <formula>NOT(ISERROR(SEARCH("Incomplete",N71)))</formula>
    </cfRule>
  </conditionalFormatting>
  <conditionalFormatting sqref="N78:N83">
    <cfRule type="containsText" dxfId="407" priority="170" operator="containsText" text="Complete">
      <formula>NOT(ISERROR(SEARCH("Complete",N78)))</formula>
    </cfRule>
  </conditionalFormatting>
  <conditionalFormatting sqref="N78:N83">
    <cfRule type="containsText" dxfId="406" priority="165" operator="containsText" text="Not applicable">
      <formula>NOT(ISERROR(SEARCH("Not applicable",N78)))</formula>
    </cfRule>
    <cfRule type="containsText" dxfId="405" priority="166" operator="containsText" text="Pending">
      <formula>NOT(ISERROR(SEARCH("Pending",N78)))</formula>
    </cfRule>
    <cfRule type="containsText" dxfId="404" priority="167" operator="containsText" text="Alternative">
      <formula>NOT(ISERROR(SEARCH("Alternative",N78)))</formula>
    </cfRule>
    <cfRule type="containsText" dxfId="403" priority="168" operator="containsText" text="Not Available">
      <formula>NOT(ISERROR(SEARCH("Not Available",N78)))</formula>
    </cfRule>
    <cfRule type="containsText" dxfId="402" priority="169" operator="containsText" text="Incomplete">
      <formula>NOT(ISERROR(SEARCH("Incomplete",N78)))</formula>
    </cfRule>
  </conditionalFormatting>
  <conditionalFormatting sqref="N85:N90">
    <cfRule type="containsText" dxfId="401" priority="164" operator="containsText" text="Complete">
      <formula>NOT(ISERROR(SEARCH("Complete",N85)))</formula>
    </cfRule>
  </conditionalFormatting>
  <conditionalFormatting sqref="N85:N90">
    <cfRule type="containsText" dxfId="400" priority="159" operator="containsText" text="Not applicable">
      <formula>NOT(ISERROR(SEARCH("Not applicable",N85)))</formula>
    </cfRule>
    <cfRule type="containsText" dxfId="399" priority="160" operator="containsText" text="Pending">
      <formula>NOT(ISERROR(SEARCH("Pending",N85)))</formula>
    </cfRule>
    <cfRule type="containsText" dxfId="398" priority="161" operator="containsText" text="Alternative">
      <formula>NOT(ISERROR(SEARCH("Alternative",N85)))</formula>
    </cfRule>
    <cfRule type="containsText" dxfId="397" priority="162" operator="containsText" text="Not Available">
      <formula>NOT(ISERROR(SEARCH("Not Available",N85)))</formula>
    </cfRule>
    <cfRule type="containsText" dxfId="396" priority="163" operator="containsText" text="Incomplete">
      <formula>NOT(ISERROR(SEARCH("Incomplete",N85)))</formula>
    </cfRule>
  </conditionalFormatting>
  <conditionalFormatting sqref="V6">
    <cfRule type="containsText" dxfId="395" priority="158" operator="containsText" text="Pending">
      <formula>NOT(ISERROR(SEARCH("Pending",V6)))</formula>
    </cfRule>
  </conditionalFormatting>
  <conditionalFormatting sqref="W6">
    <cfRule type="containsText" dxfId="394" priority="153" operator="containsText" text="Alternative">
      <formula>NOT(ISERROR(SEARCH("Alternative",W6)))</formula>
    </cfRule>
    <cfRule type="containsText" dxfId="393" priority="155" operator="containsText" text="Not available">
      <formula>NOT(ISERROR(SEARCH("Not available",W6)))</formula>
    </cfRule>
    <cfRule type="containsText" dxfId="392" priority="156" operator="containsText" text="Incomplete">
      <formula>NOT(ISERROR(SEARCH("Incomplete",W6)))</formula>
    </cfRule>
    <cfRule type="containsText" dxfId="391" priority="157" operator="containsText" text="Complete">
      <formula>NOT(ISERROR(SEARCH("Complete",W6)))</formula>
    </cfRule>
  </conditionalFormatting>
  <conditionalFormatting sqref="W6">
    <cfRule type="containsText" dxfId="390" priority="154" operator="containsText" text="Pending">
      <formula>NOT(ISERROR(SEARCH("Pending",W6)))</formula>
    </cfRule>
  </conditionalFormatting>
  <conditionalFormatting sqref="B109">
    <cfRule type="containsText" dxfId="389" priority="152" operator="containsText" text="Pending">
      <formula>NOT(ISERROR(SEARCH("Pending",B109)))</formula>
    </cfRule>
  </conditionalFormatting>
  <conditionalFormatting sqref="B134">
    <cfRule type="containsText" dxfId="388" priority="151" operator="containsText" text="Pending">
      <formula>NOT(ISERROR(SEARCH("Pending",B134)))</formula>
    </cfRule>
  </conditionalFormatting>
  <conditionalFormatting sqref="C144">
    <cfRule type="containsText" dxfId="387" priority="146" operator="containsText" text="Alternative">
      <formula>NOT(ISERROR(SEARCH("Alternative",C144)))</formula>
    </cfRule>
    <cfRule type="containsText" dxfId="386" priority="148" operator="containsText" text="Not available">
      <formula>NOT(ISERROR(SEARCH("Not available",C144)))</formula>
    </cfRule>
    <cfRule type="containsText" dxfId="385" priority="149" operator="containsText" text="Incomplete">
      <formula>NOT(ISERROR(SEARCH("Incomplete",C144)))</formula>
    </cfRule>
    <cfRule type="containsText" dxfId="384" priority="150" operator="containsText" text="Complete">
      <formula>NOT(ISERROR(SEARCH("Complete",C144)))</formula>
    </cfRule>
  </conditionalFormatting>
  <conditionalFormatting sqref="B144:C144 B145">
    <cfRule type="containsText" dxfId="383" priority="147" operator="containsText" text="Pending">
      <formula>NOT(ISERROR(SEARCH("Pending",B144)))</formula>
    </cfRule>
  </conditionalFormatting>
  <conditionalFormatting sqref="D144">
    <cfRule type="containsText" dxfId="382" priority="141" operator="containsText" text="Alternative">
      <formula>NOT(ISERROR(SEARCH("Alternative",D144)))</formula>
    </cfRule>
    <cfRule type="containsText" dxfId="381" priority="143" operator="containsText" text="Not available">
      <formula>NOT(ISERROR(SEARCH("Not available",D144)))</formula>
    </cfRule>
    <cfRule type="containsText" dxfId="380" priority="144" operator="containsText" text="Incomplete">
      <formula>NOT(ISERROR(SEARCH("Incomplete",D144)))</formula>
    </cfRule>
    <cfRule type="containsText" dxfId="379" priority="145" operator="containsText" text="Complete">
      <formula>NOT(ISERROR(SEARCH("Complete",D144)))</formula>
    </cfRule>
  </conditionalFormatting>
  <conditionalFormatting sqref="D144">
    <cfRule type="containsText" dxfId="378" priority="142" operator="containsText" text="Pending">
      <formula>NOT(ISERROR(SEARCH("Pending",D144)))</formula>
    </cfRule>
  </conditionalFormatting>
  <conditionalFormatting sqref="B152">
    <cfRule type="containsText" dxfId="377" priority="140" operator="containsText" text="Pending">
      <formula>NOT(ISERROR(SEARCH("Pending",B152)))</formula>
    </cfRule>
  </conditionalFormatting>
  <conditionalFormatting sqref="B146:B151">
    <cfRule type="containsText" dxfId="376" priority="139" operator="containsText" text="Complete">
      <formula>NOT(ISERROR(SEARCH("Complete",B146)))</formula>
    </cfRule>
  </conditionalFormatting>
  <conditionalFormatting sqref="B146:B151">
    <cfRule type="containsText" dxfId="375" priority="134" operator="containsText" text="Not applicable">
      <formula>NOT(ISERROR(SEARCH("Not applicable",B146)))</formula>
    </cfRule>
    <cfRule type="containsText" dxfId="374" priority="135" operator="containsText" text="Pending">
      <formula>NOT(ISERROR(SEARCH("Pending",B146)))</formula>
    </cfRule>
    <cfRule type="containsText" dxfId="373" priority="136" operator="containsText" text="Alternative">
      <formula>NOT(ISERROR(SEARCH("Alternative",B146)))</formula>
    </cfRule>
    <cfRule type="containsText" dxfId="372" priority="137" operator="containsText" text="Not Available">
      <formula>NOT(ISERROR(SEARCH("Not Available",B146)))</formula>
    </cfRule>
    <cfRule type="containsText" dxfId="371" priority="138" operator="containsText" text="Incomplete">
      <formula>NOT(ISERROR(SEARCH("Incomplete",B146)))</formula>
    </cfRule>
  </conditionalFormatting>
  <conditionalFormatting sqref="B153:B158">
    <cfRule type="containsText" dxfId="370" priority="133" operator="containsText" text="Complete">
      <formula>NOT(ISERROR(SEARCH("Complete",B153)))</formula>
    </cfRule>
  </conditionalFormatting>
  <conditionalFormatting sqref="B153:B158">
    <cfRule type="containsText" dxfId="369" priority="128" operator="containsText" text="Not applicable">
      <formula>NOT(ISERROR(SEARCH("Not applicable",B153)))</formula>
    </cfRule>
    <cfRule type="containsText" dxfId="368" priority="129" operator="containsText" text="Pending">
      <formula>NOT(ISERROR(SEARCH("Pending",B153)))</formula>
    </cfRule>
    <cfRule type="containsText" dxfId="367" priority="130" operator="containsText" text="Alternative">
      <formula>NOT(ISERROR(SEARCH("Alternative",B153)))</formula>
    </cfRule>
    <cfRule type="containsText" dxfId="366" priority="131" operator="containsText" text="Not Available">
      <formula>NOT(ISERROR(SEARCH("Not Available",B153)))</formula>
    </cfRule>
    <cfRule type="containsText" dxfId="365" priority="132" operator="containsText" text="Incomplete">
      <formula>NOT(ISERROR(SEARCH("Incomplete",B153)))</formula>
    </cfRule>
  </conditionalFormatting>
  <conditionalFormatting sqref="B160:B165">
    <cfRule type="containsText" dxfId="364" priority="127" operator="containsText" text="Complete">
      <formula>NOT(ISERROR(SEARCH("Complete",B160)))</formula>
    </cfRule>
  </conditionalFormatting>
  <conditionalFormatting sqref="B160:B165">
    <cfRule type="containsText" dxfId="363" priority="122" operator="containsText" text="Not applicable">
      <formula>NOT(ISERROR(SEARCH("Not applicable",B160)))</formula>
    </cfRule>
    <cfRule type="containsText" dxfId="362" priority="123" operator="containsText" text="Pending">
      <formula>NOT(ISERROR(SEARCH("Pending",B160)))</formula>
    </cfRule>
    <cfRule type="containsText" dxfId="361" priority="124" operator="containsText" text="Alternative">
      <formula>NOT(ISERROR(SEARCH("Alternative",B160)))</formula>
    </cfRule>
    <cfRule type="containsText" dxfId="360" priority="125" operator="containsText" text="Not Available">
      <formula>NOT(ISERROR(SEARCH("Not Available",B160)))</formula>
    </cfRule>
    <cfRule type="containsText" dxfId="359" priority="126" operator="containsText" text="Incomplete">
      <formula>NOT(ISERROR(SEARCH("Incomplete",B160)))</formula>
    </cfRule>
  </conditionalFormatting>
  <conditionalFormatting sqref="B159">
    <cfRule type="containsText" dxfId="358" priority="121" operator="containsText" text="Pending">
      <formula>NOT(ISERROR(SEARCH("Pending",B159)))</formula>
    </cfRule>
  </conditionalFormatting>
  <conditionalFormatting sqref="C169">
    <cfRule type="containsText" dxfId="357" priority="26" operator="containsText" text="Alternative">
      <formula>NOT(ISERROR(SEARCH("Alternative",C169)))</formula>
    </cfRule>
    <cfRule type="containsText" dxfId="356" priority="28" operator="containsText" text="Not available">
      <formula>NOT(ISERROR(SEARCH("Not available",C169)))</formula>
    </cfRule>
    <cfRule type="containsText" dxfId="355" priority="29" operator="containsText" text="Incomplete">
      <formula>NOT(ISERROR(SEARCH("Incomplete",C169)))</formula>
    </cfRule>
    <cfRule type="containsText" dxfId="354" priority="30" operator="containsText" text="Complete">
      <formula>NOT(ISERROR(SEARCH("Complete",C169)))</formula>
    </cfRule>
  </conditionalFormatting>
  <conditionalFormatting sqref="B169:C169 B170">
    <cfRule type="containsText" dxfId="353" priority="27" operator="containsText" text="Pending">
      <formula>NOT(ISERROR(SEARCH("Pending",B169)))</formula>
    </cfRule>
  </conditionalFormatting>
  <conditionalFormatting sqref="D169">
    <cfRule type="containsText" dxfId="352" priority="21" operator="containsText" text="Alternative">
      <formula>NOT(ISERROR(SEARCH("Alternative",D169)))</formula>
    </cfRule>
    <cfRule type="containsText" dxfId="351" priority="23" operator="containsText" text="Not available">
      <formula>NOT(ISERROR(SEARCH("Not available",D169)))</formula>
    </cfRule>
    <cfRule type="containsText" dxfId="350" priority="24" operator="containsText" text="Incomplete">
      <formula>NOT(ISERROR(SEARCH("Incomplete",D169)))</formula>
    </cfRule>
    <cfRule type="containsText" dxfId="349" priority="25" operator="containsText" text="Complete">
      <formula>NOT(ISERROR(SEARCH("Complete",D169)))</formula>
    </cfRule>
  </conditionalFormatting>
  <conditionalFormatting sqref="D169">
    <cfRule type="containsText" dxfId="348" priority="22" operator="containsText" text="Pending">
      <formula>NOT(ISERROR(SEARCH("Pending",D169)))</formula>
    </cfRule>
  </conditionalFormatting>
  <conditionalFormatting sqref="B177">
    <cfRule type="containsText" dxfId="347" priority="20" operator="containsText" text="Pending">
      <formula>NOT(ISERROR(SEARCH("Pending",B177)))</formula>
    </cfRule>
  </conditionalFormatting>
  <conditionalFormatting sqref="B171:B176">
    <cfRule type="containsText" dxfId="346" priority="19" operator="containsText" text="Complete">
      <formula>NOT(ISERROR(SEARCH("Complete",B171)))</formula>
    </cfRule>
  </conditionalFormatting>
  <conditionalFormatting sqref="B171:B176">
    <cfRule type="containsText" dxfId="345" priority="14" operator="containsText" text="Not applicable">
      <formula>NOT(ISERROR(SEARCH("Not applicable",B171)))</formula>
    </cfRule>
    <cfRule type="containsText" dxfId="344" priority="15" operator="containsText" text="Pending">
      <formula>NOT(ISERROR(SEARCH("Pending",B171)))</formula>
    </cfRule>
    <cfRule type="containsText" dxfId="343" priority="16" operator="containsText" text="Alternative">
      <formula>NOT(ISERROR(SEARCH("Alternative",B171)))</formula>
    </cfRule>
    <cfRule type="containsText" dxfId="342" priority="17" operator="containsText" text="Not Available">
      <formula>NOT(ISERROR(SEARCH("Not Available",B171)))</formula>
    </cfRule>
    <cfRule type="containsText" dxfId="341" priority="18" operator="containsText" text="Incomplete">
      <formula>NOT(ISERROR(SEARCH("Incomplete",B171)))</formula>
    </cfRule>
  </conditionalFormatting>
  <conditionalFormatting sqref="B178:B183">
    <cfRule type="containsText" dxfId="340" priority="13" operator="containsText" text="Complete">
      <formula>NOT(ISERROR(SEARCH("Complete",B178)))</formula>
    </cfRule>
  </conditionalFormatting>
  <conditionalFormatting sqref="B178:B183">
    <cfRule type="containsText" dxfId="339" priority="8" operator="containsText" text="Not applicable">
      <formula>NOT(ISERROR(SEARCH("Not applicable",B178)))</formula>
    </cfRule>
    <cfRule type="containsText" dxfId="338" priority="9" operator="containsText" text="Pending">
      <formula>NOT(ISERROR(SEARCH("Pending",B178)))</formula>
    </cfRule>
    <cfRule type="containsText" dxfId="337" priority="10" operator="containsText" text="Alternative">
      <formula>NOT(ISERROR(SEARCH("Alternative",B178)))</formula>
    </cfRule>
    <cfRule type="containsText" dxfId="336" priority="11" operator="containsText" text="Not Available">
      <formula>NOT(ISERROR(SEARCH("Not Available",B178)))</formula>
    </cfRule>
    <cfRule type="containsText" dxfId="335" priority="12" operator="containsText" text="Incomplete">
      <formula>NOT(ISERROR(SEARCH("Incomplete",B178)))</formula>
    </cfRule>
  </conditionalFormatting>
  <conditionalFormatting sqref="B185:B190">
    <cfRule type="containsText" dxfId="334" priority="7" operator="containsText" text="Complete">
      <formula>NOT(ISERROR(SEARCH("Complete",B185)))</formula>
    </cfRule>
  </conditionalFormatting>
  <conditionalFormatting sqref="B185:B190">
    <cfRule type="containsText" dxfId="333" priority="2" operator="containsText" text="Not applicable">
      <formula>NOT(ISERROR(SEARCH("Not applicable",B185)))</formula>
    </cfRule>
    <cfRule type="containsText" dxfId="332" priority="3" operator="containsText" text="Pending">
      <formula>NOT(ISERROR(SEARCH("Pending",B185)))</formula>
    </cfRule>
    <cfRule type="containsText" dxfId="331" priority="4" operator="containsText" text="Alternative">
      <formula>NOT(ISERROR(SEARCH("Alternative",B185)))</formula>
    </cfRule>
    <cfRule type="containsText" dxfId="330" priority="5" operator="containsText" text="Not Available">
      <formula>NOT(ISERROR(SEARCH("Not Available",B185)))</formula>
    </cfRule>
    <cfRule type="containsText" dxfId="329" priority="6" operator="containsText" text="Incomplete">
      <formula>NOT(ISERROR(SEARCH("Incomplete",B185)))</formula>
    </cfRule>
  </conditionalFormatting>
  <conditionalFormatting sqref="B184">
    <cfRule type="containsText" dxfId="328" priority="1" operator="containsText" text="Pending">
      <formula>NOT(ISERROR(SEARCH("Pending",B184)))</formula>
    </cfRule>
  </conditionalFormatting>
  <pageMargins left="0.7" right="0.7" top="0.75" bottom="0.75" header="0.3" footer="0.3"/>
  <pageSetup paperSize="9" scale="43"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30A1-AA4D-4DD2-A83E-A49D372AE121}">
  <sheetPr codeName="Sheet8">
    <tabColor rgb="FFFF0000"/>
  </sheetPr>
  <dimension ref="A1:AG107"/>
  <sheetViews>
    <sheetView showGridLines="0" zoomScale="55" zoomScaleNormal="55" zoomScalePageLayoutView="80" workbookViewId="0">
      <selection activeCell="F108" sqref="F108"/>
    </sheetView>
  </sheetViews>
  <sheetFormatPr baseColWidth="10" defaultColWidth="11" defaultRowHeight="16"/>
  <cols>
    <col min="1" max="1" width="4.6640625" style="35" customWidth="1"/>
    <col min="2" max="4" width="18.6640625" style="35" customWidth="1"/>
    <col min="5" max="5" width="4.6640625" style="35" customWidth="1"/>
    <col min="6" max="8" width="18.6640625" style="35" customWidth="1"/>
    <col min="9" max="9" width="4.6640625" style="35" customWidth="1"/>
    <col min="10" max="12" width="18.6640625" style="35" customWidth="1"/>
    <col min="13" max="13" width="4.6640625" style="35" customWidth="1"/>
    <col min="14" max="16" width="18.6640625" style="35" customWidth="1"/>
    <col min="17" max="16384" width="11" style="35"/>
  </cols>
  <sheetData>
    <row r="1" spans="1:33" s="1058" customFormat="1" ht="75.5" customHeight="1">
      <c r="A1" s="1056"/>
      <c r="B1" s="1057"/>
      <c r="E1" s="1059"/>
      <c r="F1" s="1060"/>
      <c r="G1" s="1059"/>
      <c r="H1" s="1059"/>
      <c r="J1" s="1059"/>
      <c r="U1" s="1061"/>
      <c r="AG1" s="1061"/>
    </row>
    <row r="2" spans="1:33" s="33" customFormat="1" ht="33" customHeight="1" thickBot="1">
      <c r="A2" s="1076"/>
      <c r="B2" s="1062" t="s">
        <v>68</v>
      </c>
      <c r="D2" s="34"/>
      <c r="G2" s="1683" t="s">
        <v>459</v>
      </c>
      <c r="H2" s="1683"/>
      <c r="I2" s="1683"/>
      <c r="J2" s="1683"/>
      <c r="K2" s="1683"/>
      <c r="L2" s="1683"/>
      <c r="M2" s="1076"/>
      <c r="P2" s="1076"/>
    </row>
    <row r="3" spans="1:33">
      <c r="A3" s="120"/>
      <c r="B3" s="121"/>
      <c r="C3" s="121"/>
      <c r="D3" s="121"/>
      <c r="E3" s="121"/>
      <c r="F3" s="121"/>
      <c r="G3" s="121"/>
      <c r="H3" s="121"/>
      <c r="I3" s="121"/>
      <c r="J3" s="121"/>
      <c r="K3" s="121"/>
      <c r="L3" s="122"/>
    </row>
    <row r="4" spans="1:33">
      <c r="A4" s="123"/>
      <c r="L4" s="124"/>
    </row>
    <row r="5" spans="1:33" ht="42" customHeight="1">
      <c r="A5" s="123"/>
      <c r="B5" s="1684" t="s">
        <v>1230</v>
      </c>
      <c r="C5" s="1684"/>
      <c r="D5" s="1684"/>
      <c r="L5" s="124"/>
    </row>
    <row r="6" spans="1:33">
      <c r="A6" s="123"/>
      <c r="L6" s="124"/>
    </row>
    <row r="7" spans="1:33">
      <c r="A7" s="123"/>
      <c r="B7" s="1063" t="s">
        <v>0</v>
      </c>
      <c r="C7" s="1065" t="s">
        <v>20</v>
      </c>
      <c r="D7" s="1066" t="s">
        <v>17</v>
      </c>
      <c r="L7" s="124"/>
    </row>
    <row r="8" spans="1:33">
      <c r="A8" s="123"/>
      <c r="B8" s="1077" t="s">
        <v>18</v>
      </c>
      <c r="C8" s="1078"/>
      <c r="D8" s="1079"/>
      <c r="L8" s="124"/>
    </row>
    <row r="9" spans="1:33">
      <c r="A9" s="123"/>
      <c r="B9" s="1080" t="s">
        <v>41</v>
      </c>
      <c r="C9" s="1069" t="e">
        <f>SUM(C35,C50,C65,C80,C95,#REF!,#REF!)</f>
        <v>#REF!</v>
      </c>
      <c r="D9" s="1069" t="e">
        <f>SUM(D35,D50,D65,D80,D95,#REF!,#REF!)/7</f>
        <v>#REF!</v>
      </c>
      <c r="L9" s="124"/>
    </row>
    <row r="10" spans="1:33">
      <c r="A10" s="123"/>
      <c r="B10" s="1080" t="s">
        <v>42</v>
      </c>
      <c r="C10" s="1069" t="e">
        <f>SUM(C36,C51,C66,C81,C96,#REF!,#REF!)</f>
        <v>#REF!</v>
      </c>
      <c r="D10" s="1069" t="e">
        <f>SUM(D36,D51,D66,D81,D96,#REF!,#REF!)/7</f>
        <v>#REF!</v>
      </c>
      <c r="L10" s="124"/>
    </row>
    <row r="11" spans="1:33">
      <c r="A11" s="123"/>
      <c r="B11" s="1080" t="s">
        <v>43</v>
      </c>
      <c r="C11" s="1069" t="e">
        <f>SUM(C37,C52,C67,C82,C97,#REF!,#REF!)</f>
        <v>#REF!</v>
      </c>
      <c r="D11" s="1069" t="e">
        <f>SUM(D37,D52,D67,D82,D97,#REF!,#REF!)/7</f>
        <v>#REF!</v>
      </c>
      <c r="L11" s="124"/>
    </row>
    <row r="12" spans="1:33">
      <c r="A12" s="123"/>
      <c r="B12" s="1080" t="s">
        <v>44</v>
      </c>
      <c r="C12" s="1069" t="e">
        <f>SUM(C38,C53,C68,C83,C98,#REF!,#REF!)</f>
        <v>#REF!</v>
      </c>
      <c r="D12" s="1069" t="e">
        <f>SUM(D38,D53,D68,D83,D98,#REF!,#REF!)/7</f>
        <v>#REF!</v>
      </c>
      <c r="L12" s="124"/>
    </row>
    <row r="13" spans="1:33">
      <c r="A13" s="123"/>
      <c r="B13" s="1080" t="s">
        <v>65</v>
      </c>
      <c r="C13" s="1069" t="e">
        <f>SUM(C39,C54,C69,C84,C99,#REF!,#REF!)</f>
        <v>#REF!</v>
      </c>
      <c r="D13" s="1069" t="e">
        <f>SUM(D39,D54,D69,D84,D99,#REF!,#REF!)/7</f>
        <v>#REF!</v>
      </c>
      <c r="L13" s="124"/>
    </row>
    <row r="14" spans="1:33">
      <c r="A14" s="123"/>
      <c r="B14" s="1080" t="s">
        <v>45</v>
      </c>
      <c r="C14" s="1069" t="e">
        <f>SUM(C40,C55,C70,C85,C100,#REF!,#REF!)</f>
        <v>#REF!</v>
      </c>
      <c r="D14" s="1069" t="e">
        <f>SUM(D40,D55,D70,D85,D100,#REF!,#REF!)/7</f>
        <v>#REF!</v>
      </c>
      <c r="L14" s="124"/>
    </row>
    <row r="15" spans="1:33">
      <c r="A15" s="123"/>
      <c r="B15" s="1080" t="s">
        <v>46</v>
      </c>
      <c r="C15" s="1069" t="e">
        <f>SUM(C41,C56,C71,C86,C101,#REF!,#REF!)</f>
        <v>#REF!</v>
      </c>
      <c r="D15" s="1069" t="e">
        <f>SUM(D41,D56,D71,D86,D101,#REF!,#REF!)/7</f>
        <v>#REF!</v>
      </c>
      <c r="L15" s="124"/>
    </row>
    <row r="16" spans="1:33">
      <c r="A16" s="123"/>
      <c r="L16" s="124"/>
    </row>
    <row r="17" spans="1:16">
      <c r="A17" s="123"/>
      <c r="L17" s="124"/>
    </row>
    <row r="18" spans="1:16">
      <c r="A18" s="123"/>
      <c r="L18" s="124"/>
    </row>
    <row r="19" spans="1:16">
      <c r="A19" s="123"/>
      <c r="L19" s="124"/>
    </row>
    <row r="20" spans="1:16">
      <c r="A20" s="123"/>
      <c r="L20" s="124"/>
    </row>
    <row r="21" spans="1:16">
      <c r="A21" s="123"/>
      <c r="L21" s="124"/>
    </row>
    <row r="22" spans="1:16">
      <c r="A22" s="123"/>
      <c r="L22" s="124"/>
    </row>
    <row r="23" spans="1:16">
      <c r="A23" s="123"/>
      <c r="L23" s="124"/>
    </row>
    <row r="24" spans="1:16">
      <c r="A24" s="123"/>
      <c r="L24" s="124"/>
    </row>
    <row r="25" spans="1:16">
      <c r="A25" s="123"/>
      <c r="L25" s="124"/>
    </row>
    <row r="26" spans="1:16">
      <c r="A26" s="123"/>
      <c r="L26" s="124"/>
    </row>
    <row r="27" spans="1:16" ht="17" thickBot="1">
      <c r="A27" s="125"/>
      <c r="B27" s="126"/>
      <c r="C27" s="126"/>
      <c r="D27" s="126"/>
      <c r="E27" s="126"/>
      <c r="F27" s="126"/>
      <c r="G27" s="126"/>
      <c r="H27" s="126"/>
      <c r="I27" s="126"/>
      <c r="J27" s="126"/>
      <c r="K27" s="126"/>
      <c r="L27" s="127"/>
    </row>
    <row r="28" spans="1:16">
      <c r="A28" s="120"/>
      <c r="B28" s="121"/>
      <c r="C28" s="121"/>
      <c r="D28" s="121"/>
      <c r="E28" s="121"/>
      <c r="F28" s="121"/>
      <c r="G28" s="121"/>
      <c r="H28" s="121"/>
      <c r="I28" s="121"/>
      <c r="J28" s="121"/>
      <c r="K28" s="121"/>
      <c r="L28" s="122"/>
    </row>
    <row r="29" spans="1:16">
      <c r="A29" s="123"/>
      <c r="L29" s="124"/>
    </row>
    <row r="30" spans="1:16">
      <c r="A30" s="123"/>
      <c r="L30" s="124"/>
    </row>
    <row r="31" spans="1:16">
      <c r="A31" s="123"/>
      <c r="L31" s="124"/>
    </row>
    <row r="32" spans="1:16" ht="21">
      <c r="A32" s="123"/>
      <c r="B32" s="1682" t="s">
        <v>1231</v>
      </c>
      <c r="C32" s="1682"/>
      <c r="D32" s="1682"/>
      <c r="L32" s="124"/>
      <c r="N32" s="1081"/>
      <c r="O32" s="1081"/>
      <c r="P32" s="1081"/>
    </row>
    <row r="33" spans="1:16">
      <c r="A33" s="123"/>
      <c r="B33" s="1063" t="s">
        <v>0</v>
      </c>
      <c r="C33" s="1065" t="s">
        <v>20</v>
      </c>
      <c r="D33" s="1066" t="s">
        <v>17</v>
      </c>
      <c r="L33" s="124"/>
      <c r="N33" s="1074"/>
      <c r="O33" s="1071"/>
      <c r="P33" s="1071"/>
    </row>
    <row r="34" spans="1:16">
      <c r="A34" s="123"/>
      <c r="B34" s="1077" t="s">
        <v>18</v>
      </c>
      <c r="C34" s="1078"/>
      <c r="D34" s="1079"/>
      <c r="L34" s="124"/>
      <c r="N34" s="1082"/>
      <c r="O34" s="1082"/>
      <c r="P34" s="1082"/>
    </row>
    <row r="35" spans="1:16">
      <c r="A35" s="123"/>
      <c r="B35" s="1080" t="s">
        <v>41</v>
      </c>
      <c r="C35" s="1069">
        <f>'5.1 Public Works'!C102</f>
        <v>0</v>
      </c>
      <c r="D35" s="1069">
        <f>'5.1 Public Works'!D102</f>
        <v>0</v>
      </c>
      <c r="L35" s="124"/>
      <c r="N35" s="1083"/>
      <c r="O35" s="37"/>
      <c r="P35" s="37"/>
    </row>
    <row r="36" spans="1:16">
      <c r="A36" s="123"/>
      <c r="B36" s="1080" t="s">
        <v>42</v>
      </c>
      <c r="C36" s="1069">
        <f>'5.1 Public Works'!C103</f>
        <v>0</v>
      </c>
      <c r="D36" s="1069">
        <f>'5.1 Public Works'!D103</f>
        <v>0</v>
      </c>
      <c r="L36" s="124"/>
      <c r="N36" s="1083"/>
      <c r="O36" s="37"/>
      <c r="P36" s="37"/>
    </row>
    <row r="37" spans="1:16">
      <c r="A37" s="123"/>
      <c r="B37" s="1080" t="s">
        <v>43</v>
      </c>
      <c r="C37" s="1069">
        <f>'5.1 Public Works'!C104</f>
        <v>0</v>
      </c>
      <c r="D37" s="1069">
        <f>'5.1 Public Works'!D104</f>
        <v>0</v>
      </c>
      <c r="L37" s="124"/>
      <c r="N37" s="1083"/>
      <c r="O37" s="37"/>
      <c r="P37" s="37"/>
    </row>
    <row r="38" spans="1:16">
      <c r="A38" s="123"/>
      <c r="B38" s="1080" t="s">
        <v>44</v>
      </c>
      <c r="C38" s="1069">
        <f>'5.1 Public Works'!C105</f>
        <v>2</v>
      </c>
      <c r="D38" s="1069">
        <f>'5.1 Public Works'!D105</f>
        <v>16.666666666666668</v>
      </c>
      <c r="L38" s="124"/>
      <c r="N38" s="1083"/>
      <c r="O38" s="37"/>
      <c r="P38" s="37"/>
    </row>
    <row r="39" spans="1:16">
      <c r="A39" s="123"/>
      <c r="B39" s="1080" t="s">
        <v>65</v>
      </c>
      <c r="C39" s="1069">
        <f>'5.1 Public Works'!C106</f>
        <v>0</v>
      </c>
      <c r="D39" s="1069">
        <f>'5.1 Public Works'!D106</f>
        <v>0</v>
      </c>
      <c r="L39" s="124"/>
      <c r="N39" s="1083"/>
      <c r="O39" s="37"/>
      <c r="P39" s="37"/>
    </row>
    <row r="40" spans="1:16">
      <c r="A40" s="123"/>
      <c r="B40" s="1080" t="s">
        <v>45</v>
      </c>
      <c r="C40" s="1069">
        <f>'5.1 Public Works'!C107</f>
        <v>0</v>
      </c>
      <c r="D40" s="1069">
        <f>'5.1 Public Works'!D107</f>
        <v>0</v>
      </c>
      <c r="L40" s="124"/>
      <c r="N40" s="1083"/>
      <c r="O40" s="37"/>
      <c r="P40" s="37"/>
    </row>
    <row r="41" spans="1:16">
      <c r="A41" s="123"/>
      <c r="B41" s="1080" t="s">
        <v>46</v>
      </c>
      <c r="C41" s="1069">
        <f>'5.1 Public Works'!C108</f>
        <v>0</v>
      </c>
      <c r="D41" s="1069">
        <f>'5.1 Public Works'!D108</f>
        <v>0</v>
      </c>
      <c r="L41" s="124"/>
      <c r="N41" s="1083"/>
      <c r="O41" s="37"/>
      <c r="P41" s="37"/>
    </row>
    <row r="42" spans="1:16">
      <c r="A42" s="123"/>
      <c r="L42" s="124"/>
    </row>
    <row r="43" spans="1:16">
      <c r="A43" s="123"/>
      <c r="L43" s="124"/>
    </row>
    <row r="44" spans="1:16">
      <c r="A44" s="123"/>
      <c r="L44" s="124"/>
    </row>
    <row r="45" spans="1:16">
      <c r="A45" s="123"/>
      <c r="L45" s="124"/>
    </row>
    <row r="46" spans="1:16">
      <c r="A46" s="123"/>
      <c r="L46" s="124"/>
    </row>
    <row r="47" spans="1:16" ht="21">
      <c r="A47" s="123"/>
      <c r="B47" s="1682" t="s">
        <v>1234</v>
      </c>
      <c r="C47" s="1682"/>
      <c r="D47" s="1682"/>
      <c r="L47" s="124"/>
    </row>
    <row r="48" spans="1:16">
      <c r="A48" s="123"/>
      <c r="B48" s="1063" t="s">
        <v>0</v>
      </c>
      <c r="C48" s="1065" t="s">
        <v>20</v>
      </c>
      <c r="D48" s="1066" t="s">
        <v>17</v>
      </c>
      <c r="L48" s="124"/>
    </row>
    <row r="49" spans="1:12">
      <c r="A49" s="123"/>
      <c r="B49" s="1077" t="s">
        <v>18</v>
      </c>
      <c r="C49" s="1078"/>
      <c r="D49" s="1079"/>
      <c r="L49" s="124"/>
    </row>
    <row r="50" spans="1:12">
      <c r="A50" s="123"/>
      <c r="B50" s="1080" t="s">
        <v>41</v>
      </c>
      <c r="C50" s="1069">
        <f>'5.2 Permits, Monitoring and Ins'!C156</f>
        <v>0</v>
      </c>
      <c r="D50" s="1069">
        <f>'5.2 Permits, Monitoring and Ins'!D156</f>
        <v>0</v>
      </c>
      <c r="L50" s="124"/>
    </row>
    <row r="51" spans="1:12">
      <c r="A51" s="123"/>
      <c r="B51" s="1080" t="s">
        <v>42</v>
      </c>
      <c r="C51" s="1069">
        <f>'5.2 Permits, Monitoring and Ins'!C157</f>
        <v>0</v>
      </c>
      <c r="D51" s="1069">
        <f>'5.2 Permits, Monitoring and Ins'!D157</f>
        <v>0</v>
      </c>
      <c r="L51" s="124"/>
    </row>
    <row r="52" spans="1:12">
      <c r="A52" s="123"/>
      <c r="B52" s="1080" t="s">
        <v>43</v>
      </c>
      <c r="C52" s="1069">
        <f>'5.2 Permits, Monitoring and Ins'!C158</f>
        <v>0</v>
      </c>
      <c r="D52" s="1069">
        <f>'5.2 Permits, Monitoring and Ins'!D158</f>
        <v>0</v>
      </c>
      <c r="L52" s="124"/>
    </row>
    <row r="53" spans="1:12">
      <c r="A53" s="123"/>
      <c r="B53" s="1080" t="s">
        <v>44</v>
      </c>
      <c r="C53" s="1069">
        <f>'5.2 Permits, Monitoring and Ins'!C159</f>
        <v>1</v>
      </c>
      <c r="D53" s="1069">
        <f>'5.2 Permits, Monitoring and Ins'!D159</f>
        <v>4.166666666666667</v>
      </c>
      <c r="L53" s="124"/>
    </row>
    <row r="54" spans="1:12">
      <c r="A54" s="123"/>
      <c r="B54" s="1080" t="s">
        <v>65</v>
      </c>
      <c r="C54" s="1069">
        <f>'5.2 Permits, Monitoring and Ins'!C160</f>
        <v>0</v>
      </c>
      <c r="D54" s="1069">
        <f>'5.2 Permits, Monitoring and Ins'!D160</f>
        <v>0</v>
      </c>
      <c r="L54" s="124"/>
    </row>
    <row r="55" spans="1:12">
      <c r="A55" s="123"/>
      <c r="B55" s="1080" t="s">
        <v>45</v>
      </c>
      <c r="C55" s="1069">
        <f>'5.2 Permits, Monitoring and Ins'!C161</f>
        <v>0</v>
      </c>
      <c r="D55" s="1069">
        <f>'5.2 Permits, Monitoring and Ins'!D161</f>
        <v>0</v>
      </c>
      <c r="L55" s="124"/>
    </row>
    <row r="56" spans="1:12">
      <c r="A56" s="123"/>
      <c r="B56" s="1080" t="s">
        <v>46</v>
      </c>
      <c r="C56" s="1069">
        <f>'5.2 Permits, Monitoring and Ins'!C162</f>
        <v>0</v>
      </c>
      <c r="D56" s="1069">
        <f>'5.2 Permits, Monitoring and Ins'!D162</f>
        <v>0</v>
      </c>
      <c r="L56" s="124"/>
    </row>
    <row r="57" spans="1:12">
      <c r="A57" s="123"/>
      <c r="L57" s="124"/>
    </row>
    <row r="58" spans="1:12">
      <c r="A58" s="123"/>
      <c r="L58" s="124"/>
    </row>
    <row r="59" spans="1:12">
      <c r="A59" s="123"/>
      <c r="L59" s="124"/>
    </row>
    <row r="60" spans="1:12">
      <c r="A60" s="123"/>
      <c r="L60" s="124"/>
    </row>
    <row r="61" spans="1:12">
      <c r="A61" s="123"/>
      <c r="L61" s="124"/>
    </row>
    <row r="62" spans="1:12" ht="21">
      <c r="A62" s="123"/>
      <c r="B62" s="1682" t="s">
        <v>1232</v>
      </c>
      <c r="C62" s="1682"/>
      <c r="D62" s="1682"/>
      <c r="L62" s="124"/>
    </row>
    <row r="63" spans="1:12">
      <c r="A63" s="123"/>
      <c r="B63" s="1063" t="s">
        <v>0</v>
      </c>
      <c r="C63" s="1065" t="s">
        <v>20</v>
      </c>
      <c r="D63" s="1066" t="s">
        <v>17</v>
      </c>
      <c r="L63" s="124"/>
    </row>
    <row r="64" spans="1:12">
      <c r="A64" s="123"/>
      <c r="B64" s="1077" t="s">
        <v>18</v>
      </c>
      <c r="C64" s="1078"/>
      <c r="D64" s="1079"/>
      <c r="L64" s="124"/>
    </row>
    <row r="65" spans="1:12">
      <c r="A65" s="123"/>
      <c r="B65" s="1080" t="s">
        <v>41</v>
      </c>
      <c r="C65" s="1069">
        <f>'5.3 Community Welfare'!C113</f>
        <v>0</v>
      </c>
      <c r="D65" s="1069">
        <f>'5.3 Community Welfare'!D113</f>
        <v>0</v>
      </c>
      <c r="L65" s="124"/>
    </row>
    <row r="66" spans="1:12">
      <c r="A66" s="123"/>
      <c r="B66" s="1080" t="s">
        <v>42</v>
      </c>
      <c r="C66" s="1069">
        <f>'5.3 Community Welfare'!C114</f>
        <v>0</v>
      </c>
      <c r="D66" s="1069">
        <f>'5.3 Community Welfare'!D114</f>
        <v>0</v>
      </c>
      <c r="L66" s="124"/>
    </row>
    <row r="67" spans="1:12">
      <c r="A67" s="123"/>
      <c r="B67" s="1080" t="s">
        <v>43</v>
      </c>
      <c r="C67" s="1069">
        <f>'5.3 Community Welfare'!C115</f>
        <v>0</v>
      </c>
      <c r="D67" s="1069">
        <f>'5.3 Community Welfare'!D115</f>
        <v>0</v>
      </c>
      <c r="L67" s="124"/>
    </row>
    <row r="68" spans="1:12">
      <c r="A68" s="123"/>
      <c r="B68" s="1080" t="s">
        <v>44</v>
      </c>
      <c r="C68" s="1069">
        <f>'5.3 Community Welfare'!C116</f>
        <v>2</v>
      </c>
      <c r="D68" s="1069">
        <f>'5.3 Community Welfare'!D116</f>
        <v>25</v>
      </c>
      <c r="L68" s="124"/>
    </row>
    <row r="69" spans="1:12">
      <c r="A69" s="123"/>
      <c r="B69" s="1080" t="s">
        <v>65</v>
      </c>
      <c r="C69" s="1069">
        <f>'5.3 Community Welfare'!C117</f>
        <v>0</v>
      </c>
      <c r="D69" s="1069">
        <f>'5.3 Community Welfare'!D117</f>
        <v>0</v>
      </c>
      <c r="L69" s="124"/>
    </row>
    <row r="70" spans="1:12">
      <c r="A70" s="123"/>
      <c r="B70" s="1080" t="s">
        <v>45</v>
      </c>
      <c r="C70" s="1069">
        <f>'5.3 Community Welfare'!C118</f>
        <v>0</v>
      </c>
      <c r="D70" s="1069">
        <f>'5.3 Community Welfare'!D118</f>
        <v>0</v>
      </c>
      <c r="L70" s="124"/>
    </row>
    <row r="71" spans="1:12">
      <c r="A71" s="123"/>
      <c r="B71" s="1080" t="s">
        <v>46</v>
      </c>
      <c r="C71" s="1069">
        <f>'5.3 Community Welfare'!C119</f>
        <v>0</v>
      </c>
      <c r="D71" s="1069">
        <f>'5.3 Community Welfare'!D119</f>
        <v>0</v>
      </c>
      <c r="L71" s="124"/>
    </row>
    <row r="72" spans="1:12">
      <c r="A72" s="123"/>
      <c r="L72" s="124"/>
    </row>
    <row r="73" spans="1:12">
      <c r="A73" s="123"/>
      <c r="L73" s="124"/>
    </row>
    <row r="74" spans="1:12">
      <c r="A74" s="123"/>
      <c r="L74" s="124"/>
    </row>
    <row r="75" spans="1:12">
      <c r="A75" s="123"/>
      <c r="L75" s="124"/>
    </row>
    <row r="76" spans="1:12">
      <c r="A76" s="123"/>
      <c r="L76" s="124"/>
    </row>
    <row r="77" spans="1:12" ht="21">
      <c r="A77" s="123"/>
      <c r="B77" s="1682" t="s">
        <v>1235</v>
      </c>
      <c r="C77" s="1682"/>
      <c r="D77" s="1682"/>
      <c r="L77" s="124"/>
    </row>
    <row r="78" spans="1:12">
      <c r="A78" s="123"/>
      <c r="B78" s="1063" t="s">
        <v>0</v>
      </c>
      <c r="C78" s="1065" t="s">
        <v>20</v>
      </c>
      <c r="D78" s="1066" t="s">
        <v>17</v>
      </c>
      <c r="L78" s="124"/>
    </row>
    <row r="79" spans="1:12">
      <c r="A79" s="123"/>
      <c r="B79" s="1077" t="s">
        <v>18</v>
      </c>
      <c r="C79" s="1078"/>
      <c r="D79" s="1079"/>
      <c r="L79" s="124"/>
    </row>
    <row r="80" spans="1:12">
      <c r="A80" s="123"/>
      <c r="B80" s="1080" t="s">
        <v>41</v>
      </c>
      <c r="C80" s="1069">
        <f>'5.4 Local Public Security and L'!C130</f>
        <v>0</v>
      </c>
      <c r="D80" s="1069">
        <f>'5.4 Local Public Security and L'!D130</f>
        <v>0</v>
      </c>
      <c r="L80" s="124"/>
    </row>
    <row r="81" spans="1:12">
      <c r="A81" s="123"/>
      <c r="B81" s="1080" t="s">
        <v>42</v>
      </c>
      <c r="C81" s="1069">
        <f>'5.4 Local Public Security and L'!C131</f>
        <v>0</v>
      </c>
      <c r="D81" s="1069">
        <f>'5.4 Local Public Security and L'!D131</f>
        <v>0</v>
      </c>
      <c r="L81" s="124"/>
    </row>
    <row r="82" spans="1:12">
      <c r="A82" s="123"/>
      <c r="B82" s="1080" t="s">
        <v>43</v>
      </c>
      <c r="C82" s="1069">
        <f>'5.4 Local Public Security and L'!C132</f>
        <v>0</v>
      </c>
      <c r="D82" s="1069">
        <f>'5.4 Local Public Security and L'!D132</f>
        <v>0</v>
      </c>
      <c r="L82" s="124"/>
    </row>
    <row r="83" spans="1:12">
      <c r="A83" s="123"/>
      <c r="B83" s="1080" t="s">
        <v>44</v>
      </c>
      <c r="C83" s="1069">
        <f>'5.4 Local Public Security and L'!C133</f>
        <v>9</v>
      </c>
      <c r="D83" s="1069">
        <f>'5.4 Local Public Security and L'!D133</f>
        <v>60</v>
      </c>
      <c r="L83" s="124"/>
    </row>
    <row r="84" spans="1:12">
      <c r="A84" s="123"/>
      <c r="B84" s="1080" t="s">
        <v>65</v>
      </c>
      <c r="C84" s="1069">
        <f>'5.4 Local Public Security and L'!C134</f>
        <v>0</v>
      </c>
      <c r="D84" s="1069">
        <f>'5.4 Local Public Security and L'!D134</f>
        <v>0</v>
      </c>
      <c r="L84" s="124"/>
    </row>
    <row r="85" spans="1:12">
      <c r="A85" s="123"/>
      <c r="B85" s="1080" t="s">
        <v>45</v>
      </c>
      <c r="C85" s="1069">
        <f>'5.4 Local Public Security and L'!C135</f>
        <v>0</v>
      </c>
      <c r="D85" s="1069">
        <f>'5.4 Local Public Security and L'!D135</f>
        <v>0</v>
      </c>
      <c r="L85" s="124"/>
    </row>
    <row r="86" spans="1:12">
      <c r="A86" s="123"/>
      <c r="B86" s="1080" t="s">
        <v>46</v>
      </c>
      <c r="C86" s="1069">
        <f>'5.4 Local Public Security and L'!C136</f>
        <v>0</v>
      </c>
      <c r="D86" s="1069">
        <f>'5.4 Local Public Security and L'!D136</f>
        <v>0</v>
      </c>
      <c r="L86" s="124"/>
    </row>
    <row r="87" spans="1:12">
      <c r="A87" s="123"/>
      <c r="L87" s="124"/>
    </row>
    <row r="88" spans="1:12">
      <c r="A88" s="123"/>
      <c r="L88" s="124"/>
    </row>
    <row r="89" spans="1:12">
      <c r="A89" s="123"/>
      <c r="L89" s="124"/>
    </row>
    <row r="90" spans="1:12">
      <c r="A90" s="123"/>
      <c r="L90" s="124"/>
    </row>
    <row r="91" spans="1:12">
      <c r="A91" s="123"/>
      <c r="L91" s="124"/>
    </row>
    <row r="92" spans="1:12" ht="21">
      <c r="A92" s="123"/>
      <c r="B92" s="1682" t="s">
        <v>1233</v>
      </c>
      <c r="C92" s="1682"/>
      <c r="D92" s="1682"/>
      <c r="L92" s="124"/>
    </row>
    <row r="93" spans="1:12">
      <c r="A93" s="123"/>
      <c r="B93" s="1063" t="s">
        <v>0</v>
      </c>
      <c r="C93" s="1065" t="s">
        <v>20</v>
      </c>
      <c r="D93" s="1066" t="s">
        <v>17</v>
      </c>
      <c r="L93" s="124"/>
    </row>
    <row r="94" spans="1:12">
      <c r="A94" s="123"/>
      <c r="B94" s="1077" t="s">
        <v>18</v>
      </c>
      <c r="C94" s="1078"/>
      <c r="D94" s="1079"/>
      <c r="L94" s="124"/>
    </row>
    <row r="95" spans="1:12">
      <c r="A95" s="123"/>
      <c r="B95" s="1080" t="s">
        <v>41</v>
      </c>
      <c r="C95" s="1069">
        <f>'5.5 Emergency &amp; Rescue Services'!C147</f>
        <v>0</v>
      </c>
      <c r="D95" s="1069">
        <f>'5.5 Emergency &amp; Rescue Services'!D147</f>
        <v>0</v>
      </c>
      <c r="L95" s="124"/>
    </row>
    <row r="96" spans="1:12">
      <c r="A96" s="123"/>
      <c r="B96" s="1080" t="s">
        <v>42</v>
      </c>
      <c r="C96" s="1069">
        <f>'5.5 Emergency &amp; Rescue Services'!C148</f>
        <v>0</v>
      </c>
      <c r="D96" s="1069">
        <f>'5.5 Emergency &amp; Rescue Services'!D148</f>
        <v>0</v>
      </c>
      <c r="L96" s="124"/>
    </row>
    <row r="97" spans="1:12">
      <c r="A97" s="123"/>
      <c r="B97" s="1080" t="s">
        <v>43</v>
      </c>
      <c r="C97" s="1069">
        <f>'5.5 Emergency &amp; Rescue Services'!C149</f>
        <v>0</v>
      </c>
      <c r="D97" s="1069">
        <f>'5.5 Emergency &amp; Rescue Services'!D149</f>
        <v>0</v>
      </c>
      <c r="L97" s="124"/>
    </row>
    <row r="98" spans="1:12">
      <c r="A98" s="123"/>
      <c r="B98" s="1080" t="s">
        <v>44</v>
      </c>
      <c r="C98" s="1069">
        <f>'5.5 Emergency &amp; Rescue Services'!C150</f>
        <v>7</v>
      </c>
      <c r="D98" s="1069">
        <f>'5.5 Emergency &amp; Rescue Services'!D150</f>
        <v>100</v>
      </c>
      <c r="L98" s="124"/>
    </row>
    <row r="99" spans="1:12">
      <c r="A99" s="123"/>
      <c r="B99" s="1080" t="s">
        <v>65</v>
      </c>
      <c r="C99" s="1069">
        <f>'5.5 Emergency &amp; Rescue Services'!C151</f>
        <v>0</v>
      </c>
      <c r="D99" s="1069">
        <f>'5.5 Emergency &amp; Rescue Services'!D151</f>
        <v>0</v>
      </c>
      <c r="L99" s="124"/>
    </row>
    <row r="100" spans="1:12">
      <c r="A100" s="123"/>
      <c r="B100" s="1080" t="s">
        <v>45</v>
      </c>
      <c r="C100" s="1069">
        <f>'5.5 Emergency &amp; Rescue Services'!C152</f>
        <v>0</v>
      </c>
      <c r="D100" s="1069">
        <f>'5.5 Emergency &amp; Rescue Services'!D152</f>
        <v>0</v>
      </c>
      <c r="L100" s="124"/>
    </row>
    <row r="101" spans="1:12">
      <c r="A101" s="123"/>
      <c r="B101" s="1080" t="s">
        <v>46</v>
      </c>
      <c r="C101" s="1069">
        <f>'5.5 Emergency &amp; Rescue Services'!C153</f>
        <v>0</v>
      </c>
      <c r="D101" s="1069">
        <f>'5.5 Emergency &amp; Rescue Services'!D153</f>
        <v>0</v>
      </c>
      <c r="L101" s="124"/>
    </row>
    <row r="102" spans="1:12">
      <c r="A102" s="123"/>
      <c r="L102" s="124"/>
    </row>
    <row r="103" spans="1:12">
      <c r="A103" s="123"/>
      <c r="L103" s="124"/>
    </row>
    <row r="104" spans="1:12">
      <c r="A104" s="123"/>
      <c r="L104" s="124"/>
    </row>
    <row r="105" spans="1:12">
      <c r="A105" s="123"/>
      <c r="L105" s="124"/>
    </row>
    <row r="106" spans="1:12">
      <c r="A106" s="123"/>
      <c r="L106" s="124"/>
    </row>
    <row r="107" spans="1:12" ht="17" thickBot="1">
      <c r="A107" s="125"/>
      <c r="B107" s="126"/>
      <c r="C107" s="126"/>
      <c r="D107" s="126"/>
      <c r="E107" s="126"/>
      <c r="F107" s="126"/>
      <c r="G107" s="126"/>
      <c r="H107" s="126"/>
      <c r="I107" s="126"/>
      <c r="J107" s="126"/>
      <c r="K107" s="126"/>
      <c r="L107" s="127"/>
    </row>
  </sheetData>
  <mergeCells count="7">
    <mergeCell ref="B92:D92"/>
    <mergeCell ref="G2:L2"/>
    <mergeCell ref="B5:D5"/>
    <mergeCell ref="B32:D32"/>
    <mergeCell ref="B47:D47"/>
    <mergeCell ref="B62:D62"/>
    <mergeCell ref="B77:D77"/>
  </mergeCells>
  <conditionalFormatting sqref="B8">
    <cfRule type="containsText" dxfId="327" priority="408" operator="containsText" text="Pending">
      <formula>NOT(ISERROR(SEARCH("Pending",B8)))</formula>
    </cfRule>
  </conditionalFormatting>
  <conditionalFormatting sqref="B9">
    <cfRule type="containsText" dxfId="326" priority="403" operator="containsText" text="No Benchmark">
      <formula>NOT(ISERROR(SEARCH("No Benchmark",B9)))</formula>
    </cfRule>
    <cfRule type="containsText" dxfId="325" priority="404" operator="containsText" text="Red">
      <formula>NOT(ISERROR(SEARCH("Red",B9)))</formula>
    </cfRule>
    <cfRule type="containsText" dxfId="324" priority="405" operator="containsText" text="Orange">
      <formula>NOT(ISERROR(SEARCH("Orange",B9)))</formula>
    </cfRule>
    <cfRule type="containsText" dxfId="323" priority="406" operator="containsText" text="Yellow">
      <formula>NOT(ISERROR(SEARCH("Yellow",B9)))</formula>
    </cfRule>
    <cfRule type="containsText" dxfId="322" priority="407" operator="containsText" text="Green">
      <formula>NOT(ISERROR(SEARCH("Green",B9)))</formula>
    </cfRule>
  </conditionalFormatting>
  <conditionalFormatting sqref="B10">
    <cfRule type="containsText" dxfId="321" priority="398" operator="containsText" text="No Benchmark">
      <formula>NOT(ISERROR(SEARCH("No Benchmark",B10)))</formula>
    </cfRule>
    <cfRule type="containsText" dxfId="320" priority="399" operator="containsText" text="Red">
      <formula>NOT(ISERROR(SEARCH("Red",B10)))</formula>
    </cfRule>
    <cfRule type="containsText" dxfId="319" priority="400" operator="containsText" text="Orange">
      <formula>NOT(ISERROR(SEARCH("Orange",B10)))</formula>
    </cfRule>
    <cfRule type="containsText" dxfId="318" priority="401" operator="containsText" text="Yellow">
      <formula>NOT(ISERROR(SEARCH("Yellow",B10)))</formula>
    </cfRule>
    <cfRule type="containsText" dxfId="317" priority="402" operator="containsText" text="Green">
      <formula>NOT(ISERROR(SEARCH("Green",B10)))</formula>
    </cfRule>
  </conditionalFormatting>
  <conditionalFormatting sqref="B11">
    <cfRule type="containsText" dxfId="316" priority="393" operator="containsText" text="No Benchmark">
      <formula>NOT(ISERROR(SEARCH("No Benchmark",B11)))</formula>
    </cfRule>
    <cfRule type="containsText" dxfId="315" priority="394" operator="containsText" text="Red">
      <formula>NOT(ISERROR(SEARCH("Red",B11)))</formula>
    </cfRule>
    <cfRule type="containsText" dxfId="314" priority="395" operator="containsText" text="Orange">
      <formula>NOT(ISERROR(SEARCH("Orange",B11)))</formula>
    </cfRule>
    <cfRule type="containsText" dxfId="313" priority="396" operator="containsText" text="Yellow">
      <formula>NOT(ISERROR(SEARCH("Yellow",B11)))</formula>
    </cfRule>
    <cfRule type="containsText" dxfId="312" priority="397" operator="containsText" text="Green">
      <formula>NOT(ISERROR(SEARCH("Green",B11)))</formula>
    </cfRule>
  </conditionalFormatting>
  <conditionalFormatting sqref="B12">
    <cfRule type="containsText" dxfId="311" priority="388" operator="containsText" text="No Benchmark">
      <formula>NOT(ISERROR(SEARCH("No Benchmark",B12)))</formula>
    </cfRule>
    <cfRule type="containsText" dxfId="310" priority="389" operator="containsText" text="Red">
      <formula>NOT(ISERROR(SEARCH("Red",B12)))</formula>
    </cfRule>
    <cfRule type="containsText" dxfId="309" priority="390" operator="containsText" text="Orange">
      <formula>NOT(ISERROR(SEARCH("Orange",B12)))</formula>
    </cfRule>
    <cfRule type="containsText" dxfId="308" priority="391" operator="containsText" text="Yellow">
      <formula>NOT(ISERROR(SEARCH("Yellow",B12)))</formula>
    </cfRule>
    <cfRule type="containsText" dxfId="307" priority="392" operator="containsText" text="Green">
      <formula>NOT(ISERROR(SEARCH("Green",B12)))</formula>
    </cfRule>
  </conditionalFormatting>
  <conditionalFormatting sqref="B13">
    <cfRule type="containsText" dxfId="306" priority="383" operator="containsText" text="Qualitative">
      <formula>NOT(ISERROR(SEARCH("Qualitative",B13)))</formula>
    </cfRule>
    <cfRule type="containsText" dxfId="305" priority="384" operator="containsText" text="Red">
      <formula>NOT(ISERROR(SEARCH("Red",B13)))</formula>
    </cfRule>
    <cfRule type="containsText" dxfId="304" priority="385" operator="containsText" text="Orange">
      <formula>NOT(ISERROR(SEARCH("Orange",B13)))</formula>
    </cfRule>
    <cfRule type="containsText" dxfId="303" priority="386" operator="containsText" text="Yellow">
      <formula>NOT(ISERROR(SEARCH("Yellow",B13)))</formula>
    </cfRule>
    <cfRule type="containsText" dxfId="302" priority="387" operator="containsText" text="Green">
      <formula>NOT(ISERROR(SEARCH("Green",B13)))</formula>
    </cfRule>
  </conditionalFormatting>
  <conditionalFormatting sqref="B14">
    <cfRule type="containsText" dxfId="301" priority="378" operator="containsText" text="No Benchmark">
      <formula>NOT(ISERROR(SEARCH("No Benchmark",B14)))</formula>
    </cfRule>
    <cfRule type="containsText" dxfId="300" priority="379" operator="containsText" text="Red">
      <formula>NOT(ISERROR(SEARCH("Red",B14)))</formula>
    </cfRule>
    <cfRule type="containsText" dxfId="299" priority="380" operator="containsText" text="Orange">
      <formula>NOT(ISERROR(SEARCH("Orange",B14)))</formula>
    </cfRule>
    <cfRule type="containsText" dxfId="298" priority="381" operator="containsText" text="Yellow">
      <formula>NOT(ISERROR(SEARCH("Yellow",B14)))</formula>
    </cfRule>
    <cfRule type="containsText" dxfId="297" priority="382" operator="containsText" text="Green">
      <formula>NOT(ISERROR(SEARCH("Green",B14)))</formula>
    </cfRule>
  </conditionalFormatting>
  <conditionalFormatting sqref="B15">
    <cfRule type="containsText" dxfId="296" priority="373" operator="containsText" text="No Benchmark">
      <formula>NOT(ISERROR(SEARCH("No Benchmark",B15)))</formula>
    </cfRule>
    <cfRule type="containsText" dxfId="295" priority="374" operator="containsText" text="Red">
      <formula>NOT(ISERROR(SEARCH("Red",B15)))</formula>
    </cfRule>
    <cfRule type="containsText" dxfId="294" priority="375" operator="containsText" text="Orange">
      <formula>NOT(ISERROR(SEARCH("Orange",B15)))</formula>
    </cfRule>
    <cfRule type="containsText" dxfId="293" priority="376" operator="containsText" text="Yellow">
      <formula>NOT(ISERROR(SEARCH("Yellow",B15)))</formula>
    </cfRule>
    <cfRule type="containsText" dxfId="292" priority="377" operator="containsText" text="Green">
      <formula>NOT(ISERROR(SEARCH("Green",B15)))</formula>
    </cfRule>
  </conditionalFormatting>
  <conditionalFormatting sqref="B34">
    <cfRule type="containsText" dxfId="291" priority="372" operator="containsText" text="Pending">
      <formula>NOT(ISERROR(SEARCH("Pending",B34)))</formula>
    </cfRule>
  </conditionalFormatting>
  <conditionalFormatting sqref="B35">
    <cfRule type="containsText" dxfId="290" priority="367" operator="containsText" text="No Benchmark">
      <formula>NOT(ISERROR(SEARCH("No Benchmark",B35)))</formula>
    </cfRule>
    <cfRule type="containsText" dxfId="289" priority="368" operator="containsText" text="Red">
      <formula>NOT(ISERROR(SEARCH("Red",B35)))</formula>
    </cfRule>
    <cfRule type="containsText" dxfId="288" priority="369" operator="containsText" text="Orange">
      <formula>NOT(ISERROR(SEARCH("Orange",B35)))</formula>
    </cfRule>
    <cfRule type="containsText" dxfId="287" priority="370" operator="containsText" text="Yellow">
      <formula>NOT(ISERROR(SEARCH("Yellow",B35)))</formula>
    </cfRule>
    <cfRule type="containsText" dxfId="286" priority="371" operator="containsText" text="Green">
      <formula>NOT(ISERROR(SEARCH("Green",B35)))</formula>
    </cfRule>
  </conditionalFormatting>
  <conditionalFormatting sqref="B36">
    <cfRule type="containsText" dxfId="285" priority="362" operator="containsText" text="No Benchmark">
      <formula>NOT(ISERROR(SEARCH("No Benchmark",B36)))</formula>
    </cfRule>
    <cfRule type="containsText" dxfId="284" priority="363" operator="containsText" text="Red">
      <formula>NOT(ISERROR(SEARCH("Red",B36)))</formula>
    </cfRule>
    <cfRule type="containsText" dxfId="283" priority="364" operator="containsText" text="Orange">
      <formula>NOT(ISERROR(SEARCH("Orange",B36)))</formula>
    </cfRule>
    <cfRule type="containsText" dxfId="282" priority="365" operator="containsText" text="Yellow">
      <formula>NOT(ISERROR(SEARCH("Yellow",B36)))</formula>
    </cfRule>
    <cfRule type="containsText" dxfId="281" priority="366" operator="containsText" text="Green">
      <formula>NOT(ISERROR(SEARCH("Green",B36)))</formula>
    </cfRule>
  </conditionalFormatting>
  <conditionalFormatting sqref="B37">
    <cfRule type="containsText" dxfId="280" priority="357" operator="containsText" text="No Benchmark">
      <formula>NOT(ISERROR(SEARCH("No Benchmark",B37)))</formula>
    </cfRule>
    <cfRule type="containsText" dxfId="279" priority="358" operator="containsText" text="Red">
      <formula>NOT(ISERROR(SEARCH("Red",B37)))</formula>
    </cfRule>
    <cfRule type="containsText" dxfId="278" priority="359" operator="containsText" text="Orange">
      <formula>NOT(ISERROR(SEARCH("Orange",B37)))</formula>
    </cfRule>
    <cfRule type="containsText" dxfId="277" priority="360" operator="containsText" text="Yellow">
      <formula>NOT(ISERROR(SEARCH("Yellow",B37)))</formula>
    </cfRule>
    <cfRule type="containsText" dxfId="276" priority="361" operator="containsText" text="Green">
      <formula>NOT(ISERROR(SEARCH("Green",B37)))</formula>
    </cfRule>
  </conditionalFormatting>
  <conditionalFormatting sqref="B38">
    <cfRule type="containsText" dxfId="275" priority="352" operator="containsText" text="No Benchmark">
      <formula>NOT(ISERROR(SEARCH("No Benchmark",B38)))</formula>
    </cfRule>
    <cfRule type="containsText" dxfId="274" priority="353" operator="containsText" text="Red">
      <formula>NOT(ISERROR(SEARCH("Red",B38)))</formula>
    </cfRule>
    <cfRule type="containsText" dxfId="273" priority="354" operator="containsText" text="Orange">
      <formula>NOT(ISERROR(SEARCH("Orange",B38)))</formula>
    </cfRule>
    <cfRule type="containsText" dxfId="272" priority="355" operator="containsText" text="Yellow">
      <formula>NOT(ISERROR(SEARCH("Yellow",B38)))</formula>
    </cfRule>
    <cfRule type="containsText" dxfId="271" priority="356" operator="containsText" text="Green">
      <formula>NOT(ISERROR(SEARCH("Green",B38)))</formula>
    </cfRule>
  </conditionalFormatting>
  <conditionalFormatting sqref="B40">
    <cfRule type="containsText" dxfId="270" priority="347" operator="containsText" text="No Benchmark">
      <formula>NOT(ISERROR(SEARCH("No Benchmark",B40)))</formula>
    </cfRule>
    <cfRule type="containsText" dxfId="269" priority="348" operator="containsText" text="Red">
      <formula>NOT(ISERROR(SEARCH("Red",B40)))</formula>
    </cfRule>
    <cfRule type="containsText" dxfId="268" priority="349" operator="containsText" text="Orange">
      <formula>NOT(ISERROR(SEARCH("Orange",B40)))</formula>
    </cfRule>
    <cfRule type="containsText" dxfId="267" priority="350" operator="containsText" text="Yellow">
      <formula>NOT(ISERROR(SEARCH("Yellow",B40)))</formula>
    </cfRule>
    <cfRule type="containsText" dxfId="266" priority="351" operator="containsText" text="Green">
      <formula>NOT(ISERROR(SEARCH("Green",B40)))</formula>
    </cfRule>
  </conditionalFormatting>
  <conditionalFormatting sqref="B41">
    <cfRule type="containsText" dxfId="265" priority="342" operator="containsText" text="No Benchmark">
      <formula>NOT(ISERROR(SEARCH("No Benchmark",B41)))</formula>
    </cfRule>
    <cfRule type="containsText" dxfId="264" priority="343" operator="containsText" text="Red">
      <formula>NOT(ISERROR(SEARCH("Red",B41)))</formula>
    </cfRule>
    <cfRule type="containsText" dxfId="263" priority="344" operator="containsText" text="Orange">
      <formula>NOT(ISERROR(SEARCH("Orange",B41)))</formula>
    </cfRule>
    <cfRule type="containsText" dxfId="262" priority="345" operator="containsText" text="Yellow">
      <formula>NOT(ISERROR(SEARCH("Yellow",B41)))</formula>
    </cfRule>
    <cfRule type="containsText" dxfId="261" priority="346" operator="containsText" text="Green">
      <formula>NOT(ISERROR(SEARCH("Green",B41)))</formula>
    </cfRule>
  </conditionalFormatting>
  <conditionalFormatting sqref="B64">
    <cfRule type="containsText" dxfId="260" priority="341" operator="containsText" text="Pending">
      <formula>NOT(ISERROR(SEARCH("Pending",B64)))</formula>
    </cfRule>
  </conditionalFormatting>
  <conditionalFormatting sqref="B65">
    <cfRule type="containsText" dxfId="259" priority="336" operator="containsText" text="No Benchmark">
      <formula>NOT(ISERROR(SEARCH("No Benchmark",B65)))</formula>
    </cfRule>
    <cfRule type="containsText" dxfId="258" priority="337" operator="containsText" text="Red">
      <formula>NOT(ISERROR(SEARCH("Red",B65)))</formula>
    </cfRule>
    <cfRule type="containsText" dxfId="257" priority="338" operator="containsText" text="Orange">
      <formula>NOT(ISERROR(SEARCH("Orange",B65)))</formula>
    </cfRule>
    <cfRule type="containsText" dxfId="256" priority="339" operator="containsText" text="Yellow">
      <formula>NOT(ISERROR(SEARCH("Yellow",B65)))</formula>
    </cfRule>
    <cfRule type="containsText" dxfId="255" priority="340" operator="containsText" text="Green">
      <formula>NOT(ISERROR(SEARCH("Green",B65)))</formula>
    </cfRule>
  </conditionalFormatting>
  <conditionalFormatting sqref="B66">
    <cfRule type="containsText" dxfId="254" priority="331" operator="containsText" text="No Benchmark">
      <formula>NOT(ISERROR(SEARCH("No Benchmark",B66)))</formula>
    </cfRule>
    <cfRule type="containsText" dxfId="253" priority="332" operator="containsText" text="Red">
      <formula>NOT(ISERROR(SEARCH("Red",B66)))</formula>
    </cfRule>
    <cfRule type="containsText" dxfId="252" priority="333" operator="containsText" text="Orange">
      <formula>NOT(ISERROR(SEARCH("Orange",B66)))</formula>
    </cfRule>
    <cfRule type="containsText" dxfId="251" priority="334" operator="containsText" text="Yellow">
      <formula>NOT(ISERROR(SEARCH("Yellow",B66)))</formula>
    </cfRule>
    <cfRule type="containsText" dxfId="250" priority="335" operator="containsText" text="Green">
      <formula>NOT(ISERROR(SEARCH("Green",B66)))</formula>
    </cfRule>
  </conditionalFormatting>
  <conditionalFormatting sqref="B67">
    <cfRule type="containsText" dxfId="249" priority="326" operator="containsText" text="No Benchmark">
      <formula>NOT(ISERROR(SEARCH("No Benchmark",B67)))</formula>
    </cfRule>
    <cfRule type="containsText" dxfId="248" priority="327" operator="containsText" text="Red">
      <formula>NOT(ISERROR(SEARCH("Red",B67)))</formula>
    </cfRule>
    <cfRule type="containsText" dxfId="247" priority="328" operator="containsText" text="Orange">
      <formula>NOT(ISERROR(SEARCH("Orange",B67)))</formula>
    </cfRule>
    <cfRule type="containsText" dxfId="246" priority="329" operator="containsText" text="Yellow">
      <formula>NOT(ISERROR(SEARCH("Yellow",B67)))</formula>
    </cfRule>
    <cfRule type="containsText" dxfId="245" priority="330" operator="containsText" text="Green">
      <formula>NOT(ISERROR(SEARCH("Green",B67)))</formula>
    </cfRule>
  </conditionalFormatting>
  <conditionalFormatting sqref="B68">
    <cfRule type="containsText" dxfId="244" priority="321" operator="containsText" text="No Benchmark">
      <formula>NOT(ISERROR(SEARCH("No Benchmark",B68)))</formula>
    </cfRule>
    <cfRule type="containsText" dxfId="243" priority="322" operator="containsText" text="Red">
      <formula>NOT(ISERROR(SEARCH("Red",B68)))</formula>
    </cfRule>
    <cfRule type="containsText" dxfId="242" priority="323" operator="containsText" text="Orange">
      <formula>NOT(ISERROR(SEARCH("Orange",B68)))</formula>
    </cfRule>
    <cfRule type="containsText" dxfId="241" priority="324" operator="containsText" text="Yellow">
      <formula>NOT(ISERROR(SEARCH("Yellow",B68)))</formula>
    </cfRule>
    <cfRule type="containsText" dxfId="240" priority="325" operator="containsText" text="Green">
      <formula>NOT(ISERROR(SEARCH("Green",B68)))</formula>
    </cfRule>
  </conditionalFormatting>
  <conditionalFormatting sqref="B70">
    <cfRule type="containsText" dxfId="239" priority="316" operator="containsText" text="No Benchmark">
      <formula>NOT(ISERROR(SEARCH("No Benchmark",B70)))</formula>
    </cfRule>
    <cfRule type="containsText" dxfId="238" priority="317" operator="containsText" text="Red">
      <formula>NOT(ISERROR(SEARCH("Red",B70)))</formula>
    </cfRule>
    <cfRule type="containsText" dxfId="237" priority="318" operator="containsText" text="Orange">
      <formula>NOT(ISERROR(SEARCH("Orange",B70)))</formula>
    </cfRule>
    <cfRule type="containsText" dxfId="236" priority="319" operator="containsText" text="Yellow">
      <formula>NOT(ISERROR(SEARCH("Yellow",B70)))</formula>
    </cfRule>
    <cfRule type="containsText" dxfId="235" priority="320" operator="containsText" text="Green">
      <formula>NOT(ISERROR(SEARCH("Green",B70)))</formula>
    </cfRule>
  </conditionalFormatting>
  <conditionalFormatting sqref="B71">
    <cfRule type="containsText" dxfId="234" priority="311" operator="containsText" text="No Benchmark">
      <formula>NOT(ISERROR(SEARCH("No Benchmark",B71)))</formula>
    </cfRule>
    <cfRule type="containsText" dxfId="233" priority="312" operator="containsText" text="Red">
      <formula>NOT(ISERROR(SEARCH("Red",B71)))</formula>
    </cfRule>
    <cfRule type="containsText" dxfId="232" priority="313" operator="containsText" text="Orange">
      <formula>NOT(ISERROR(SEARCH("Orange",B71)))</formula>
    </cfRule>
    <cfRule type="containsText" dxfId="231" priority="314" operator="containsText" text="Yellow">
      <formula>NOT(ISERROR(SEARCH("Yellow",B71)))</formula>
    </cfRule>
    <cfRule type="containsText" dxfId="230" priority="315" operator="containsText" text="Green">
      <formula>NOT(ISERROR(SEARCH("Green",B71)))</formula>
    </cfRule>
  </conditionalFormatting>
  <conditionalFormatting sqref="B49">
    <cfRule type="containsText" dxfId="229" priority="310" operator="containsText" text="Pending">
      <formula>NOT(ISERROR(SEARCH("Pending",B49)))</formula>
    </cfRule>
  </conditionalFormatting>
  <conditionalFormatting sqref="B50">
    <cfRule type="containsText" dxfId="228" priority="305" operator="containsText" text="No Benchmark">
      <formula>NOT(ISERROR(SEARCH("No Benchmark",B50)))</formula>
    </cfRule>
    <cfRule type="containsText" dxfId="227" priority="306" operator="containsText" text="Red">
      <formula>NOT(ISERROR(SEARCH("Red",B50)))</formula>
    </cfRule>
    <cfRule type="containsText" dxfId="226" priority="307" operator="containsText" text="Orange">
      <formula>NOT(ISERROR(SEARCH("Orange",B50)))</formula>
    </cfRule>
    <cfRule type="containsText" dxfId="225" priority="308" operator="containsText" text="Yellow">
      <formula>NOT(ISERROR(SEARCH("Yellow",B50)))</formula>
    </cfRule>
    <cfRule type="containsText" dxfId="224" priority="309" operator="containsText" text="Green">
      <formula>NOT(ISERROR(SEARCH("Green",B50)))</formula>
    </cfRule>
  </conditionalFormatting>
  <conditionalFormatting sqref="B51">
    <cfRule type="containsText" dxfId="223" priority="300" operator="containsText" text="No Benchmark">
      <formula>NOT(ISERROR(SEARCH("No Benchmark",B51)))</formula>
    </cfRule>
    <cfRule type="containsText" dxfId="222" priority="301" operator="containsText" text="Red">
      <formula>NOT(ISERROR(SEARCH("Red",B51)))</formula>
    </cfRule>
    <cfRule type="containsText" dxfId="221" priority="302" operator="containsText" text="Orange">
      <formula>NOT(ISERROR(SEARCH("Orange",B51)))</formula>
    </cfRule>
    <cfRule type="containsText" dxfId="220" priority="303" operator="containsText" text="Yellow">
      <formula>NOT(ISERROR(SEARCH("Yellow",B51)))</formula>
    </cfRule>
    <cfRule type="containsText" dxfId="219" priority="304" operator="containsText" text="Green">
      <formula>NOT(ISERROR(SEARCH("Green",B51)))</formula>
    </cfRule>
  </conditionalFormatting>
  <conditionalFormatting sqref="B52">
    <cfRule type="containsText" dxfId="218" priority="295" operator="containsText" text="No Benchmark">
      <formula>NOT(ISERROR(SEARCH("No Benchmark",B52)))</formula>
    </cfRule>
    <cfRule type="containsText" dxfId="217" priority="296" operator="containsText" text="Red">
      <formula>NOT(ISERROR(SEARCH("Red",B52)))</formula>
    </cfRule>
    <cfRule type="containsText" dxfId="216" priority="297" operator="containsText" text="Orange">
      <formula>NOT(ISERROR(SEARCH("Orange",B52)))</formula>
    </cfRule>
    <cfRule type="containsText" dxfId="215" priority="298" operator="containsText" text="Yellow">
      <formula>NOT(ISERROR(SEARCH("Yellow",B52)))</formula>
    </cfRule>
    <cfRule type="containsText" dxfId="214" priority="299" operator="containsText" text="Green">
      <formula>NOT(ISERROR(SEARCH("Green",B52)))</formula>
    </cfRule>
  </conditionalFormatting>
  <conditionalFormatting sqref="B53">
    <cfRule type="containsText" dxfId="213" priority="290" operator="containsText" text="No Benchmark">
      <formula>NOT(ISERROR(SEARCH("No Benchmark",B53)))</formula>
    </cfRule>
    <cfRule type="containsText" dxfId="212" priority="291" operator="containsText" text="Red">
      <formula>NOT(ISERROR(SEARCH("Red",B53)))</formula>
    </cfRule>
    <cfRule type="containsText" dxfId="211" priority="292" operator="containsText" text="Orange">
      <formula>NOT(ISERROR(SEARCH("Orange",B53)))</formula>
    </cfRule>
    <cfRule type="containsText" dxfId="210" priority="293" operator="containsText" text="Yellow">
      <formula>NOT(ISERROR(SEARCH("Yellow",B53)))</formula>
    </cfRule>
    <cfRule type="containsText" dxfId="209" priority="294" operator="containsText" text="Green">
      <formula>NOT(ISERROR(SEARCH("Green",B53)))</formula>
    </cfRule>
  </conditionalFormatting>
  <conditionalFormatting sqref="B55">
    <cfRule type="containsText" dxfId="208" priority="285" operator="containsText" text="No Benchmark">
      <formula>NOT(ISERROR(SEARCH("No Benchmark",B55)))</formula>
    </cfRule>
    <cfRule type="containsText" dxfId="207" priority="286" operator="containsText" text="Red">
      <formula>NOT(ISERROR(SEARCH("Red",B55)))</formula>
    </cfRule>
    <cfRule type="containsText" dxfId="206" priority="287" operator="containsText" text="Orange">
      <formula>NOT(ISERROR(SEARCH("Orange",B55)))</formula>
    </cfRule>
    <cfRule type="containsText" dxfId="205" priority="288" operator="containsText" text="Yellow">
      <formula>NOT(ISERROR(SEARCH("Yellow",B55)))</formula>
    </cfRule>
    <cfRule type="containsText" dxfId="204" priority="289" operator="containsText" text="Green">
      <formula>NOT(ISERROR(SEARCH("Green",B55)))</formula>
    </cfRule>
  </conditionalFormatting>
  <conditionalFormatting sqref="B56">
    <cfRule type="containsText" dxfId="203" priority="280" operator="containsText" text="No Benchmark">
      <formula>NOT(ISERROR(SEARCH("No Benchmark",B56)))</formula>
    </cfRule>
    <cfRule type="containsText" dxfId="202" priority="281" operator="containsText" text="Red">
      <formula>NOT(ISERROR(SEARCH("Red",B56)))</formula>
    </cfRule>
    <cfRule type="containsText" dxfId="201" priority="282" operator="containsText" text="Orange">
      <formula>NOT(ISERROR(SEARCH("Orange",B56)))</formula>
    </cfRule>
    <cfRule type="containsText" dxfId="200" priority="283" operator="containsText" text="Yellow">
      <formula>NOT(ISERROR(SEARCH("Yellow",B56)))</formula>
    </cfRule>
    <cfRule type="containsText" dxfId="199" priority="284" operator="containsText" text="Green">
      <formula>NOT(ISERROR(SEARCH("Green",B56)))</formula>
    </cfRule>
  </conditionalFormatting>
  <conditionalFormatting sqref="N34">
    <cfRule type="containsText" dxfId="198" priority="279" operator="containsText" text="Pending">
      <formula>NOT(ISERROR(SEARCH("Pending",N34)))</formula>
    </cfRule>
  </conditionalFormatting>
  <conditionalFormatting sqref="N35">
    <cfRule type="containsText" dxfId="197" priority="274" operator="containsText" text="No Benchmark">
      <formula>NOT(ISERROR(SEARCH("No Benchmark",N35)))</formula>
    </cfRule>
    <cfRule type="containsText" dxfId="196" priority="275" operator="containsText" text="Red">
      <formula>NOT(ISERROR(SEARCH("Red",N35)))</formula>
    </cfRule>
    <cfRule type="containsText" dxfId="195" priority="276" operator="containsText" text="Orange">
      <formula>NOT(ISERROR(SEARCH("Orange",N35)))</formula>
    </cfRule>
    <cfRule type="containsText" dxfId="194" priority="277" operator="containsText" text="Yellow">
      <formula>NOT(ISERROR(SEARCH("Yellow",N35)))</formula>
    </cfRule>
    <cfRule type="containsText" dxfId="193" priority="278" operator="containsText" text="Green">
      <formula>NOT(ISERROR(SEARCH("Green",N35)))</formula>
    </cfRule>
  </conditionalFormatting>
  <conditionalFormatting sqref="N36">
    <cfRule type="containsText" dxfId="192" priority="269" operator="containsText" text="No Benchmark">
      <formula>NOT(ISERROR(SEARCH("No Benchmark",N36)))</formula>
    </cfRule>
    <cfRule type="containsText" dxfId="191" priority="270" operator="containsText" text="Red">
      <formula>NOT(ISERROR(SEARCH("Red",N36)))</formula>
    </cfRule>
    <cfRule type="containsText" dxfId="190" priority="271" operator="containsText" text="Orange">
      <formula>NOT(ISERROR(SEARCH("Orange",N36)))</formula>
    </cfRule>
    <cfRule type="containsText" dxfId="189" priority="272" operator="containsText" text="Yellow">
      <formula>NOT(ISERROR(SEARCH("Yellow",N36)))</formula>
    </cfRule>
    <cfRule type="containsText" dxfId="188" priority="273" operator="containsText" text="Green">
      <formula>NOT(ISERROR(SEARCH("Green",N36)))</formula>
    </cfRule>
  </conditionalFormatting>
  <conditionalFormatting sqref="N37">
    <cfRule type="containsText" dxfId="187" priority="264" operator="containsText" text="No Benchmark">
      <formula>NOT(ISERROR(SEARCH("No Benchmark",N37)))</formula>
    </cfRule>
    <cfRule type="containsText" dxfId="186" priority="265" operator="containsText" text="Red">
      <formula>NOT(ISERROR(SEARCH("Red",N37)))</formula>
    </cfRule>
    <cfRule type="containsText" dxfId="185" priority="266" operator="containsText" text="Orange">
      <formula>NOT(ISERROR(SEARCH("Orange",N37)))</formula>
    </cfRule>
    <cfRule type="containsText" dxfId="184" priority="267" operator="containsText" text="Yellow">
      <formula>NOT(ISERROR(SEARCH("Yellow",N37)))</formula>
    </cfRule>
    <cfRule type="containsText" dxfId="183" priority="268" operator="containsText" text="Green">
      <formula>NOT(ISERROR(SEARCH("Green",N37)))</formula>
    </cfRule>
  </conditionalFormatting>
  <conditionalFormatting sqref="N38">
    <cfRule type="containsText" dxfId="182" priority="259" operator="containsText" text="No Benchmark">
      <formula>NOT(ISERROR(SEARCH("No Benchmark",N38)))</formula>
    </cfRule>
    <cfRule type="containsText" dxfId="181" priority="260" operator="containsText" text="Red">
      <formula>NOT(ISERROR(SEARCH("Red",N38)))</formula>
    </cfRule>
    <cfRule type="containsText" dxfId="180" priority="261" operator="containsText" text="Orange">
      <formula>NOT(ISERROR(SEARCH("Orange",N38)))</formula>
    </cfRule>
    <cfRule type="containsText" dxfId="179" priority="262" operator="containsText" text="Yellow">
      <formula>NOT(ISERROR(SEARCH("Yellow",N38)))</formula>
    </cfRule>
    <cfRule type="containsText" dxfId="178" priority="263" operator="containsText" text="Green">
      <formula>NOT(ISERROR(SEARCH("Green",N38)))</formula>
    </cfRule>
  </conditionalFormatting>
  <conditionalFormatting sqref="N40">
    <cfRule type="containsText" dxfId="177" priority="254" operator="containsText" text="No Benchmark">
      <formula>NOT(ISERROR(SEARCH("No Benchmark",N40)))</formula>
    </cfRule>
    <cfRule type="containsText" dxfId="176" priority="255" operator="containsText" text="Red">
      <formula>NOT(ISERROR(SEARCH("Red",N40)))</formula>
    </cfRule>
    <cfRule type="containsText" dxfId="175" priority="256" operator="containsText" text="Orange">
      <formula>NOT(ISERROR(SEARCH("Orange",N40)))</formula>
    </cfRule>
    <cfRule type="containsText" dxfId="174" priority="257" operator="containsText" text="Yellow">
      <formula>NOT(ISERROR(SEARCH("Yellow",N40)))</formula>
    </cfRule>
    <cfRule type="containsText" dxfId="173" priority="258" operator="containsText" text="Green">
      <formula>NOT(ISERROR(SEARCH("Green",N40)))</formula>
    </cfRule>
  </conditionalFormatting>
  <conditionalFormatting sqref="N41">
    <cfRule type="containsText" dxfId="172" priority="249" operator="containsText" text="No Benchmark">
      <formula>NOT(ISERROR(SEARCH("No Benchmark",N41)))</formula>
    </cfRule>
    <cfRule type="containsText" dxfId="171" priority="250" operator="containsText" text="Red">
      <formula>NOT(ISERROR(SEARCH("Red",N41)))</formula>
    </cfRule>
    <cfRule type="containsText" dxfId="170" priority="251" operator="containsText" text="Orange">
      <formula>NOT(ISERROR(SEARCH("Orange",N41)))</formula>
    </cfRule>
    <cfRule type="containsText" dxfId="169" priority="252" operator="containsText" text="Yellow">
      <formula>NOT(ISERROR(SEARCH("Yellow",N41)))</formula>
    </cfRule>
    <cfRule type="containsText" dxfId="168" priority="253" operator="containsText" text="Green">
      <formula>NOT(ISERROR(SEARCH("Green",N41)))</formula>
    </cfRule>
  </conditionalFormatting>
  <conditionalFormatting sqref="C7">
    <cfRule type="containsText" dxfId="167" priority="248" operator="containsText" text="Pending">
      <formula>NOT(ISERROR(SEARCH("Pending",C7)))</formula>
    </cfRule>
  </conditionalFormatting>
  <conditionalFormatting sqref="C7">
    <cfRule type="containsText" dxfId="166" priority="244" operator="containsText" text="Alternative">
      <formula>NOT(ISERROR(SEARCH("Alternative",C7)))</formula>
    </cfRule>
    <cfRule type="containsText" dxfId="165" priority="245" operator="containsText" text="Not available">
      <formula>NOT(ISERROR(SEARCH("Not available",C7)))</formula>
    </cfRule>
    <cfRule type="containsText" dxfId="164" priority="246" operator="containsText" text="Incomplete">
      <formula>NOT(ISERROR(SEARCH("Incomplete",C7)))</formula>
    </cfRule>
    <cfRule type="containsText" dxfId="163" priority="247" operator="containsText" text="Complete">
      <formula>NOT(ISERROR(SEARCH("Complete",C7)))</formula>
    </cfRule>
  </conditionalFormatting>
  <conditionalFormatting sqref="D7">
    <cfRule type="containsText" dxfId="162" priority="239" operator="containsText" text="Alternative">
      <formula>NOT(ISERROR(SEARCH("Alternative",D7)))</formula>
    </cfRule>
    <cfRule type="containsText" dxfId="161" priority="241" operator="containsText" text="Not available">
      <formula>NOT(ISERROR(SEARCH("Not available",D7)))</formula>
    </cfRule>
    <cfRule type="containsText" dxfId="160" priority="242" operator="containsText" text="Incomplete">
      <formula>NOT(ISERROR(SEARCH("Incomplete",D7)))</formula>
    </cfRule>
    <cfRule type="containsText" dxfId="159" priority="243" operator="containsText" text="Complete">
      <formula>NOT(ISERROR(SEARCH("Complete",D7)))</formula>
    </cfRule>
  </conditionalFormatting>
  <conditionalFormatting sqref="D7">
    <cfRule type="containsText" dxfId="158" priority="240" operator="containsText" text="Pending">
      <formula>NOT(ISERROR(SEARCH("Pending",D7)))</formula>
    </cfRule>
  </conditionalFormatting>
  <conditionalFormatting sqref="B7">
    <cfRule type="containsText" dxfId="157" priority="238" operator="containsText" text="Pending">
      <formula>NOT(ISERROR(SEARCH("Pending",B7)))</formula>
    </cfRule>
  </conditionalFormatting>
  <conditionalFormatting sqref="C33">
    <cfRule type="containsText" dxfId="156" priority="237" operator="containsText" text="Pending">
      <formula>NOT(ISERROR(SEARCH("Pending",C33)))</formula>
    </cfRule>
  </conditionalFormatting>
  <conditionalFormatting sqref="C33">
    <cfRule type="containsText" dxfId="155" priority="233" operator="containsText" text="Alternative">
      <formula>NOT(ISERROR(SEARCH("Alternative",C33)))</formula>
    </cfRule>
    <cfRule type="containsText" dxfId="154" priority="234" operator="containsText" text="Not available">
      <formula>NOT(ISERROR(SEARCH("Not available",C33)))</formula>
    </cfRule>
    <cfRule type="containsText" dxfId="153" priority="235" operator="containsText" text="Incomplete">
      <formula>NOT(ISERROR(SEARCH("Incomplete",C33)))</formula>
    </cfRule>
    <cfRule type="containsText" dxfId="152" priority="236" operator="containsText" text="Complete">
      <formula>NOT(ISERROR(SEARCH("Complete",C33)))</formula>
    </cfRule>
  </conditionalFormatting>
  <conditionalFormatting sqref="D33">
    <cfRule type="containsText" dxfId="151" priority="228" operator="containsText" text="Alternative">
      <formula>NOT(ISERROR(SEARCH("Alternative",D33)))</formula>
    </cfRule>
    <cfRule type="containsText" dxfId="150" priority="230" operator="containsText" text="Not available">
      <formula>NOT(ISERROR(SEARCH("Not available",D33)))</formula>
    </cfRule>
    <cfRule type="containsText" dxfId="149" priority="231" operator="containsText" text="Incomplete">
      <formula>NOT(ISERROR(SEARCH("Incomplete",D33)))</formula>
    </cfRule>
    <cfRule type="containsText" dxfId="148" priority="232" operator="containsText" text="Complete">
      <formula>NOT(ISERROR(SEARCH("Complete",D33)))</formula>
    </cfRule>
  </conditionalFormatting>
  <conditionalFormatting sqref="D33">
    <cfRule type="containsText" dxfId="147" priority="229" operator="containsText" text="Pending">
      <formula>NOT(ISERROR(SEARCH("Pending",D33)))</formula>
    </cfRule>
  </conditionalFormatting>
  <conditionalFormatting sqref="B33">
    <cfRule type="containsText" dxfId="146" priority="227" operator="containsText" text="Pending">
      <formula>NOT(ISERROR(SEARCH("Pending",B33)))</formula>
    </cfRule>
  </conditionalFormatting>
  <conditionalFormatting sqref="C63">
    <cfRule type="containsText" dxfId="145" priority="226" operator="containsText" text="Pending">
      <formula>NOT(ISERROR(SEARCH("Pending",C63)))</formula>
    </cfRule>
  </conditionalFormatting>
  <conditionalFormatting sqref="C63">
    <cfRule type="containsText" dxfId="144" priority="222" operator="containsText" text="Alternative">
      <formula>NOT(ISERROR(SEARCH("Alternative",C63)))</formula>
    </cfRule>
    <cfRule type="containsText" dxfId="143" priority="223" operator="containsText" text="Not available">
      <formula>NOT(ISERROR(SEARCH("Not available",C63)))</formula>
    </cfRule>
    <cfRule type="containsText" dxfId="142" priority="224" operator="containsText" text="Incomplete">
      <formula>NOT(ISERROR(SEARCH("Incomplete",C63)))</formula>
    </cfRule>
    <cfRule type="containsText" dxfId="141" priority="225" operator="containsText" text="Complete">
      <formula>NOT(ISERROR(SEARCH("Complete",C63)))</formula>
    </cfRule>
  </conditionalFormatting>
  <conditionalFormatting sqref="D63">
    <cfRule type="containsText" dxfId="140" priority="217" operator="containsText" text="Alternative">
      <formula>NOT(ISERROR(SEARCH("Alternative",D63)))</formula>
    </cfRule>
    <cfRule type="containsText" dxfId="139" priority="219" operator="containsText" text="Not available">
      <formula>NOT(ISERROR(SEARCH("Not available",D63)))</formula>
    </cfRule>
    <cfRule type="containsText" dxfId="138" priority="220" operator="containsText" text="Incomplete">
      <formula>NOT(ISERROR(SEARCH("Incomplete",D63)))</formula>
    </cfRule>
    <cfRule type="containsText" dxfId="137" priority="221" operator="containsText" text="Complete">
      <formula>NOT(ISERROR(SEARCH("Complete",D63)))</formula>
    </cfRule>
  </conditionalFormatting>
  <conditionalFormatting sqref="D63">
    <cfRule type="containsText" dxfId="136" priority="218" operator="containsText" text="Pending">
      <formula>NOT(ISERROR(SEARCH("Pending",D63)))</formula>
    </cfRule>
  </conditionalFormatting>
  <conditionalFormatting sqref="B63">
    <cfRule type="containsText" dxfId="135" priority="216" operator="containsText" text="Pending">
      <formula>NOT(ISERROR(SEARCH("Pending",B63)))</formula>
    </cfRule>
  </conditionalFormatting>
  <conditionalFormatting sqref="C48">
    <cfRule type="containsText" dxfId="134" priority="215" operator="containsText" text="Pending">
      <formula>NOT(ISERROR(SEARCH("Pending",C48)))</formula>
    </cfRule>
  </conditionalFormatting>
  <conditionalFormatting sqref="C48">
    <cfRule type="containsText" dxfId="133" priority="211" operator="containsText" text="Alternative">
      <formula>NOT(ISERROR(SEARCH("Alternative",C48)))</formula>
    </cfRule>
    <cfRule type="containsText" dxfId="132" priority="212" operator="containsText" text="Not available">
      <formula>NOT(ISERROR(SEARCH("Not available",C48)))</formula>
    </cfRule>
    <cfRule type="containsText" dxfId="131" priority="213" operator="containsText" text="Incomplete">
      <formula>NOT(ISERROR(SEARCH("Incomplete",C48)))</formula>
    </cfRule>
    <cfRule type="containsText" dxfId="130" priority="214" operator="containsText" text="Complete">
      <formula>NOT(ISERROR(SEARCH("Complete",C48)))</formula>
    </cfRule>
  </conditionalFormatting>
  <conditionalFormatting sqref="D48">
    <cfRule type="containsText" dxfId="129" priority="206" operator="containsText" text="Alternative">
      <formula>NOT(ISERROR(SEARCH("Alternative",D48)))</formula>
    </cfRule>
    <cfRule type="containsText" dxfId="128" priority="208" operator="containsText" text="Not available">
      <formula>NOT(ISERROR(SEARCH("Not available",D48)))</formula>
    </cfRule>
    <cfRule type="containsText" dxfId="127" priority="209" operator="containsText" text="Incomplete">
      <formula>NOT(ISERROR(SEARCH("Incomplete",D48)))</formula>
    </cfRule>
    <cfRule type="containsText" dxfId="126" priority="210" operator="containsText" text="Complete">
      <formula>NOT(ISERROR(SEARCH("Complete",D48)))</formula>
    </cfRule>
  </conditionalFormatting>
  <conditionalFormatting sqref="D48">
    <cfRule type="containsText" dxfId="125" priority="207" operator="containsText" text="Pending">
      <formula>NOT(ISERROR(SEARCH("Pending",D48)))</formula>
    </cfRule>
  </conditionalFormatting>
  <conditionalFormatting sqref="B48">
    <cfRule type="containsText" dxfId="124" priority="205" operator="containsText" text="Pending">
      <formula>NOT(ISERROR(SEARCH("Pending",B48)))</formula>
    </cfRule>
  </conditionalFormatting>
  <conditionalFormatting sqref="O33">
    <cfRule type="containsText" dxfId="123" priority="204" operator="containsText" text="Pending">
      <formula>NOT(ISERROR(SEARCH("Pending",O33)))</formula>
    </cfRule>
  </conditionalFormatting>
  <conditionalFormatting sqref="O33">
    <cfRule type="containsText" dxfId="122" priority="200" operator="containsText" text="Alternative">
      <formula>NOT(ISERROR(SEARCH("Alternative",O33)))</formula>
    </cfRule>
    <cfRule type="containsText" dxfId="121" priority="201" operator="containsText" text="Not available">
      <formula>NOT(ISERROR(SEARCH("Not available",O33)))</formula>
    </cfRule>
    <cfRule type="containsText" dxfId="120" priority="202" operator="containsText" text="Incomplete">
      <formula>NOT(ISERROR(SEARCH("Incomplete",O33)))</formula>
    </cfRule>
    <cfRule type="containsText" dxfId="119" priority="203" operator="containsText" text="Complete">
      <formula>NOT(ISERROR(SEARCH("Complete",O33)))</formula>
    </cfRule>
  </conditionalFormatting>
  <conditionalFormatting sqref="P33">
    <cfRule type="containsText" dxfId="118" priority="195" operator="containsText" text="Alternative">
      <formula>NOT(ISERROR(SEARCH("Alternative",P33)))</formula>
    </cfRule>
    <cfRule type="containsText" dxfId="117" priority="197" operator="containsText" text="Not available">
      <formula>NOT(ISERROR(SEARCH("Not available",P33)))</formula>
    </cfRule>
    <cfRule type="containsText" dxfId="116" priority="198" operator="containsText" text="Incomplete">
      <formula>NOT(ISERROR(SEARCH("Incomplete",P33)))</formula>
    </cfRule>
    <cfRule type="containsText" dxfId="115" priority="199" operator="containsText" text="Complete">
      <formula>NOT(ISERROR(SEARCH("Complete",P33)))</formula>
    </cfRule>
  </conditionalFormatting>
  <conditionalFormatting sqref="P33">
    <cfRule type="containsText" dxfId="114" priority="196" operator="containsText" text="Pending">
      <formula>NOT(ISERROR(SEARCH("Pending",P33)))</formula>
    </cfRule>
  </conditionalFormatting>
  <conditionalFormatting sqref="N33">
    <cfRule type="containsText" dxfId="113" priority="194" operator="containsText" text="Pending">
      <formula>NOT(ISERROR(SEARCH("Pending",N33)))</formula>
    </cfRule>
  </conditionalFormatting>
  <conditionalFormatting sqref="N39 B54 B69 B39">
    <cfRule type="containsText" dxfId="112" priority="189" operator="containsText" text="Qualitative">
      <formula>NOT(ISERROR(SEARCH("Qualitative",B39)))</formula>
    </cfRule>
    <cfRule type="containsText" dxfId="111" priority="190" operator="containsText" text="Red">
      <formula>NOT(ISERROR(SEARCH("Red",B39)))</formula>
    </cfRule>
    <cfRule type="containsText" dxfId="110" priority="191" operator="containsText" text="Orange">
      <formula>NOT(ISERROR(SEARCH("Orange",B39)))</formula>
    </cfRule>
    <cfRule type="containsText" dxfId="109" priority="192" operator="containsText" text="Yellow">
      <formula>NOT(ISERROR(SEARCH("Yellow",B39)))</formula>
    </cfRule>
    <cfRule type="containsText" dxfId="108" priority="193" operator="containsText" text="Green">
      <formula>NOT(ISERROR(SEARCH("Green",B39)))</formula>
    </cfRule>
  </conditionalFormatting>
  <conditionalFormatting sqref="B79">
    <cfRule type="containsText" dxfId="107" priority="188" operator="containsText" text="Pending">
      <formula>NOT(ISERROR(SEARCH("Pending",B79)))</formula>
    </cfRule>
  </conditionalFormatting>
  <conditionalFormatting sqref="B80">
    <cfRule type="containsText" dxfId="106" priority="183" operator="containsText" text="No Benchmark">
      <formula>NOT(ISERROR(SEARCH("No Benchmark",B80)))</formula>
    </cfRule>
    <cfRule type="containsText" dxfId="105" priority="184" operator="containsText" text="Red">
      <formula>NOT(ISERROR(SEARCH("Red",B80)))</formula>
    </cfRule>
    <cfRule type="containsText" dxfId="104" priority="185" operator="containsText" text="Orange">
      <formula>NOT(ISERROR(SEARCH("Orange",B80)))</formula>
    </cfRule>
    <cfRule type="containsText" dxfId="103" priority="186" operator="containsText" text="Yellow">
      <formula>NOT(ISERROR(SEARCH("Yellow",B80)))</formula>
    </cfRule>
    <cfRule type="containsText" dxfId="102" priority="187" operator="containsText" text="Green">
      <formula>NOT(ISERROR(SEARCH("Green",B80)))</formula>
    </cfRule>
  </conditionalFormatting>
  <conditionalFormatting sqref="B81">
    <cfRule type="containsText" dxfId="101" priority="178" operator="containsText" text="No Benchmark">
      <formula>NOT(ISERROR(SEARCH("No Benchmark",B81)))</formula>
    </cfRule>
    <cfRule type="containsText" dxfId="100" priority="179" operator="containsText" text="Red">
      <formula>NOT(ISERROR(SEARCH("Red",B81)))</formula>
    </cfRule>
    <cfRule type="containsText" dxfId="99" priority="180" operator="containsText" text="Orange">
      <formula>NOT(ISERROR(SEARCH("Orange",B81)))</formula>
    </cfRule>
    <cfRule type="containsText" dxfId="98" priority="181" operator="containsText" text="Yellow">
      <formula>NOT(ISERROR(SEARCH("Yellow",B81)))</formula>
    </cfRule>
    <cfRule type="containsText" dxfId="97" priority="182" operator="containsText" text="Green">
      <formula>NOT(ISERROR(SEARCH("Green",B81)))</formula>
    </cfRule>
  </conditionalFormatting>
  <conditionalFormatting sqref="B82">
    <cfRule type="containsText" dxfId="96" priority="173" operator="containsText" text="No Benchmark">
      <formula>NOT(ISERROR(SEARCH("No Benchmark",B82)))</formula>
    </cfRule>
    <cfRule type="containsText" dxfId="95" priority="174" operator="containsText" text="Red">
      <formula>NOT(ISERROR(SEARCH("Red",B82)))</formula>
    </cfRule>
    <cfRule type="containsText" dxfId="94" priority="175" operator="containsText" text="Orange">
      <formula>NOT(ISERROR(SEARCH("Orange",B82)))</formula>
    </cfRule>
    <cfRule type="containsText" dxfId="93" priority="176" operator="containsText" text="Yellow">
      <formula>NOT(ISERROR(SEARCH("Yellow",B82)))</formula>
    </cfRule>
    <cfRule type="containsText" dxfId="92" priority="177" operator="containsText" text="Green">
      <formula>NOT(ISERROR(SEARCH("Green",B82)))</formula>
    </cfRule>
  </conditionalFormatting>
  <conditionalFormatting sqref="B83">
    <cfRule type="containsText" dxfId="91" priority="168" operator="containsText" text="No Benchmark">
      <formula>NOT(ISERROR(SEARCH("No Benchmark",B83)))</formula>
    </cfRule>
    <cfRule type="containsText" dxfId="90" priority="169" operator="containsText" text="Red">
      <formula>NOT(ISERROR(SEARCH("Red",B83)))</formula>
    </cfRule>
    <cfRule type="containsText" dxfId="89" priority="170" operator="containsText" text="Orange">
      <formula>NOT(ISERROR(SEARCH("Orange",B83)))</formula>
    </cfRule>
    <cfRule type="containsText" dxfId="88" priority="171" operator="containsText" text="Yellow">
      <formula>NOT(ISERROR(SEARCH("Yellow",B83)))</formula>
    </cfRule>
    <cfRule type="containsText" dxfId="87" priority="172" operator="containsText" text="Green">
      <formula>NOT(ISERROR(SEARCH("Green",B83)))</formula>
    </cfRule>
  </conditionalFormatting>
  <conditionalFormatting sqref="B85">
    <cfRule type="containsText" dxfId="86" priority="163" operator="containsText" text="No Benchmark">
      <formula>NOT(ISERROR(SEARCH("No Benchmark",B85)))</formula>
    </cfRule>
    <cfRule type="containsText" dxfId="85" priority="164" operator="containsText" text="Red">
      <formula>NOT(ISERROR(SEARCH("Red",B85)))</formula>
    </cfRule>
    <cfRule type="containsText" dxfId="84" priority="165" operator="containsText" text="Orange">
      <formula>NOT(ISERROR(SEARCH("Orange",B85)))</formula>
    </cfRule>
    <cfRule type="containsText" dxfId="83" priority="166" operator="containsText" text="Yellow">
      <formula>NOT(ISERROR(SEARCH("Yellow",B85)))</formula>
    </cfRule>
    <cfRule type="containsText" dxfId="82" priority="167" operator="containsText" text="Green">
      <formula>NOT(ISERROR(SEARCH("Green",B85)))</formula>
    </cfRule>
  </conditionalFormatting>
  <conditionalFormatting sqref="B86">
    <cfRule type="containsText" dxfId="81" priority="158" operator="containsText" text="No Benchmark">
      <formula>NOT(ISERROR(SEARCH("No Benchmark",B86)))</formula>
    </cfRule>
    <cfRule type="containsText" dxfId="80" priority="159" operator="containsText" text="Red">
      <formula>NOT(ISERROR(SEARCH("Red",B86)))</formula>
    </cfRule>
    <cfRule type="containsText" dxfId="79" priority="160" operator="containsText" text="Orange">
      <formula>NOT(ISERROR(SEARCH("Orange",B86)))</formula>
    </cfRule>
    <cfRule type="containsText" dxfId="78" priority="161" operator="containsText" text="Yellow">
      <formula>NOT(ISERROR(SEARCH("Yellow",B86)))</formula>
    </cfRule>
    <cfRule type="containsText" dxfId="77" priority="162" operator="containsText" text="Green">
      <formula>NOT(ISERROR(SEARCH("Green",B86)))</formula>
    </cfRule>
  </conditionalFormatting>
  <conditionalFormatting sqref="C78">
    <cfRule type="containsText" dxfId="76" priority="157" operator="containsText" text="Pending">
      <formula>NOT(ISERROR(SEARCH("Pending",C78)))</formula>
    </cfRule>
  </conditionalFormatting>
  <conditionalFormatting sqref="C78">
    <cfRule type="containsText" dxfId="75" priority="153" operator="containsText" text="Alternative">
      <formula>NOT(ISERROR(SEARCH("Alternative",C78)))</formula>
    </cfRule>
    <cfRule type="containsText" dxfId="74" priority="154" operator="containsText" text="Not available">
      <formula>NOT(ISERROR(SEARCH("Not available",C78)))</formula>
    </cfRule>
    <cfRule type="containsText" dxfId="73" priority="155" operator="containsText" text="Incomplete">
      <formula>NOT(ISERROR(SEARCH("Incomplete",C78)))</formula>
    </cfRule>
    <cfRule type="containsText" dxfId="72" priority="156" operator="containsText" text="Complete">
      <formula>NOT(ISERROR(SEARCH("Complete",C78)))</formula>
    </cfRule>
  </conditionalFormatting>
  <conditionalFormatting sqref="D78">
    <cfRule type="containsText" dxfId="71" priority="148" operator="containsText" text="Alternative">
      <formula>NOT(ISERROR(SEARCH("Alternative",D78)))</formula>
    </cfRule>
    <cfRule type="containsText" dxfId="70" priority="150" operator="containsText" text="Not available">
      <formula>NOT(ISERROR(SEARCH("Not available",D78)))</formula>
    </cfRule>
    <cfRule type="containsText" dxfId="69" priority="151" operator="containsText" text="Incomplete">
      <formula>NOT(ISERROR(SEARCH("Incomplete",D78)))</formula>
    </cfRule>
    <cfRule type="containsText" dxfId="68" priority="152" operator="containsText" text="Complete">
      <formula>NOT(ISERROR(SEARCH("Complete",D78)))</formula>
    </cfRule>
  </conditionalFormatting>
  <conditionalFormatting sqref="D78">
    <cfRule type="containsText" dxfId="67" priority="149" operator="containsText" text="Pending">
      <formula>NOT(ISERROR(SEARCH("Pending",D78)))</formula>
    </cfRule>
  </conditionalFormatting>
  <conditionalFormatting sqref="B78">
    <cfRule type="containsText" dxfId="66" priority="147" operator="containsText" text="Pending">
      <formula>NOT(ISERROR(SEARCH("Pending",B78)))</formula>
    </cfRule>
  </conditionalFormatting>
  <conditionalFormatting sqref="B84">
    <cfRule type="containsText" dxfId="65" priority="142" operator="containsText" text="Qualitative">
      <formula>NOT(ISERROR(SEARCH("Qualitative",B84)))</formula>
    </cfRule>
    <cfRule type="containsText" dxfId="64" priority="143" operator="containsText" text="Red">
      <formula>NOT(ISERROR(SEARCH("Red",B84)))</formula>
    </cfRule>
    <cfRule type="containsText" dxfId="63" priority="144" operator="containsText" text="Orange">
      <formula>NOT(ISERROR(SEARCH("Orange",B84)))</formula>
    </cfRule>
    <cfRule type="containsText" dxfId="62" priority="145" operator="containsText" text="Yellow">
      <formula>NOT(ISERROR(SEARCH("Yellow",B84)))</formula>
    </cfRule>
    <cfRule type="containsText" dxfId="61" priority="146" operator="containsText" text="Green">
      <formula>NOT(ISERROR(SEARCH("Green",B84)))</formula>
    </cfRule>
  </conditionalFormatting>
  <conditionalFormatting sqref="B94">
    <cfRule type="containsText" dxfId="60" priority="141" operator="containsText" text="Pending">
      <formula>NOT(ISERROR(SEARCH("Pending",B94)))</formula>
    </cfRule>
  </conditionalFormatting>
  <conditionalFormatting sqref="B95">
    <cfRule type="containsText" dxfId="59" priority="136" operator="containsText" text="No Benchmark">
      <formula>NOT(ISERROR(SEARCH("No Benchmark",B95)))</formula>
    </cfRule>
    <cfRule type="containsText" dxfId="58" priority="137" operator="containsText" text="Red">
      <formula>NOT(ISERROR(SEARCH("Red",B95)))</formula>
    </cfRule>
    <cfRule type="containsText" dxfId="57" priority="138" operator="containsText" text="Orange">
      <formula>NOT(ISERROR(SEARCH("Orange",B95)))</formula>
    </cfRule>
    <cfRule type="containsText" dxfId="56" priority="139" operator="containsText" text="Yellow">
      <formula>NOT(ISERROR(SEARCH("Yellow",B95)))</formula>
    </cfRule>
    <cfRule type="containsText" dxfId="55" priority="140" operator="containsText" text="Green">
      <formula>NOT(ISERROR(SEARCH("Green",B95)))</formula>
    </cfRule>
  </conditionalFormatting>
  <conditionalFormatting sqref="B96">
    <cfRule type="containsText" dxfId="54" priority="131" operator="containsText" text="No Benchmark">
      <formula>NOT(ISERROR(SEARCH("No Benchmark",B96)))</formula>
    </cfRule>
    <cfRule type="containsText" dxfId="53" priority="132" operator="containsText" text="Red">
      <formula>NOT(ISERROR(SEARCH("Red",B96)))</formula>
    </cfRule>
    <cfRule type="containsText" dxfId="52" priority="133" operator="containsText" text="Orange">
      <formula>NOT(ISERROR(SEARCH("Orange",B96)))</formula>
    </cfRule>
    <cfRule type="containsText" dxfId="51" priority="134" operator="containsText" text="Yellow">
      <formula>NOT(ISERROR(SEARCH("Yellow",B96)))</formula>
    </cfRule>
    <cfRule type="containsText" dxfId="50" priority="135" operator="containsText" text="Green">
      <formula>NOT(ISERROR(SEARCH("Green",B96)))</formula>
    </cfRule>
  </conditionalFormatting>
  <conditionalFormatting sqref="B97">
    <cfRule type="containsText" dxfId="49" priority="126" operator="containsText" text="No Benchmark">
      <formula>NOT(ISERROR(SEARCH("No Benchmark",B97)))</formula>
    </cfRule>
    <cfRule type="containsText" dxfId="48" priority="127" operator="containsText" text="Red">
      <formula>NOT(ISERROR(SEARCH("Red",B97)))</formula>
    </cfRule>
    <cfRule type="containsText" dxfId="47" priority="128" operator="containsText" text="Orange">
      <formula>NOT(ISERROR(SEARCH("Orange",B97)))</formula>
    </cfRule>
    <cfRule type="containsText" dxfId="46" priority="129" operator="containsText" text="Yellow">
      <formula>NOT(ISERROR(SEARCH("Yellow",B97)))</formula>
    </cfRule>
    <cfRule type="containsText" dxfId="45" priority="130" operator="containsText" text="Green">
      <formula>NOT(ISERROR(SEARCH("Green",B97)))</formula>
    </cfRule>
  </conditionalFormatting>
  <conditionalFormatting sqref="B98">
    <cfRule type="containsText" dxfId="44" priority="121" operator="containsText" text="No Benchmark">
      <formula>NOT(ISERROR(SEARCH("No Benchmark",B98)))</formula>
    </cfRule>
    <cfRule type="containsText" dxfId="43" priority="122" operator="containsText" text="Red">
      <formula>NOT(ISERROR(SEARCH("Red",B98)))</formula>
    </cfRule>
    <cfRule type="containsText" dxfId="42" priority="123" operator="containsText" text="Orange">
      <formula>NOT(ISERROR(SEARCH("Orange",B98)))</formula>
    </cfRule>
    <cfRule type="containsText" dxfId="41" priority="124" operator="containsText" text="Yellow">
      <formula>NOT(ISERROR(SEARCH("Yellow",B98)))</formula>
    </cfRule>
    <cfRule type="containsText" dxfId="40" priority="125" operator="containsText" text="Green">
      <formula>NOT(ISERROR(SEARCH("Green",B98)))</formula>
    </cfRule>
  </conditionalFormatting>
  <conditionalFormatting sqref="B100">
    <cfRule type="containsText" dxfId="39" priority="116" operator="containsText" text="No Benchmark">
      <formula>NOT(ISERROR(SEARCH("No Benchmark",B100)))</formula>
    </cfRule>
    <cfRule type="containsText" dxfId="38" priority="117" operator="containsText" text="Red">
      <formula>NOT(ISERROR(SEARCH("Red",B100)))</formula>
    </cfRule>
    <cfRule type="containsText" dxfId="37" priority="118" operator="containsText" text="Orange">
      <formula>NOT(ISERROR(SEARCH("Orange",B100)))</formula>
    </cfRule>
    <cfRule type="containsText" dxfId="36" priority="119" operator="containsText" text="Yellow">
      <formula>NOT(ISERROR(SEARCH("Yellow",B100)))</formula>
    </cfRule>
    <cfRule type="containsText" dxfId="35" priority="120" operator="containsText" text="Green">
      <formula>NOT(ISERROR(SEARCH("Green",B100)))</formula>
    </cfRule>
  </conditionalFormatting>
  <conditionalFormatting sqref="B101">
    <cfRule type="containsText" dxfId="34" priority="111" operator="containsText" text="No Benchmark">
      <formula>NOT(ISERROR(SEARCH("No Benchmark",B101)))</formula>
    </cfRule>
    <cfRule type="containsText" dxfId="33" priority="112" operator="containsText" text="Red">
      <formula>NOT(ISERROR(SEARCH("Red",B101)))</formula>
    </cfRule>
    <cfRule type="containsText" dxfId="32" priority="113" operator="containsText" text="Orange">
      <formula>NOT(ISERROR(SEARCH("Orange",B101)))</formula>
    </cfRule>
    <cfRule type="containsText" dxfId="31" priority="114" operator="containsText" text="Yellow">
      <formula>NOT(ISERROR(SEARCH("Yellow",B101)))</formula>
    </cfRule>
    <cfRule type="containsText" dxfId="30" priority="115" operator="containsText" text="Green">
      <formula>NOT(ISERROR(SEARCH("Green",B101)))</formula>
    </cfRule>
  </conditionalFormatting>
  <conditionalFormatting sqref="C93">
    <cfRule type="containsText" dxfId="29" priority="110" operator="containsText" text="Pending">
      <formula>NOT(ISERROR(SEARCH("Pending",C93)))</formula>
    </cfRule>
  </conditionalFormatting>
  <conditionalFormatting sqref="C93">
    <cfRule type="containsText" dxfId="28" priority="106" operator="containsText" text="Alternative">
      <formula>NOT(ISERROR(SEARCH("Alternative",C93)))</formula>
    </cfRule>
    <cfRule type="containsText" dxfId="27" priority="107" operator="containsText" text="Not available">
      <formula>NOT(ISERROR(SEARCH("Not available",C93)))</formula>
    </cfRule>
    <cfRule type="containsText" dxfId="26" priority="108" operator="containsText" text="Incomplete">
      <formula>NOT(ISERROR(SEARCH("Incomplete",C93)))</formula>
    </cfRule>
    <cfRule type="containsText" dxfId="25" priority="109" operator="containsText" text="Complete">
      <formula>NOT(ISERROR(SEARCH("Complete",C93)))</formula>
    </cfRule>
  </conditionalFormatting>
  <conditionalFormatting sqref="D93">
    <cfRule type="containsText" dxfId="24" priority="101" operator="containsText" text="Alternative">
      <formula>NOT(ISERROR(SEARCH("Alternative",D93)))</formula>
    </cfRule>
    <cfRule type="containsText" dxfId="23" priority="103" operator="containsText" text="Not available">
      <formula>NOT(ISERROR(SEARCH("Not available",D93)))</formula>
    </cfRule>
    <cfRule type="containsText" dxfId="22" priority="104" operator="containsText" text="Incomplete">
      <formula>NOT(ISERROR(SEARCH("Incomplete",D93)))</formula>
    </cfRule>
    <cfRule type="containsText" dxfId="21" priority="105" operator="containsText" text="Complete">
      <formula>NOT(ISERROR(SEARCH("Complete",D93)))</formula>
    </cfRule>
  </conditionalFormatting>
  <conditionalFormatting sqref="D93">
    <cfRule type="containsText" dxfId="20" priority="102" operator="containsText" text="Pending">
      <formula>NOT(ISERROR(SEARCH("Pending",D93)))</formula>
    </cfRule>
  </conditionalFormatting>
  <conditionalFormatting sqref="B93">
    <cfRule type="containsText" dxfId="19" priority="100" operator="containsText" text="Pending">
      <formula>NOT(ISERROR(SEARCH("Pending",B93)))</formula>
    </cfRule>
  </conditionalFormatting>
  <conditionalFormatting sqref="B99">
    <cfRule type="containsText" dxfId="18" priority="95" operator="containsText" text="Qualitative">
      <formula>NOT(ISERROR(SEARCH("Qualitative",B99)))</formula>
    </cfRule>
    <cfRule type="containsText" dxfId="17" priority="96" operator="containsText" text="Red">
      <formula>NOT(ISERROR(SEARCH("Red",B99)))</formula>
    </cfRule>
    <cfRule type="containsText" dxfId="16" priority="97" operator="containsText" text="Orange">
      <formula>NOT(ISERROR(SEARCH("Orange",B99)))</formula>
    </cfRule>
    <cfRule type="containsText" dxfId="15" priority="98" operator="containsText" text="Yellow">
      <formula>NOT(ISERROR(SEARCH("Yellow",B99)))</formula>
    </cfRule>
    <cfRule type="containsText" dxfId="14" priority="99" operator="containsText" text="Green">
      <formula>NOT(ISERROR(SEARCH("Green",B99)))</formula>
    </cfRule>
  </conditionalFormatting>
  <pageMargins left="0.7" right="0.7" top="0.75" bottom="0.75" header="0.3" footer="0.3"/>
  <pageSetup paperSize="9" orientation="portrait" horizontalDpi="4294967292" verticalDpi="429496729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34A2F-3ED5-4E98-9A40-F0FA0D8C6A64}">
  <sheetPr codeName="Sheet9">
    <tabColor theme="1"/>
  </sheetPr>
  <dimension ref="A1:CL402"/>
  <sheetViews>
    <sheetView topLeftCell="A92" zoomScale="55" zoomScaleNormal="55" zoomScalePageLayoutView="55" workbookViewId="0">
      <selection activeCell="C158" sqref="C158"/>
    </sheetView>
  </sheetViews>
  <sheetFormatPr baseColWidth="10" defaultColWidth="10.83203125" defaultRowHeight="16"/>
  <cols>
    <col min="1" max="1" width="26.6640625" style="244" customWidth="1"/>
    <col min="2" max="2" width="20.5" style="244" customWidth="1"/>
    <col min="3" max="3" width="18.1640625" style="244" customWidth="1"/>
    <col min="4" max="4" width="14.1640625" style="244" bestFit="1" customWidth="1"/>
    <col min="5" max="5" width="29.83203125" style="244" customWidth="1"/>
    <col min="6" max="6" width="32.5" style="244" bestFit="1" customWidth="1"/>
    <col min="7" max="7" width="23.83203125" style="244" customWidth="1"/>
    <col min="8" max="8" width="36.6640625" style="244" bestFit="1" customWidth="1"/>
    <col min="9" max="9" width="43.1640625" style="244" bestFit="1" customWidth="1"/>
    <col min="10" max="10" width="19.83203125" style="244" customWidth="1"/>
    <col min="11" max="11" width="28.6640625" style="244" bestFit="1" customWidth="1"/>
    <col min="12" max="12" width="36.6640625" style="244" bestFit="1" customWidth="1"/>
    <col min="13" max="13" width="30" style="244" bestFit="1" customWidth="1"/>
    <col min="14" max="14" width="36.6640625" style="244" bestFit="1" customWidth="1"/>
    <col min="15" max="15" width="37" style="244" bestFit="1" customWidth="1"/>
    <col min="16" max="16" width="15.83203125" style="244" customWidth="1"/>
    <col min="17" max="17" width="17.6640625" style="244" bestFit="1" customWidth="1"/>
    <col min="18" max="18" width="24.33203125" style="244" customWidth="1"/>
    <col min="19" max="19" width="17.1640625" style="244" customWidth="1"/>
    <col min="20" max="20" width="38.5" style="244" customWidth="1"/>
    <col min="21" max="21" width="17.33203125" style="244" customWidth="1"/>
    <col min="22" max="22" width="52.5" style="244" customWidth="1"/>
    <col min="23" max="16384" width="10.83203125" style="244"/>
  </cols>
  <sheetData>
    <row r="1" spans="1:52" ht="19">
      <c r="A1" s="242" t="s">
        <v>205</v>
      </c>
      <c r="B1" s="243" t="s">
        <v>206</v>
      </c>
      <c r="C1" s="243" t="s">
        <v>207</v>
      </c>
      <c r="D1" s="243" t="s">
        <v>13</v>
      </c>
      <c r="E1" s="243" t="s">
        <v>208</v>
      </c>
      <c r="F1" s="243" t="s">
        <v>209</v>
      </c>
      <c r="G1" s="243" t="s">
        <v>210</v>
      </c>
      <c r="H1" s="243" t="s">
        <v>211</v>
      </c>
      <c r="I1" s="243" t="s">
        <v>212</v>
      </c>
      <c r="J1" s="243" t="s">
        <v>213</v>
      </c>
      <c r="K1" s="243" t="s">
        <v>214</v>
      </c>
      <c r="L1" s="243" t="s">
        <v>215</v>
      </c>
      <c r="M1" s="243" t="s">
        <v>216</v>
      </c>
      <c r="N1" s="323" t="s">
        <v>217</v>
      </c>
      <c r="O1" s="323" t="s">
        <v>76</v>
      </c>
      <c r="P1" s="323" t="s">
        <v>75</v>
      </c>
      <c r="Q1" s="323" t="s">
        <v>218</v>
      </c>
      <c r="R1" s="323" t="s">
        <v>490</v>
      </c>
      <c r="S1" s="324"/>
      <c r="T1" s="323" t="s">
        <v>691</v>
      </c>
      <c r="U1" s="324"/>
      <c r="V1" s="323" t="s">
        <v>946</v>
      </c>
      <c r="W1" s="324"/>
      <c r="X1" s="324"/>
      <c r="Y1" s="324"/>
      <c r="Z1" s="324"/>
      <c r="AA1" s="324"/>
      <c r="AB1" s="324"/>
      <c r="AC1" s="324"/>
      <c r="AD1" s="324"/>
      <c r="AE1" s="324"/>
      <c r="AF1" s="324"/>
      <c r="AG1" s="324"/>
      <c r="AH1" s="324"/>
      <c r="AI1" s="324"/>
      <c r="AJ1" s="324"/>
      <c r="AK1" s="324"/>
      <c r="AL1" s="324"/>
      <c r="AM1" s="324"/>
      <c r="AN1" s="324"/>
      <c r="AO1" s="324"/>
      <c r="AP1" s="324"/>
      <c r="AQ1" s="324"/>
      <c r="AR1" s="324"/>
      <c r="AS1" s="324"/>
      <c r="AT1" s="324"/>
      <c r="AU1" s="324"/>
      <c r="AV1" s="324"/>
      <c r="AW1" s="324"/>
      <c r="AX1" s="324"/>
      <c r="AY1" s="324"/>
      <c r="AZ1" s="324"/>
    </row>
    <row r="2" spans="1:52" ht="22" customHeight="1">
      <c r="A2" s="242" t="s">
        <v>219</v>
      </c>
      <c r="B2" t="s">
        <v>220</v>
      </c>
      <c r="C2" t="s">
        <v>221</v>
      </c>
      <c r="D2" t="s">
        <v>28</v>
      </c>
      <c r="E2" t="s">
        <v>15</v>
      </c>
      <c r="F2" t="s">
        <v>4</v>
      </c>
      <c r="G2" t="s">
        <v>222</v>
      </c>
      <c r="H2" t="s">
        <v>223</v>
      </c>
      <c r="I2" t="s">
        <v>224</v>
      </c>
      <c r="J2" t="s">
        <v>223</v>
      </c>
      <c r="K2" t="s">
        <v>225</v>
      </c>
      <c r="L2" t="s">
        <v>224</v>
      </c>
      <c r="M2" t="s">
        <v>224</v>
      </c>
      <c r="N2" s="324" t="s">
        <v>226</v>
      </c>
      <c r="O2" s="324" t="s">
        <v>92</v>
      </c>
      <c r="P2" s="324" t="s">
        <v>91</v>
      </c>
      <c r="Q2" s="325" t="s">
        <v>227</v>
      </c>
      <c r="R2" s="326" t="s">
        <v>449</v>
      </c>
      <c r="S2" s="324"/>
      <c r="T2" s="312" t="s">
        <v>95</v>
      </c>
      <c r="U2" s="324"/>
      <c r="V2" s="312" t="s">
        <v>945</v>
      </c>
      <c r="W2" s="324"/>
      <c r="X2" s="324"/>
      <c r="Y2" s="324"/>
      <c r="Z2" s="324"/>
      <c r="AA2" s="324"/>
      <c r="AB2" s="324"/>
      <c r="AC2" s="324"/>
      <c r="AD2" s="324"/>
      <c r="AE2" s="324"/>
      <c r="AF2" s="324"/>
      <c r="AG2" s="324"/>
      <c r="AH2" s="324"/>
      <c r="AI2" s="324"/>
      <c r="AJ2" s="324"/>
      <c r="AK2" s="324"/>
      <c r="AL2" s="324"/>
      <c r="AM2" s="324"/>
      <c r="AN2" s="324"/>
      <c r="AO2" s="324"/>
      <c r="AP2" s="324"/>
      <c r="AQ2" s="324"/>
      <c r="AR2" s="324"/>
      <c r="AS2" s="324"/>
      <c r="AT2" s="324"/>
      <c r="AU2" s="324"/>
      <c r="AV2" s="324"/>
      <c r="AW2" s="324"/>
      <c r="AX2" s="324"/>
      <c r="AY2" s="324"/>
      <c r="AZ2" s="324"/>
    </row>
    <row r="3" spans="1:52" ht="18">
      <c r="A3"/>
      <c r="B3" t="s">
        <v>228</v>
      </c>
      <c r="C3" t="s">
        <v>103</v>
      </c>
      <c r="D3" t="s">
        <v>27</v>
      </c>
      <c r="E3" t="s">
        <v>229</v>
      </c>
      <c r="F3" t="s">
        <v>8</v>
      </c>
      <c r="G3" t="s">
        <v>230</v>
      </c>
      <c r="H3" t="s">
        <v>231</v>
      </c>
      <c r="I3" t="s">
        <v>232</v>
      </c>
      <c r="J3" t="s">
        <v>231</v>
      </c>
      <c r="K3" t="s">
        <v>105</v>
      </c>
      <c r="L3" t="s">
        <v>233</v>
      </c>
      <c r="M3" t="s">
        <v>234</v>
      </c>
      <c r="N3" s="324" t="s">
        <v>235</v>
      </c>
      <c r="O3" s="324" t="s">
        <v>100</v>
      </c>
      <c r="P3" s="324" t="s">
        <v>97</v>
      </c>
      <c r="Q3" s="324"/>
      <c r="R3" s="326" t="s">
        <v>450</v>
      </c>
      <c r="S3" s="324"/>
      <c r="T3" s="312" t="s">
        <v>692</v>
      </c>
      <c r="U3" s="324"/>
      <c r="V3" s="312" t="s">
        <v>525</v>
      </c>
      <c r="W3" s="324"/>
      <c r="X3" s="324"/>
      <c r="Y3" s="324"/>
      <c r="Z3" s="324"/>
      <c r="AA3" s="324"/>
      <c r="AB3" s="324"/>
      <c r="AC3" s="324"/>
      <c r="AD3" s="324"/>
      <c r="AE3" s="324"/>
      <c r="AF3" s="324"/>
      <c r="AG3" s="324"/>
      <c r="AH3" s="324"/>
      <c r="AI3" s="324"/>
      <c r="AJ3" s="324"/>
      <c r="AK3" s="324"/>
      <c r="AL3" s="324"/>
      <c r="AM3" s="324"/>
      <c r="AN3" s="324"/>
      <c r="AO3" s="324"/>
      <c r="AP3" s="324"/>
      <c r="AQ3" s="324"/>
      <c r="AR3" s="324"/>
      <c r="AS3" s="324"/>
      <c r="AT3" s="324"/>
      <c r="AU3" s="324"/>
      <c r="AV3" s="324"/>
      <c r="AW3" s="324"/>
      <c r="AX3" s="324"/>
      <c r="AY3" s="324"/>
      <c r="AZ3" s="324"/>
    </row>
    <row r="4" spans="1:52" ht="16" customHeight="1">
      <c r="A4"/>
      <c r="B4" t="s">
        <v>236</v>
      </c>
      <c r="C4" t="s">
        <v>104</v>
      </c>
      <c r="D4" t="s">
        <v>26</v>
      </c>
      <c r="E4" t="s">
        <v>14</v>
      </c>
      <c r="F4"/>
      <c r="G4" t="s">
        <v>237</v>
      </c>
      <c r="H4" t="s">
        <v>238</v>
      </c>
      <c r="I4" t="s">
        <v>239</v>
      </c>
      <c r="J4" t="s">
        <v>238</v>
      </c>
      <c r="K4" t="s">
        <v>109</v>
      </c>
      <c r="L4" t="s">
        <v>240</v>
      </c>
      <c r="M4" t="s">
        <v>4</v>
      </c>
      <c r="N4" s="324" t="s">
        <v>241</v>
      </c>
      <c r="O4" s="324" t="s">
        <v>102</v>
      </c>
      <c r="P4" s="324" t="s">
        <v>93</v>
      </c>
      <c r="Q4" s="324"/>
      <c r="R4" s="326" t="s">
        <v>452</v>
      </c>
      <c r="S4" s="324"/>
      <c r="T4" s="312" t="s">
        <v>693</v>
      </c>
      <c r="U4" s="324"/>
      <c r="V4" s="324"/>
      <c r="W4" s="324"/>
      <c r="X4" s="324"/>
      <c r="Y4" s="324"/>
      <c r="Z4" s="324"/>
      <c r="AA4" s="324"/>
      <c r="AB4" s="324"/>
      <c r="AC4" s="324"/>
      <c r="AD4" s="324"/>
      <c r="AE4" s="324"/>
      <c r="AF4" s="324"/>
      <c r="AG4" s="324"/>
      <c r="AH4" s="324"/>
      <c r="AI4" s="324"/>
      <c r="AJ4" s="324"/>
      <c r="AK4" s="324"/>
      <c r="AL4" s="324"/>
      <c r="AM4" s="324"/>
      <c r="AN4" s="324"/>
      <c r="AO4" s="324"/>
      <c r="AP4" s="324"/>
      <c r="AQ4" s="324"/>
      <c r="AR4" s="324"/>
      <c r="AS4" s="324"/>
      <c r="AT4" s="324"/>
      <c r="AU4" s="324"/>
      <c r="AV4" s="324"/>
      <c r="AW4" s="324"/>
      <c r="AX4" s="324"/>
      <c r="AY4" s="324"/>
      <c r="AZ4" s="324"/>
    </row>
    <row r="5" spans="1:52" ht="18">
      <c r="A5"/>
      <c r="B5"/>
      <c r="C5" t="s">
        <v>105</v>
      </c>
      <c r="D5"/>
      <c r="E5"/>
      <c r="F5"/>
      <c r="G5" t="s">
        <v>242</v>
      </c>
      <c r="H5" t="s">
        <v>243</v>
      </c>
      <c r="I5" t="s">
        <v>244</v>
      </c>
      <c r="J5" t="s">
        <v>243</v>
      </c>
      <c r="K5"/>
      <c r="L5" t="s">
        <v>245</v>
      </c>
      <c r="M5"/>
      <c r="N5" s="324" t="s">
        <v>246</v>
      </c>
      <c r="O5" s="324" t="s">
        <v>247</v>
      </c>
      <c r="P5" s="324"/>
      <c r="Q5" s="324"/>
      <c r="R5" s="326" t="s">
        <v>453</v>
      </c>
      <c r="S5" s="324"/>
      <c r="T5" s="312" t="s">
        <v>96</v>
      </c>
      <c r="U5" s="324"/>
      <c r="V5" s="324"/>
      <c r="W5" s="324"/>
      <c r="X5" s="324"/>
      <c r="Y5" s="324"/>
      <c r="Z5" s="324"/>
      <c r="AA5" s="324"/>
      <c r="AB5" s="324"/>
      <c r="AC5" s="324"/>
      <c r="AD5" s="324"/>
      <c r="AE5" s="324"/>
      <c r="AF5" s="324"/>
      <c r="AG5" s="324"/>
      <c r="AH5" s="324"/>
      <c r="AI5" s="324"/>
      <c r="AJ5" s="324"/>
      <c r="AK5" s="324"/>
      <c r="AL5" s="324"/>
      <c r="AM5" s="324"/>
      <c r="AN5" s="324"/>
      <c r="AO5" s="324"/>
      <c r="AP5" s="324"/>
      <c r="AQ5" s="324"/>
      <c r="AR5" s="324"/>
      <c r="AS5" s="324"/>
      <c r="AT5" s="324"/>
      <c r="AU5" s="324"/>
      <c r="AV5" s="324"/>
      <c r="AW5" s="324"/>
      <c r="AX5" s="324"/>
      <c r="AY5" s="324"/>
      <c r="AZ5" s="324"/>
    </row>
    <row r="6" spans="1:52">
      <c r="A6"/>
      <c r="B6"/>
      <c r="C6" t="s">
        <v>106</v>
      </c>
      <c r="D6"/>
      <c r="E6"/>
      <c r="F6"/>
      <c r="G6" t="s">
        <v>248</v>
      </c>
      <c r="H6" t="s">
        <v>249</v>
      </c>
      <c r="I6"/>
      <c r="J6" t="s">
        <v>250</v>
      </c>
      <c r="K6"/>
      <c r="L6"/>
      <c r="M6"/>
      <c r="N6" s="324"/>
      <c r="O6" s="324" t="s">
        <v>251</v>
      </c>
      <c r="P6" s="324"/>
      <c r="Q6" s="324"/>
      <c r="R6" s="324"/>
      <c r="S6" s="324"/>
      <c r="T6" s="324"/>
      <c r="U6" s="324"/>
      <c r="V6" s="324"/>
      <c r="W6" s="324"/>
      <c r="X6" s="324"/>
      <c r="Y6" s="324"/>
      <c r="Z6" s="324"/>
      <c r="AA6" s="324"/>
      <c r="AB6" s="324"/>
      <c r="AC6" s="324"/>
      <c r="AD6" s="324"/>
      <c r="AE6" s="324"/>
      <c r="AF6" s="324"/>
      <c r="AG6" s="324"/>
      <c r="AH6" s="324"/>
      <c r="AI6" s="324"/>
      <c r="AJ6" s="324"/>
      <c r="AK6" s="324"/>
      <c r="AL6" s="324"/>
      <c r="AM6" s="324"/>
      <c r="AN6" s="324"/>
      <c r="AO6" s="324"/>
      <c r="AP6" s="324"/>
      <c r="AQ6" s="324"/>
      <c r="AR6" s="324"/>
      <c r="AS6" s="324"/>
      <c r="AT6" s="324"/>
      <c r="AU6" s="324"/>
      <c r="AV6" s="324"/>
      <c r="AW6" s="324"/>
      <c r="AX6" s="324"/>
      <c r="AY6" s="324"/>
      <c r="AZ6" s="324"/>
    </row>
    <row r="7" spans="1:52">
      <c r="A7"/>
      <c r="B7"/>
      <c r="C7" t="s">
        <v>107</v>
      </c>
      <c r="D7"/>
      <c r="E7"/>
      <c r="F7"/>
      <c r="G7" t="s">
        <v>252</v>
      </c>
      <c r="H7"/>
      <c r="I7"/>
      <c r="J7" t="s">
        <v>253</v>
      </c>
      <c r="K7"/>
      <c r="L7"/>
      <c r="M7"/>
      <c r="N7" s="324"/>
      <c r="O7" s="324" t="s">
        <v>254</v>
      </c>
      <c r="P7" s="324"/>
      <c r="Q7" s="324"/>
      <c r="R7" s="324"/>
      <c r="S7" s="324"/>
      <c r="T7" s="779" t="s">
        <v>950</v>
      </c>
      <c r="U7" s="780"/>
      <c r="V7" s="780"/>
      <c r="W7" s="780"/>
      <c r="X7" s="781"/>
      <c r="Y7" s="324"/>
      <c r="Z7" s="324"/>
      <c r="AA7" s="324"/>
      <c r="AB7" s="324"/>
      <c r="AC7" s="324"/>
      <c r="AD7" s="324"/>
      <c r="AE7" s="324"/>
      <c r="AF7" s="324"/>
      <c r="AG7" s="324"/>
      <c r="AH7" s="324"/>
      <c r="AI7" s="324"/>
      <c r="AJ7" s="324"/>
      <c r="AK7" s="324"/>
      <c r="AL7" s="324"/>
      <c r="AM7" s="324"/>
      <c r="AN7" s="324"/>
      <c r="AO7" s="324"/>
      <c r="AP7" s="324"/>
      <c r="AQ7" s="324"/>
      <c r="AR7" s="324"/>
      <c r="AS7" s="324"/>
      <c r="AT7" s="324"/>
      <c r="AU7" s="324"/>
      <c r="AV7" s="324"/>
      <c r="AW7" s="324"/>
      <c r="AX7" s="324"/>
      <c r="AY7" s="324"/>
      <c r="AZ7" s="324"/>
    </row>
    <row r="8" spans="1:52">
      <c r="A8"/>
      <c r="B8"/>
      <c r="C8" t="s">
        <v>108</v>
      </c>
      <c r="D8"/>
      <c r="E8"/>
      <c r="F8"/>
      <c r="G8"/>
      <c r="H8"/>
      <c r="I8" t="s">
        <v>255</v>
      </c>
      <c r="J8"/>
      <c r="K8"/>
      <c r="L8"/>
      <c r="M8"/>
      <c r="N8" s="324"/>
      <c r="O8" s="324" t="s">
        <v>111</v>
      </c>
      <c r="P8" s="324"/>
      <c r="Q8" s="324"/>
      <c r="R8" s="324"/>
      <c r="S8" s="324"/>
      <c r="T8" s="779" t="s">
        <v>951</v>
      </c>
      <c r="U8" s="780"/>
      <c r="V8" s="780"/>
      <c r="W8" s="780"/>
      <c r="X8" s="781"/>
      <c r="Y8" s="324"/>
      <c r="Z8" s="324"/>
      <c r="AA8" s="324"/>
      <c r="AB8" s="324"/>
      <c r="AC8" s="324"/>
      <c r="AD8" s="324"/>
      <c r="AE8" s="324"/>
      <c r="AF8" s="324"/>
      <c r="AG8" s="324"/>
      <c r="AH8" s="324"/>
      <c r="AI8" s="324"/>
      <c r="AJ8" s="324"/>
      <c r="AK8" s="324"/>
      <c r="AL8" s="324"/>
      <c r="AM8" s="324"/>
      <c r="AN8" s="324"/>
      <c r="AO8" s="324"/>
      <c r="AP8" s="324"/>
      <c r="AQ8" s="324"/>
      <c r="AR8" s="324"/>
      <c r="AS8" s="324"/>
      <c r="AT8" s="324"/>
      <c r="AU8" s="324"/>
      <c r="AV8" s="324"/>
      <c r="AW8" s="324"/>
      <c r="AX8" s="324"/>
      <c r="AY8" s="324"/>
      <c r="AZ8" s="324"/>
    </row>
    <row r="9" spans="1:52" ht="16" customHeight="1">
      <c r="A9"/>
      <c r="B9"/>
      <c r="C9" t="s">
        <v>109</v>
      </c>
      <c r="D9"/>
      <c r="E9" s="245" t="s">
        <v>256</v>
      </c>
      <c r="F9" s="243" t="s">
        <v>257</v>
      </c>
      <c r="G9" s="245" t="s">
        <v>258</v>
      </c>
      <c r="H9" s="246" t="s">
        <v>223</v>
      </c>
      <c r="I9" s="246" t="s">
        <v>226</v>
      </c>
      <c r="J9"/>
      <c r="K9" t="s">
        <v>103</v>
      </c>
      <c r="L9"/>
      <c r="M9"/>
      <c r="N9" s="324"/>
      <c r="O9" s="324" t="s">
        <v>94</v>
      </c>
      <c r="P9" s="324"/>
      <c r="Q9" s="324"/>
      <c r="R9" s="324"/>
      <c r="S9" s="324"/>
      <c r="T9" s="779" t="s">
        <v>952</v>
      </c>
      <c r="U9" s="780"/>
      <c r="V9" s="780"/>
      <c r="W9" s="780"/>
      <c r="X9" s="781"/>
      <c r="Y9" s="324"/>
      <c r="Z9" s="324"/>
      <c r="AA9" s="324"/>
      <c r="AB9" s="324"/>
      <c r="AC9" s="324"/>
      <c r="AD9" s="324"/>
      <c r="AE9" s="324"/>
      <c r="AF9" s="324"/>
      <c r="AG9" s="324"/>
      <c r="AH9" s="324"/>
      <c r="AI9" s="324"/>
      <c r="AJ9" s="324"/>
      <c r="AK9" s="324"/>
      <c r="AL9" s="324"/>
      <c r="AM9" s="324"/>
      <c r="AN9" s="324"/>
      <c r="AO9" s="324"/>
      <c r="AP9" s="324"/>
      <c r="AQ9" s="324"/>
      <c r="AR9" s="324"/>
      <c r="AS9" s="324"/>
      <c r="AT9" s="324"/>
      <c r="AU9" s="324"/>
      <c r="AV9" s="324"/>
      <c r="AW9" s="324"/>
      <c r="AX9" s="324"/>
      <c r="AY9" s="324"/>
      <c r="AZ9" s="324"/>
    </row>
    <row r="10" spans="1:52" ht="17">
      <c r="A10"/>
      <c r="B10"/>
      <c r="C10" t="s">
        <v>110</v>
      </c>
      <c r="D10"/>
      <c r="E10" s="247" t="s">
        <v>8</v>
      </c>
      <c r="F10" t="s">
        <v>4</v>
      </c>
      <c r="G10" t="s">
        <v>259</v>
      </c>
      <c r="H10" s="246" t="s">
        <v>231</v>
      </c>
      <c r="I10" s="246" t="s">
        <v>260</v>
      </c>
      <c r="J10"/>
      <c r="K10" t="s">
        <v>261</v>
      </c>
      <c r="L10"/>
      <c r="M10"/>
      <c r="N10" s="324"/>
      <c r="O10" s="324"/>
      <c r="P10" s="324"/>
      <c r="Q10" s="324"/>
      <c r="R10" s="324"/>
      <c r="S10" s="324"/>
      <c r="T10" s="324"/>
      <c r="U10" s="324"/>
      <c r="V10" s="324"/>
      <c r="W10" s="324"/>
      <c r="X10" s="324"/>
      <c r="Y10" s="324"/>
      <c r="Z10" s="324"/>
      <c r="AA10" s="324"/>
      <c r="AB10" s="324"/>
      <c r="AC10" s="324"/>
      <c r="AD10" s="324"/>
      <c r="AE10" s="324"/>
      <c r="AF10" s="324"/>
      <c r="AG10" s="324"/>
      <c r="AH10" s="324"/>
      <c r="AI10" s="324"/>
      <c r="AJ10" s="324"/>
      <c r="AK10" s="324"/>
      <c r="AL10" s="324"/>
      <c r="AM10" s="324"/>
      <c r="AN10" s="324"/>
      <c r="AO10" s="324"/>
      <c r="AP10" s="324"/>
      <c r="AQ10" s="324"/>
      <c r="AR10" s="324"/>
      <c r="AS10" s="324"/>
      <c r="AT10" s="324"/>
      <c r="AU10" s="324"/>
      <c r="AV10" s="324"/>
      <c r="AW10" s="324"/>
      <c r="AX10" s="324"/>
      <c r="AY10" s="324"/>
      <c r="AZ10" s="324"/>
    </row>
    <row r="11" spans="1:52" ht="17">
      <c r="A11" t="s">
        <v>110</v>
      </c>
      <c r="B11"/>
      <c r="C11"/>
      <c r="D11"/>
      <c r="E11" s="247" t="s">
        <v>262</v>
      </c>
      <c r="F11" t="s">
        <v>263</v>
      </c>
      <c r="G11" t="s">
        <v>264</v>
      </c>
      <c r="H11" s="246" t="s">
        <v>238</v>
      </c>
      <c r="I11" s="246" t="s">
        <v>265</v>
      </c>
      <c r="J11"/>
      <c r="K11" t="s">
        <v>109</v>
      </c>
      <c r="L11"/>
      <c r="M11"/>
      <c r="N11" s="324"/>
      <c r="O11" s="324"/>
      <c r="P11" s="324"/>
      <c r="Q11" s="324"/>
      <c r="R11" s="324"/>
      <c r="S11" s="324"/>
      <c r="T11" s="324"/>
      <c r="U11" s="324"/>
      <c r="V11" s="324"/>
      <c r="W11" s="324"/>
      <c r="X11" s="324"/>
      <c r="Y11" s="324"/>
      <c r="Z11" s="324"/>
      <c r="AA11" s="324"/>
      <c r="AB11" s="324"/>
      <c r="AC11" s="324"/>
      <c r="AD11" s="324"/>
      <c r="AE11" s="324"/>
      <c r="AF11" s="324"/>
      <c r="AG11" s="324"/>
      <c r="AH11" s="324"/>
      <c r="AI11" s="324"/>
      <c r="AJ11" s="324"/>
      <c r="AK11" s="324"/>
      <c r="AL11" s="324"/>
      <c r="AM11" s="324"/>
      <c r="AN11" s="324"/>
      <c r="AO11" s="324"/>
      <c r="AP11" s="324"/>
      <c r="AQ11" s="324"/>
      <c r="AR11" s="324"/>
      <c r="AS11" s="324"/>
      <c r="AT11" s="324"/>
      <c r="AU11" s="324"/>
      <c r="AV11" s="324"/>
      <c r="AW11" s="324"/>
      <c r="AX11" s="324"/>
      <c r="AY11" s="324"/>
      <c r="AZ11" s="324"/>
    </row>
    <row r="12" spans="1:52" ht="17">
      <c r="A12" t="s">
        <v>109</v>
      </c>
      <c r="B12" s="243" t="s">
        <v>491</v>
      </c>
      <c r="C12" s="243" t="s">
        <v>492</v>
      </c>
      <c r="D12"/>
      <c r="E12"/>
      <c r="F12" t="s">
        <v>8</v>
      </c>
      <c r="G12" t="s">
        <v>266</v>
      </c>
      <c r="H12" s="246" t="s">
        <v>250</v>
      </c>
      <c r="I12"/>
      <c r="J12"/>
      <c r="K12"/>
      <c r="L12"/>
      <c r="M12"/>
      <c r="N12" s="324"/>
      <c r="O12" s="324"/>
      <c r="P12" s="324"/>
      <c r="Q12" s="324"/>
      <c r="R12" s="324"/>
      <c r="S12" s="324"/>
      <c r="T12" s="324"/>
      <c r="U12" s="324"/>
      <c r="V12" s="324"/>
      <c r="W12" s="324"/>
      <c r="X12" s="324"/>
      <c r="Y12" s="324"/>
      <c r="Z12" s="324"/>
      <c r="AA12" s="324"/>
      <c r="AB12" s="324"/>
      <c r="AC12" s="324"/>
      <c r="AD12" s="324"/>
      <c r="AE12" s="324"/>
      <c r="AF12" s="324"/>
      <c r="AG12" s="324"/>
      <c r="AH12" s="324"/>
      <c r="AI12" s="324"/>
      <c r="AJ12" s="324"/>
      <c r="AK12" s="324"/>
      <c r="AL12" s="324"/>
      <c r="AM12" s="324"/>
      <c r="AN12" s="324"/>
      <c r="AO12" s="324"/>
      <c r="AP12" s="324"/>
      <c r="AQ12" s="324"/>
      <c r="AR12" s="324"/>
      <c r="AS12" s="324"/>
      <c r="AT12" s="324"/>
      <c r="AU12" s="324"/>
      <c r="AV12" s="324"/>
      <c r="AW12" s="324"/>
      <c r="AX12" s="324"/>
      <c r="AY12" s="324"/>
      <c r="AZ12" s="324"/>
    </row>
    <row r="13" spans="1:52" ht="16" customHeight="1">
      <c r="A13" t="s">
        <v>267</v>
      </c>
      <c r="B13" s="248" t="s">
        <v>493</v>
      </c>
      <c r="C13" s="248" t="s">
        <v>4</v>
      </c>
      <c r="D13"/>
      <c r="E13" s="245" t="s">
        <v>268</v>
      </c>
      <c r="F13" s="245" t="s">
        <v>269</v>
      </c>
      <c r="G13"/>
      <c r="H13" s="246" t="s">
        <v>243</v>
      </c>
      <c r="I13" s="246" t="s">
        <v>226</v>
      </c>
      <c r="J13"/>
      <c r="K13"/>
      <c r="L13"/>
      <c r="M13"/>
      <c r="N13" s="324"/>
      <c r="O13" s="324"/>
      <c r="P13" s="324"/>
      <c r="Q13" s="324"/>
      <c r="R13" s="324"/>
      <c r="S13" s="324"/>
      <c r="T13" s="324"/>
      <c r="U13" s="324"/>
      <c r="V13" s="324"/>
      <c r="W13" s="324"/>
      <c r="X13" s="324"/>
      <c r="Y13" s="324"/>
      <c r="Z13" s="324"/>
      <c r="AA13" s="324"/>
      <c r="AB13" s="324"/>
      <c r="AC13" s="324"/>
      <c r="AD13" s="324"/>
      <c r="AE13" s="324"/>
      <c r="AF13" s="324"/>
      <c r="AG13" s="324"/>
      <c r="AH13" s="324"/>
      <c r="AI13" s="324"/>
      <c r="AJ13" s="324"/>
      <c r="AK13" s="324"/>
      <c r="AL13" s="324"/>
      <c r="AM13" s="324"/>
      <c r="AN13" s="324"/>
      <c r="AO13" s="324"/>
      <c r="AP13" s="324"/>
      <c r="AQ13" s="324"/>
      <c r="AR13" s="324"/>
      <c r="AS13" s="324"/>
      <c r="AT13" s="324"/>
      <c r="AU13" s="324"/>
      <c r="AV13" s="324"/>
      <c r="AW13" s="324"/>
      <c r="AX13" s="324"/>
      <c r="AY13" s="324"/>
      <c r="AZ13" s="324"/>
    </row>
    <row r="14" spans="1:52" ht="16" customHeight="1">
      <c r="A14" t="s">
        <v>104</v>
      </c>
      <c r="B14" s="248" t="s">
        <v>8</v>
      </c>
      <c r="C14" s="248" t="s">
        <v>8</v>
      </c>
      <c r="D14"/>
      <c r="E14" s="248" t="s">
        <v>8</v>
      </c>
      <c r="F14" s="249" t="s">
        <v>270</v>
      </c>
      <c r="G14"/>
      <c r="H14" s="246" t="s">
        <v>249</v>
      </c>
      <c r="I14" s="246" t="s">
        <v>271</v>
      </c>
      <c r="J14"/>
      <c r="K14" s="246"/>
      <c r="L14" s="246"/>
      <c r="M14"/>
      <c r="N14" s="324"/>
      <c r="O14" s="324"/>
      <c r="P14" s="324"/>
      <c r="Q14" s="324"/>
      <c r="R14" s="324"/>
      <c r="S14" s="324"/>
      <c r="T14" s="324"/>
      <c r="U14" s="324"/>
      <c r="V14" s="324"/>
      <c r="W14" s="324"/>
      <c r="X14" s="324"/>
      <c r="Y14" s="324"/>
      <c r="Z14" s="324"/>
      <c r="AA14" s="324"/>
      <c r="AB14" s="324"/>
      <c r="AC14" s="324"/>
      <c r="AD14" s="324"/>
      <c r="AE14" s="324"/>
      <c r="AF14" s="324"/>
      <c r="AG14" s="324"/>
      <c r="AH14" s="324"/>
      <c r="AI14" s="324"/>
      <c r="AJ14" s="324"/>
      <c r="AK14" s="324"/>
      <c r="AL14" s="324"/>
      <c r="AM14" s="324"/>
      <c r="AN14" s="324"/>
      <c r="AO14" s="324"/>
      <c r="AP14" s="324"/>
      <c r="AQ14" s="324"/>
      <c r="AR14" s="324"/>
      <c r="AS14" s="324"/>
      <c r="AT14" s="324"/>
      <c r="AU14" s="324"/>
      <c r="AV14" s="324"/>
      <c r="AW14" s="324"/>
      <c r="AX14" s="324"/>
      <c r="AY14" s="324"/>
      <c r="AZ14" s="324"/>
    </row>
    <row r="15" spans="1:52" ht="34">
      <c r="A15" t="s">
        <v>103</v>
      </c>
      <c r="B15"/>
      <c r="C15" s="248" t="s">
        <v>494</v>
      </c>
      <c r="D15"/>
      <c r="E15" s="248" t="s">
        <v>272</v>
      </c>
      <c r="F15" s="249" t="s">
        <v>8</v>
      </c>
      <c r="G15"/>
      <c r="H15"/>
      <c r="I15" s="246" t="s">
        <v>273</v>
      </c>
      <c r="J15"/>
      <c r="K15" s="246"/>
      <c r="L15" s="246"/>
      <c r="M15"/>
      <c r="N15" s="324"/>
      <c r="O15" s="324"/>
      <c r="P15" s="324"/>
      <c r="Q15" s="324"/>
      <c r="R15" s="324"/>
      <c r="S15" s="324"/>
      <c r="T15" s="324"/>
      <c r="U15" s="324"/>
      <c r="V15" s="324"/>
      <c r="W15" s="324"/>
      <c r="X15" s="324"/>
      <c r="Y15" s="324"/>
      <c r="Z15" s="324"/>
      <c r="AA15" s="324"/>
      <c r="AB15" s="324"/>
      <c r="AC15" s="324"/>
      <c r="AD15" s="324"/>
      <c r="AE15" s="324"/>
      <c r="AF15" s="324"/>
      <c r="AG15" s="324"/>
      <c r="AH15" s="324"/>
      <c r="AI15" s="324"/>
      <c r="AJ15" s="324"/>
      <c r="AK15" s="324"/>
      <c r="AL15" s="324"/>
      <c r="AM15" s="324"/>
      <c r="AN15" s="324"/>
      <c r="AO15" s="324"/>
      <c r="AP15" s="324"/>
      <c r="AQ15" s="324"/>
      <c r="AR15" s="324"/>
      <c r="AS15" s="324"/>
      <c r="AT15" s="324"/>
      <c r="AU15" s="324"/>
      <c r="AV15" s="324"/>
      <c r="AW15" s="324"/>
      <c r="AX15" s="324"/>
      <c r="AY15" s="324"/>
      <c r="AZ15" s="324"/>
    </row>
    <row r="16" spans="1:52">
      <c r="A16" t="s">
        <v>221</v>
      </c>
      <c r="B16"/>
      <c r="C16"/>
      <c r="D16"/>
      <c r="E16"/>
      <c r="F16"/>
      <c r="G16"/>
      <c r="H16"/>
      <c r="I16"/>
      <c r="J16"/>
      <c r="K16" s="246"/>
      <c r="L16" s="246"/>
      <c r="M16"/>
      <c r="N16" s="324"/>
      <c r="O16" s="324"/>
      <c r="P16" s="324"/>
      <c r="Q16" s="324"/>
      <c r="R16" s="324"/>
      <c r="S16" s="324"/>
      <c r="T16" s="324"/>
      <c r="U16" s="324"/>
      <c r="V16" s="324"/>
      <c r="W16" s="324"/>
      <c r="X16" s="324"/>
      <c r="Y16" s="324"/>
      <c r="Z16" s="324"/>
      <c r="AA16" s="324"/>
      <c r="AB16" s="324"/>
      <c r="AC16" s="324"/>
      <c r="AD16" s="324"/>
      <c r="AE16" s="324"/>
      <c r="AF16" s="324"/>
      <c r="AG16" s="324"/>
      <c r="AH16" s="324"/>
      <c r="AI16" s="324"/>
      <c r="AJ16" s="324"/>
      <c r="AK16" s="324"/>
      <c r="AL16" s="324"/>
      <c r="AM16" s="324"/>
      <c r="AN16" s="324"/>
      <c r="AO16" s="324"/>
      <c r="AP16" s="324"/>
      <c r="AQ16" s="324"/>
      <c r="AR16" s="324"/>
      <c r="AS16" s="324"/>
      <c r="AT16" s="324"/>
      <c r="AU16" s="324"/>
      <c r="AV16" s="324"/>
      <c r="AW16" s="324"/>
      <c r="AX16" s="324"/>
      <c r="AY16" s="324"/>
      <c r="AZ16" s="324"/>
    </row>
    <row r="17" spans="1:52" ht="16" customHeight="1">
      <c r="A17"/>
      <c r="B17"/>
      <c r="C17"/>
      <c r="D17"/>
      <c r="E17"/>
      <c r="F17"/>
      <c r="G17"/>
      <c r="H17"/>
      <c r="I17"/>
      <c r="J17"/>
      <c r="K17" s="246"/>
      <c r="L17" s="246"/>
      <c r="M17"/>
      <c r="N17" s="324"/>
      <c r="O17" s="324"/>
      <c r="P17" s="324"/>
      <c r="Q17" s="324"/>
      <c r="R17" s="324"/>
      <c r="S17" s="324"/>
      <c r="T17" s="324"/>
      <c r="U17" s="324"/>
      <c r="V17" s="324"/>
      <c r="W17" s="324"/>
      <c r="X17" s="324"/>
      <c r="Y17" s="324"/>
      <c r="Z17" s="324"/>
      <c r="AA17" s="324"/>
      <c r="AB17" s="324"/>
      <c r="AC17" s="324"/>
      <c r="AD17" s="324"/>
      <c r="AE17" s="324"/>
      <c r="AF17" s="324"/>
      <c r="AG17" s="324"/>
      <c r="AH17" s="324"/>
      <c r="AI17" s="324"/>
      <c r="AJ17" s="324"/>
      <c r="AK17" s="324"/>
      <c r="AL17" s="324"/>
      <c r="AM17" s="324"/>
      <c r="AN17" s="324"/>
      <c r="AO17" s="324"/>
      <c r="AP17" s="324"/>
      <c r="AQ17" s="324"/>
      <c r="AR17" s="324"/>
      <c r="AS17" s="324"/>
      <c r="AT17" s="324"/>
      <c r="AU17" s="324"/>
      <c r="AV17" s="324"/>
      <c r="AW17" s="324"/>
      <c r="AX17" s="324"/>
      <c r="AY17" s="324"/>
      <c r="AZ17" s="324"/>
    </row>
    <row r="18" spans="1:52" ht="35">
      <c r="A18" s="242" t="s">
        <v>274</v>
      </c>
      <c r="B18" s="250" t="s">
        <v>275</v>
      </c>
      <c r="C18" s="250" t="s">
        <v>276</v>
      </c>
      <c r="D18" s="243" t="s">
        <v>277</v>
      </c>
      <c r="E18"/>
      <c r="F18" s="243" t="s">
        <v>278</v>
      </c>
      <c r="G18" s="250" t="s">
        <v>279</v>
      </c>
      <c r="H18"/>
      <c r="I18" s="243" t="s">
        <v>280</v>
      </c>
      <c r="J18" s="243" t="s">
        <v>281</v>
      </c>
      <c r="K18" s="243" t="s">
        <v>282</v>
      </c>
      <c r="L18" s="246"/>
      <c r="M18"/>
      <c r="N18" s="324"/>
      <c r="O18" s="324"/>
      <c r="P18" s="324"/>
      <c r="Q18" s="324"/>
      <c r="R18" s="324"/>
      <c r="S18" s="324"/>
      <c r="T18" s="324"/>
      <c r="U18" s="324"/>
      <c r="V18" s="324"/>
      <c r="W18" s="324"/>
      <c r="X18" s="324"/>
      <c r="Y18" s="324"/>
      <c r="Z18" s="324"/>
      <c r="AA18" s="324"/>
      <c r="AB18" s="324"/>
      <c r="AC18" s="324"/>
      <c r="AD18" s="324"/>
      <c r="AE18" s="324"/>
      <c r="AF18" s="324"/>
      <c r="AG18" s="324"/>
      <c r="AH18" s="324"/>
      <c r="AI18" s="324"/>
      <c r="AJ18" s="324"/>
      <c r="AK18" s="324"/>
      <c r="AL18" s="324"/>
      <c r="AM18" s="324"/>
      <c r="AN18" s="324"/>
      <c r="AO18" s="324"/>
      <c r="AP18" s="324"/>
      <c r="AQ18" s="324"/>
      <c r="AR18" s="324"/>
      <c r="AS18" s="324"/>
      <c r="AT18" s="324"/>
      <c r="AU18" s="324"/>
      <c r="AV18" s="324"/>
      <c r="AW18" s="324"/>
      <c r="AX18" s="324"/>
      <c r="AY18" s="324"/>
      <c r="AZ18" s="324"/>
    </row>
    <row r="19" spans="1:52" ht="16" customHeight="1">
      <c r="A19" s="242"/>
      <c r="B19" t="s">
        <v>283</v>
      </c>
      <c r="C19" t="s">
        <v>284</v>
      </c>
      <c r="D19" t="s">
        <v>285</v>
      </c>
      <c r="E19"/>
      <c r="F19" t="s">
        <v>286</v>
      </c>
      <c r="G19" t="s">
        <v>287</v>
      </c>
      <c r="H19"/>
      <c r="I19" t="s">
        <v>288</v>
      </c>
      <c r="J19" t="s">
        <v>289</v>
      </c>
      <c r="K19" t="s">
        <v>226</v>
      </c>
      <c r="L19" s="251" t="s">
        <v>495</v>
      </c>
      <c r="M19"/>
      <c r="N19" s="324"/>
      <c r="O19" s="324"/>
      <c r="P19" s="324"/>
      <c r="Q19" s="324"/>
      <c r="R19" s="324"/>
      <c r="S19" s="324"/>
      <c r="T19" s="324"/>
      <c r="U19" s="324"/>
      <c r="V19" s="324"/>
      <c r="W19" s="324"/>
      <c r="X19" s="324"/>
      <c r="Y19" s="324"/>
      <c r="Z19" s="324"/>
      <c r="AA19" s="324"/>
      <c r="AB19" s="324"/>
      <c r="AC19" s="324"/>
      <c r="AD19" s="324"/>
      <c r="AE19" s="324"/>
      <c r="AF19" s="324"/>
      <c r="AG19" s="324"/>
      <c r="AH19" s="324"/>
      <c r="AI19" s="324"/>
      <c r="AJ19" s="324"/>
      <c r="AK19" s="324"/>
      <c r="AL19" s="324"/>
      <c r="AM19" s="324"/>
      <c r="AN19" s="324"/>
      <c r="AO19" s="324"/>
      <c r="AP19" s="324"/>
      <c r="AQ19" s="324"/>
      <c r="AR19" s="324"/>
      <c r="AS19" s="324"/>
      <c r="AT19" s="324"/>
      <c r="AU19" s="324"/>
      <c r="AV19" s="324"/>
      <c r="AW19" s="324"/>
      <c r="AX19" s="324"/>
      <c r="AY19" s="324"/>
      <c r="AZ19" s="324"/>
    </row>
    <row r="20" spans="1:52" ht="16" customHeight="1">
      <c r="A20"/>
      <c r="B20" t="s">
        <v>290</v>
      </c>
      <c r="C20" t="s">
        <v>291</v>
      </c>
      <c r="D20" t="s">
        <v>292</v>
      </c>
      <c r="E20"/>
      <c r="F20" t="s">
        <v>293</v>
      </c>
      <c r="G20" t="s">
        <v>294</v>
      </c>
      <c r="H20"/>
      <c r="I20" t="s">
        <v>295</v>
      </c>
      <c r="J20" t="s">
        <v>296</v>
      </c>
      <c r="K20" t="s">
        <v>297</v>
      </c>
      <c r="L20" s="251" t="s">
        <v>496</v>
      </c>
      <c r="M20"/>
      <c r="N20" s="324"/>
      <c r="O20" s="324"/>
      <c r="P20" s="327"/>
      <c r="Q20" s="327"/>
      <c r="R20" s="324"/>
      <c r="S20" s="324"/>
      <c r="T20" s="324"/>
      <c r="U20" s="324"/>
      <c r="V20" s="324"/>
      <c r="W20" s="324"/>
      <c r="X20" s="324"/>
      <c r="Y20" s="324"/>
      <c r="Z20" s="324"/>
      <c r="AA20" s="324"/>
      <c r="AB20" s="324"/>
      <c r="AC20" s="324"/>
      <c r="AD20" s="324"/>
      <c r="AE20" s="324"/>
      <c r="AF20" s="324"/>
      <c r="AG20" s="324"/>
      <c r="AH20" s="324"/>
      <c r="AI20" s="324"/>
      <c r="AJ20" s="324"/>
      <c r="AK20" s="324"/>
      <c r="AL20" s="324"/>
      <c r="AM20" s="324"/>
      <c r="AN20" s="324"/>
      <c r="AO20" s="324"/>
      <c r="AP20" s="324"/>
      <c r="AQ20" s="324"/>
      <c r="AR20" s="324"/>
      <c r="AS20" s="324"/>
      <c r="AT20" s="324"/>
      <c r="AU20" s="324"/>
      <c r="AV20" s="324"/>
      <c r="AW20" s="324"/>
      <c r="AX20" s="324"/>
      <c r="AY20" s="324"/>
      <c r="AZ20" s="324"/>
    </row>
    <row r="21" spans="1:52">
      <c r="A21"/>
      <c r="B21" t="s">
        <v>298</v>
      </c>
      <c r="C21" t="s">
        <v>299</v>
      </c>
      <c r="D21" t="s">
        <v>300</v>
      </c>
      <c r="E21"/>
      <c r="F21" t="s">
        <v>301</v>
      </c>
      <c r="G21" t="s">
        <v>302</v>
      </c>
      <c r="H21"/>
      <c r="I21" t="s">
        <v>303</v>
      </c>
      <c r="J21" t="s">
        <v>304</v>
      </c>
      <c r="K21" t="s">
        <v>4</v>
      </c>
      <c r="L21"/>
      <c r="M21"/>
      <c r="N21" s="324"/>
      <c r="O21" s="324"/>
      <c r="P21" s="327"/>
      <c r="Q21" s="327"/>
      <c r="R21" s="324"/>
      <c r="S21" s="324"/>
      <c r="T21" s="324"/>
      <c r="U21" s="324"/>
      <c r="V21" s="324"/>
      <c r="W21" s="324"/>
      <c r="X21" s="324"/>
      <c r="Y21" s="324"/>
      <c r="Z21" s="324"/>
      <c r="AA21" s="324"/>
      <c r="AB21" s="324"/>
      <c r="AC21" s="324"/>
      <c r="AD21" s="324"/>
      <c r="AE21" s="324"/>
      <c r="AF21" s="324"/>
      <c r="AG21" s="324"/>
      <c r="AH21" s="324"/>
      <c r="AI21" s="324"/>
      <c r="AJ21" s="324"/>
      <c r="AK21" s="324"/>
      <c r="AL21" s="324"/>
      <c r="AM21" s="324"/>
      <c r="AN21" s="324"/>
      <c r="AO21" s="324"/>
      <c r="AP21" s="324"/>
      <c r="AQ21" s="324"/>
      <c r="AR21" s="324"/>
      <c r="AS21" s="324"/>
      <c r="AT21" s="324"/>
      <c r="AU21" s="324"/>
      <c r="AV21" s="324"/>
      <c r="AW21" s="324"/>
      <c r="AX21" s="324"/>
      <c r="AY21" s="324"/>
      <c r="AZ21" s="324"/>
    </row>
    <row r="22" spans="1:52">
      <c r="A22"/>
      <c r="B22" t="s">
        <v>305</v>
      </c>
      <c r="C22" t="s">
        <v>204</v>
      </c>
      <c r="D22" t="s">
        <v>306</v>
      </c>
      <c r="E22"/>
      <c r="F22" t="s">
        <v>307</v>
      </c>
      <c r="G22" t="s">
        <v>308</v>
      </c>
      <c r="H22"/>
      <c r="I22" t="s">
        <v>309</v>
      </c>
      <c r="J22" t="s">
        <v>310</v>
      </c>
      <c r="K22"/>
      <c r="L22"/>
      <c r="M22"/>
      <c r="N22" s="324"/>
      <c r="O22" s="324"/>
      <c r="P22" s="327"/>
      <c r="Q22" s="327"/>
      <c r="R22" s="324"/>
      <c r="S22" s="324"/>
      <c r="T22" s="324"/>
      <c r="U22" s="324"/>
      <c r="V22" s="324"/>
      <c r="W22" s="324"/>
      <c r="X22" s="324"/>
      <c r="Y22" s="324"/>
      <c r="Z22" s="324"/>
      <c r="AA22" s="324"/>
      <c r="AB22" s="324"/>
      <c r="AC22" s="324"/>
      <c r="AD22" s="324"/>
      <c r="AE22" s="324"/>
      <c r="AF22" s="324"/>
      <c r="AG22" s="324"/>
      <c r="AH22" s="324"/>
      <c r="AI22" s="324"/>
      <c r="AJ22" s="324"/>
      <c r="AK22" s="324"/>
      <c r="AL22" s="324"/>
      <c r="AM22" s="324"/>
      <c r="AN22" s="324"/>
      <c r="AO22" s="324"/>
      <c r="AP22" s="324"/>
      <c r="AQ22" s="324"/>
      <c r="AR22" s="324"/>
      <c r="AS22" s="324"/>
      <c r="AT22" s="324"/>
      <c r="AU22" s="324"/>
      <c r="AV22" s="324"/>
      <c r="AW22" s="324"/>
      <c r="AX22" s="324"/>
      <c r="AY22" s="324"/>
      <c r="AZ22" s="324"/>
    </row>
    <row r="23" spans="1:52">
      <c r="A23"/>
      <c r="B23" t="s">
        <v>204</v>
      </c>
      <c r="C23"/>
      <c r="D23" t="s">
        <v>311</v>
      </c>
      <c r="E23"/>
      <c r="F23" t="s">
        <v>312</v>
      </c>
      <c r="G23"/>
      <c r="H23"/>
      <c r="I23" t="s">
        <v>313</v>
      </c>
      <c r="J23" t="s">
        <v>314</v>
      </c>
      <c r="K23"/>
      <c r="L23"/>
      <c r="M23"/>
      <c r="N23" s="324"/>
      <c r="O23" s="324"/>
      <c r="P23" s="327"/>
      <c r="Q23" s="327"/>
      <c r="R23" s="324"/>
      <c r="S23" s="324"/>
      <c r="T23" s="324"/>
      <c r="U23" s="324"/>
      <c r="V23" s="324"/>
      <c r="W23" s="324"/>
      <c r="X23" s="324"/>
      <c r="Y23" s="324"/>
      <c r="Z23" s="324"/>
      <c r="AA23" s="324"/>
      <c r="AB23" s="324"/>
      <c r="AC23" s="324"/>
      <c r="AD23" s="324"/>
      <c r="AE23" s="324"/>
      <c r="AF23" s="324"/>
      <c r="AG23" s="324"/>
      <c r="AH23" s="324"/>
      <c r="AI23" s="324"/>
      <c r="AJ23" s="324"/>
      <c r="AK23" s="324"/>
      <c r="AL23" s="324"/>
      <c r="AM23" s="324"/>
      <c r="AN23" s="324"/>
      <c r="AO23" s="324"/>
      <c r="AP23" s="324"/>
      <c r="AQ23" s="324"/>
      <c r="AR23" s="324"/>
      <c r="AS23" s="324"/>
      <c r="AT23" s="324"/>
      <c r="AU23" s="324"/>
      <c r="AV23" s="324"/>
      <c r="AW23" s="324"/>
      <c r="AX23" s="324"/>
      <c r="AY23" s="324"/>
      <c r="AZ23" s="324"/>
    </row>
    <row r="24" spans="1:52">
      <c r="A24"/>
      <c r="B24"/>
      <c r="C24"/>
      <c r="D24" t="s">
        <v>315</v>
      </c>
      <c r="E24"/>
      <c r="F24" t="s">
        <v>316</v>
      </c>
      <c r="G24"/>
      <c r="H24"/>
      <c r="I24" t="s">
        <v>317</v>
      </c>
      <c r="J24"/>
      <c r="K24"/>
      <c r="L24"/>
      <c r="M24"/>
      <c r="N24" s="324"/>
      <c r="O24" s="324"/>
      <c r="P24" s="327"/>
      <c r="Q24" s="327"/>
      <c r="R24" s="324"/>
      <c r="S24" s="324"/>
      <c r="T24" s="324"/>
      <c r="U24" s="324"/>
      <c r="V24" s="324"/>
      <c r="W24" s="324"/>
      <c r="X24" s="324"/>
      <c r="Y24" s="324"/>
      <c r="Z24" s="324"/>
      <c r="AA24" s="324"/>
      <c r="AB24" s="324"/>
      <c r="AC24" s="324"/>
      <c r="AD24" s="324"/>
      <c r="AE24" s="324"/>
      <c r="AF24" s="324"/>
      <c r="AG24" s="324"/>
      <c r="AH24" s="324"/>
      <c r="AI24" s="324"/>
      <c r="AJ24" s="324"/>
      <c r="AK24" s="324"/>
      <c r="AL24" s="324"/>
      <c r="AM24" s="324"/>
      <c r="AN24" s="324"/>
      <c r="AO24" s="324"/>
      <c r="AP24" s="324"/>
      <c r="AQ24" s="324"/>
      <c r="AR24" s="324"/>
      <c r="AS24" s="324"/>
      <c r="AT24" s="324"/>
      <c r="AU24" s="324"/>
      <c r="AV24" s="324"/>
      <c r="AW24" s="324"/>
      <c r="AX24" s="324"/>
      <c r="AY24" s="324"/>
      <c r="AZ24" s="324"/>
    </row>
    <row r="25" spans="1:52">
      <c r="A25"/>
      <c r="B25"/>
      <c r="C25"/>
      <c r="D25" t="s">
        <v>318</v>
      </c>
      <c r="E25"/>
      <c r="F25" t="s">
        <v>319</v>
      </c>
      <c r="G25"/>
      <c r="H25"/>
      <c r="I25"/>
      <c r="J25"/>
      <c r="K25"/>
      <c r="L25"/>
      <c r="M25"/>
      <c r="N25" s="324"/>
      <c r="O25" s="324"/>
      <c r="P25" s="324"/>
      <c r="Q25" s="324"/>
      <c r="R25" s="324"/>
      <c r="S25" s="324"/>
      <c r="T25" s="324"/>
      <c r="U25" s="324"/>
      <c r="V25" s="324"/>
      <c r="W25" s="324"/>
      <c r="X25" s="324"/>
      <c r="Y25" s="324"/>
      <c r="Z25" s="324"/>
      <c r="AA25" s="324"/>
      <c r="AB25" s="324"/>
      <c r="AC25" s="324"/>
      <c r="AD25" s="324"/>
      <c r="AE25" s="324"/>
      <c r="AF25" s="324"/>
      <c r="AG25" s="324"/>
      <c r="AH25" s="324"/>
      <c r="AI25" s="324"/>
      <c r="AJ25" s="324"/>
      <c r="AK25" s="324"/>
      <c r="AL25" s="324"/>
      <c r="AM25" s="324"/>
      <c r="AN25" s="324"/>
      <c r="AO25" s="324"/>
      <c r="AP25" s="324"/>
      <c r="AQ25" s="324"/>
      <c r="AR25" s="324"/>
      <c r="AS25" s="324"/>
      <c r="AT25" s="324"/>
      <c r="AU25" s="324"/>
      <c r="AV25" s="324"/>
      <c r="AW25" s="324"/>
      <c r="AX25" s="324"/>
      <c r="AY25" s="324"/>
      <c r="AZ25" s="324"/>
    </row>
    <row r="26" spans="1:52">
      <c r="A26"/>
      <c r="B26"/>
      <c r="C26"/>
      <c r="D26" t="s">
        <v>320</v>
      </c>
      <c r="E26"/>
      <c r="F26" t="s">
        <v>321</v>
      </c>
      <c r="G26"/>
      <c r="H26"/>
      <c r="I26"/>
      <c r="J26"/>
      <c r="K26"/>
      <c r="L26"/>
      <c r="M26"/>
      <c r="N26" s="324"/>
      <c r="O26" s="324"/>
      <c r="P26" s="324"/>
      <c r="Q26" s="324"/>
      <c r="R26" s="324"/>
      <c r="S26" s="324"/>
      <c r="T26" s="324"/>
      <c r="U26" s="324"/>
      <c r="V26" s="324"/>
      <c r="W26" s="324"/>
      <c r="X26" s="324"/>
      <c r="Y26" s="324"/>
      <c r="Z26" s="324"/>
      <c r="AA26" s="324"/>
      <c r="AB26" s="324"/>
      <c r="AC26" s="324"/>
      <c r="AD26" s="324"/>
      <c r="AE26" s="324"/>
      <c r="AF26" s="324"/>
      <c r="AG26" s="324"/>
      <c r="AH26" s="324"/>
      <c r="AI26" s="324"/>
      <c r="AJ26" s="324"/>
      <c r="AK26" s="324"/>
      <c r="AL26" s="324"/>
      <c r="AM26" s="324"/>
      <c r="AN26" s="324"/>
      <c r="AO26" s="324"/>
      <c r="AP26" s="324"/>
      <c r="AQ26" s="324"/>
      <c r="AR26" s="324"/>
      <c r="AS26" s="324"/>
      <c r="AT26" s="324"/>
      <c r="AU26" s="324"/>
      <c r="AV26" s="324"/>
      <c r="AW26" s="324"/>
      <c r="AX26" s="324"/>
      <c r="AY26" s="324"/>
      <c r="AZ26" s="324"/>
    </row>
    <row r="27" spans="1:52">
      <c r="A27"/>
      <c r="B27"/>
      <c r="C27"/>
      <c r="D27" t="s">
        <v>322</v>
      </c>
      <c r="E27"/>
      <c r="F27" t="s">
        <v>323</v>
      </c>
      <c r="G27"/>
      <c r="H27"/>
      <c r="I27"/>
      <c r="J27"/>
      <c r="K27"/>
      <c r="L27"/>
      <c r="M27"/>
      <c r="N27" s="324"/>
      <c r="O27" s="324"/>
      <c r="P27" s="324"/>
      <c r="Q27" s="324"/>
      <c r="R27" s="324"/>
      <c r="S27" s="324"/>
      <c r="T27" s="324"/>
      <c r="U27" s="324"/>
      <c r="V27" s="324"/>
      <c r="W27" s="324"/>
      <c r="X27" s="324"/>
      <c r="Y27" s="324"/>
      <c r="Z27" s="324"/>
      <c r="AA27" s="324"/>
      <c r="AB27" s="324"/>
      <c r="AC27" s="324"/>
      <c r="AD27" s="324"/>
      <c r="AE27" s="324"/>
      <c r="AF27" s="324"/>
      <c r="AG27" s="324"/>
      <c r="AH27" s="324"/>
      <c r="AI27" s="324"/>
      <c r="AJ27" s="324"/>
      <c r="AK27" s="324"/>
      <c r="AL27" s="324"/>
      <c r="AM27" s="324"/>
      <c r="AN27" s="324"/>
      <c r="AO27" s="324"/>
      <c r="AP27" s="324"/>
      <c r="AQ27" s="324"/>
      <c r="AR27" s="324"/>
      <c r="AS27" s="324"/>
      <c r="AT27" s="324"/>
      <c r="AU27" s="324"/>
      <c r="AV27" s="324"/>
      <c r="AW27" s="324"/>
      <c r="AX27" s="324"/>
      <c r="AY27" s="324"/>
      <c r="AZ27" s="324"/>
    </row>
    <row r="28" spans="1:52">
      <c r="A28"/>
      <c r="B28"/>
      <c r="C28"/>
      <c r="D28" t="s">
        <v>324</v>
      </c>
      <c r="E28"/>
      <c r="F28" t="s">
        <v>325</v>
      </c>
      <c r="G28"/>
      <c r="H28"/>
      <c r="I28"/>
      <c r="J28"/>
      <c r="K28"/>
      <c r="L28"/>
      <c r="M28"/>
      <c r="N28" s="324"/>
      <c r="O28" s="324"/>
      <c r="P28" s="324"/>
      <c r="Q28" s="324"/>
      <c r="R28" s="324"/>
      <c r="S28" s="324"/>
      <c r="T28" s="324"/>
      <c r="U28" s="324"/>
      <c r="V28" s="324"/>
      <c r="W28" s="324"/>
      <c r="X28" s="324"/>
      <c r="Y28" s="324"/>
      <c r="Z28" s="324"/>
      <c r="AA28" s="324"/>
      <c r="AB28" s="324"/>
      <c r="AC28" s="324"/>
      <c r="AD28" s="324"/>
      <c r="AE28" s="324"/>
      <c r="AF28" s="324"/>
      <c r="AG28" s="324"/>
      <c r="AH28" s="324"/>
      <c r="AI28" s="324"/>
      <c r="AJ28" s="324"/>
      <c r="AK28" s="324"/>
      <c r="AL28" s="324"/>
      <c r="AM28" s="324"/>
      <c r="AN28" s="324"/>
      <c r="AO28" s="324"/>
      <c r="AP28" s="324"/>
      <c r="AQ28" s="324"/>
      <c r="AR28" s="324"/>
      <c r="AS28" s="324"/>
      <c r="AT28" s="324"/>
      <c r="AU28" s="324"/>
      <c r="AV28" s="324"/>
      <c r="AW28" s="324"/>
      <c r="AX28" s="324"/>
      <c r="AY28" s="324"/>
      <c r="AZ28" s="324"/>
    </row>
    <row r="29" spans="1:52">
      <c r="A29"/>
      <c r="B29"/>
      <c r="C29"/>
      <c r="D29" t="s">
        <v>326</v>
      </c>
      <c r="E29"/>
      <c r="F29"/>
      <c r="G29"/>
      <c r="H29"/>
      <c r="I29"/>
      <c r="J29"/>
      <c r="K29"/>
      <c r="L29"/>
      <c r="M29"/>
      <c r="N29" s="324"/>
      <c r="O29" s="324"/>
      <c r="P29" s="324"/>
      <c r="Q29" s="324"/>
      <c r="R29" s="324"/>
      <c r="S29" s="324"/>
      <c r="T29" s="324"/>
      <c r="U29" s="324"/>
      <c r="V29" s="324"/>
      <c r="W29" s="324"/>
      <c r="X29" s="324"/>
      <c r="Y29" s="324"/>
      <c r="Z29" s="324"/>
      <c r="AA29" s="324"/>
      <c r="AB29" s="324"/>
      <c r="AC29" s="324"/>
      <c r="AD29" s="324"/>
      <c r="AE29" s="324"/>
      <c r="AF29" s="324"/>
      <c r="AG29" s="324"/>
      <c r="AH29" s="324"/>
      <c r="AI29" s="324"/>
      <c r="AJ29" s="324"/>
      <c r="AK29" s="324"/>
      <c r="AL29" s="324"/>
      <c r="AM29" s="324"/>
      <c r="AN29" s="324"/>
      <c r="AO29" s="324"/>
      <c r="AP29" s="324"/>
      <c r="AQ29" s="324"/>
      <c r="AR29" s="324"/>
      <c r="AS29" s="324"/>
      <c r="AT29" s="324"/>
      <c r="AU29" s="324"/>
      <c r="AV29" s="324"/>
      <c r="AW29" s="324"/>
      <c r="AX29" s="324"/>
      <c r="AY29" s="324"/>
      <c r="AZ29" s="324"/>
    </row>
    <row r="30" spans="1:52" ht="16" customHeight="1">
      <c r="A30"/>
      <c r="B30"/>
      <c r="C30"/>
      <c r="D30" t="s">
        <v>327</v>
      </c>
      <c r="E30"/>
      <c r="F30"/>
      <c r="G30"/>
      <c r="H30"/>
      <c r="I30"/>
      <c r="J30"/>
      <c r="K30"/>
      <c r="L30"/>
      <c r="M30"/>
      <c r="N30" s="324"/>
      <c r="O30" s="324"/>
      <c r="P30" s="324"/>
      <c r="Q30" s="324"/>
      <c r="R30" s="324"/>
      <c r="S30" s="324"/>
      <c r="T30" s="324"/>
      <c r="U30" s="324"/>
      <c r="V30" s="324"/>
      <c r="W30" s="324"/>
      <c r="X30" s="324"/>
      <c r="Y30" s="324"/>
      <c r="Z30" s="324"/>
      <c r="AA30" s="324"/>
      <c r="AB30" s="324"/>
      <c r="AC30" s="324"/>
      <c r="AD30" s="324"/>
      <c r="AE30" s="324"/>
      <c r="AF30" s="324"/>
      <c r="AG30" s="324"/>
      <c r="AH30" s="324"/>
      <c r="AI30" s="324"/>
      <c r="AJ30" s="324"/>
      <c r="AK30" s="324"/>
      <c r="AL30" s="324"/>
      <c r="AM30" s="324"/>
      <c r="AN30" s="324"/>
      <c r="AO30" s="324"/>
      <c r="AP30" s="324"/>
      <c r="AQ30" s="324"/>
      <c r="AR30" s="324"/>
      <c r="AS30" s="324"/>
      <c r="AT30" s="324"/>
      <c r="AU30" s="324"/>
      <c r="AV30" s="324"/>
      <c r="AW30" s="324"/>
      <c r="AX30" s="324"/>
      <c r="AY30" s="324"/>
      <c r="AZ30" s="324"/>
    </row>
    <row r="31" spans="1:52" ht="17" customHeight="1">
      <c r="A31"/>
      <c r="B31"/>
      <c r="C31"/>
      <c r="D31" t="s">
        <v>328</v>
      </c>
      <c r="E31"/>
      <c r="F31"/>
      <c r="G31"/>
      <c r="H31"/>
      <c r="I31"/>
      <c r="J31"/>
      <c r="K31"/>
      <c r="L31"/>
      <c r="M31"/>
      <c r="N31" s="324"/>
      <c r="O31" s="324"/>
      <c r="P31" s="324"/>
      <c r="Q31" s="324"/>
      <c r="R31" s="324"/>
      <c r="S31" s="324"/>
      <c r="T31" s="324"/>
      <c r="U31" s="324"/>
      <c r="V31" s="324"/>
      <c r="W31" s="324"/>
      <c r="X31" s="324"/>
      <c r="Y31" s="324"/>
      <c r="Z31" s="324"/>
      <c r="AA31" s="324"/>
      <c r="AB31" s="324"/>
      <c r="AC31" s="324"/>
      <c r="AD31" s="324"/>
      <c r="AE31" s="324"/>
      <c r="AF31" s="324"/>
      <c r="AG31" s="324"/>
      <c r="AH31" s="324"/>
      <c r="AI31" s="324"/>
      <c r="AJ31" s="324"/>
      <c r="AK31" s="324"/>
      <c r="AL31" s="324"/>
      <c r="AM31" s="324"/>
      <c r="AN31" s="324"/>
      <c r="AO31" s="324"/>
      <c r="AP31" s="324"/>
      <c r="AQ31" s="324"/>
      <c r="AR31" s="324"/>
      <c r="AS31" s="324"/>
      <c r="AT31" s="324"/>
      <c r="AU31" s="324"/>
      <c r="AV31" s="324"/>
      <c r="AW31" s="324"/>
      <c r="AX31" s="324"/>
      <c r="AY31" s="324"/>
      <c r="AZ31" s="324"/>
    </row>
    <row r="32" spans="1:52">
      <c r="A32"/>
      <c r="B32"/>
      <c r="C32"/>
      <c r="D32" t="s">
        <v>329</v>
      </c>
      <c r="E32"/>
      <c r="F32"/>
      <c r="G32"/>
      <c r="H32"/>
      <c r="I32"/>
      <c r="J32"/>
      <c r="K32"/>
      <c r="L32"/>
      <c r="M32"/>
      <c r="N32" s="324"/>
      <c r="O32" s="324"/>
      <c r="P32" s="324"/>
      <c r="Q32" s="324"/>
      <c r="R32" s="324"/>
      <c r="S32" s="324"/>
      <c r="T32" s="324"/>
      <c r="U32" s="324"/>
      <c r="V32" s="324"/>
      <c r="W32" s="324"/>
      <c r="X32" s="324"/>
      <c r="Y32" s="324"/>
      <c r="Z32" s="324"/>
      <c r="AA32" s="324"/>
      <c r="AB32" s="324"/>
      <c r="AC32" s="324"/>
      <c r="AD32" s="324"/>
      <c r="AE32" s="324"/>
      <c r="AF32" s="324"/>
      <c r="AG32" s="324"/>
      <c r="AH32" s="324"/>
      <c r="AI32" s="324"/>
      <c r="AJ32" s="324"/>
      <c r="AK32" s="324"/>
      <c r="AL32" s="324"/>
      <c r="AM32" s="324"/>
      <c r="AN32" s="324"/>
      <c r="AO32" s="324"/>
      <c r="AP32" s="324"/>
      <c r="AQ32" s="324"/>
      <c r="AR32" s="324"/>
      <c r="AS32" s="324"/>
      <c r="AT32" s="324"/>
      <c r="AU32" s="324"/>
      <c r="AV32" s="324"/>
      <c r="AW32" s="324"/>
      <c r="AX32" s="324"/>
      <c r="AY32" s="324"/>
      <c r="AZ32" s="324"/>
    </row>
    <row r="33" spans="1:52">
      <c r="A33"/>
      <c r="B33"/>
      <c r="C33"/>
      <c r="D33" t="s">
        <v>330</v>
      </c>
      <c r="E33"/>
      <c r="F33"/>
      <c r="G33"/>
      <c r="H33"/>
      <c r="I33"/>
      <c r="J33"/>
      <c r="K33"/>
      <c r="L33"/>
      <c r="M33"/>
      <c r="N33" s="324"/>
      <c r="O33" s="324"/>
      <c r="P33" s="324"/>
      <c r="Q33" s="324"/>
      <c r="R33" s="324"/>
      <c r="S33" s="324"/>
      <c r="T33" s="324"/>
      <c r="U33" s="324"/>
      <c r="V33" s="324"/>
      <c r="W33" s="324"/>
      <c r="X33" s="324"/>
      <c r="Y33" s="324"/>
      <c r="Z33" s="324"/>
      <c r="AA33" s="324"/>
      <c r="AB33" s="324"/>
      <c r="AC33" s="324"/>
      <c r="AD33" s="324"/>
      <c r="AE33" s="324"/>
      <c r="AF33" s="324"/>
      <c r="AG33" s="324"/>
      <c r="AH33" s="324"/>
      <c r="AI33" s="324"/>
      <c r="AJ33" s="324"/>
      <c r="AK33" s="324"/>
      <c r="AL33" s="324"/>
      <c r="AM33" s="324"/>
      <c r="AN33" s="324"/>
      <c r="AO33" s="324"/>
      <c r="AP33" s="324"/>
      <c r="AQ33" s="324"/>
      <c r="AR33" s="324"/>
      <c r="AS33" s="324"/>
      <c r="AT33" s="324"/>
      <c r="AU33" s="324"/>
      <c r="AV33" s="324"/>
      <c r="AW33" s="324"/>
      <c r="AX33" s="324"/>
      <c r="AY33" s="324"/>
      <c r="AZ33" s="324"/>
    </row>
    <row r="34" spans="1:52" ht="16" customHeight="1">
      <c r="A34"/>
      <c r="B34"/>
      <c r="C34"/>
      <c r="D34" t="s">
        <v>331</v>
      </c>
      <c r="E34"/>
      <c r="F34"/>
      <c r="G34"/>
      <c r="H34"/>
      <c r="I34"/>
      <c r="J34"/>
      <c r="K34"/>
      <c r="L34"/>
      <c r="M34"/>
      <c r="N34" s="324"/>
      <c r="O34" s="324"/>
      <c r="P34" s="324"/>
      <c r="Q34" s="324"/>
      <c r="R34" s="324"/>
      <c r="S34" s="324"/>
      <c r="T34" s="324"/>
      <c r="U34" s="324"/>
      <c r="V34" s="324"/>
      <c r="W34" s="324"/>
      <c r="X34" s="324"/>
      <c r="Y34" s="324"/>
      <c r="Z34" s="324"/>
      <c r="AA34" s="324"/>
      <c r="AB34" s="324"/>
      <c r="AC34" s="324"/>
      <c r="AD34" s="324"/>
      <c r="AE34" s="324"/>
      <c r="AF34" s="324"/>
      <c r="AG34" s="324"/>
      <c r="AH34" s="324"/>
      <c r="AI34" s="324"/>
      <c r="AJ34" s="324"/>
      <c r="AK34" s="324"/>
      <c r="AL34" s="324"/>
      <c r="AM34" s="324"/>
      <c r="AN34" s="324"/>
      <c r="AO34" s="324"/>
      <c r="AP34" s="324"/>
      <c r="AQ34" s="324"/>
      <c r="AR34" s="324"/>
      <c r="AS34" s="324"/>
      <c r="AT34" s="324"/>
      <c r="AU34" s="324"/>
      <c r="AV34" s="324"/>
      <c r="AW34" s="324"/>
      <c r="AX34" s="324"/>
      <c r="AY34" s="324"/>
      <c r="AZ34" s="324"/>
    </row>
    <row r="35" spans="1:52">
      <c r="A35"/>
      <c r="B35"/>
      <c r="C35"/>
      <c r="D35"/>
      <c r="E35"/>
      <c r="F35"/>
      <c r="G35"/>
      <c r="H35"/>
      <c r="I35"/>
      <c r="J35"/>
      <c r="K35"/>
      <c r="L35"/>
      <c r="M35"/>
      <c r="N35" s="324"/>
      <c r="O35" s="324"/>
      <c r="P35" s="324"/>
      <c r="Q35" s="324"/>
      <c r="R35" s="324"/>
      <c r="S35" s="324"/>
      <c r="T35" s="324"/>
      <c r="U35" s="324"/>
      <c r="V35" s="324"/>
      <c r="W35" s="324"/>
      <c r="X35" s="324"/>
      <c r="Y35" s="324"/>
      <c r="Z35" s="324"/>
      <c r="AA35" s="324"/>
      <c r="AB35" s="324"/>
      <c r="AC35" s="324"/>
      <c r="AD35" s="324"/>
      <c r="AE35" s="324"/>
      <c r="AF35" s="324"/>
      <c r="AG35" s="324"/>
      <c r="AH35" s="324"/>
      <c r="AI35" s="324"/>
      <c r="AJ35" s="324"/>
      <c r="AK35" s="324"/>
      <c r="AL35" s="324"/>
      <c r="AM35" s="324"/>
      <c r="AN35" s="324"/>
      <c r="AO35" s="324"/>
      <c r="AP35" s="324"/>
      <c r="AQ35" s="324"/>
      <c r="AR35" s="324"/>
      <c r="AS35" s="324"/>
      <c r="AT35" s="324"/>
      <c r="AU35" s="324"/>
      <c r="AV35" s="324"/>
      <c r="AW35" s="324"/>
      <c r="AX35" s="324"/>
      <c r="AY35" s="324"/>
      <c r="AZ35" s="324"/>
    </row>
    <row r="36" spans="1:52">
      <c r="A36"/>
      <c r="B36"/>
      <c r="C36"/>
      <c r="D36"/>
      <c r="E36"/>
      <c r="F36"/>
      <c r="G36"/>
      <c r="H36"/>
      <c r="I36"/>
      <c r="J36"/>
      <c r="K36"/>
      <c r="L36"/>
      <c r="M36"/>
      <c r="N36" s="324"/>
      <c r="O36" s="324"/>
      <c r="P36" s="324"/>
      <c r="Q36" s="324"/>
      <c r="R36" s="324"/>
      <c r="S36" s="324"/>
      <c r="T36" s="324"/>
      <c r="U36" s="324"/>
      <c r="V36" s="324"/>
      <c r="W36" s="324"/>
      <c r="X36" s="324"/>
      <c r="Y36" s="324"/>
      <c r="Z36" s="324"/>
      <c r="AA36" s="324"/>
      <c r="AB36" s="324"/>
      <c r="AC36" s="324"/>
      <c r="AD36" s="324"/>
      <c r="AE36" s="324"/>
      <c r="AF36" s="324"/>
      <c r="AG36" s="324"/>
      <c r="AH36" s="324"/>
      <c r="AI36" s="324"/>
      <c r="AJ36" s="324"/>
      <c r="AK36" s="324"/>
      <c r="AL36" s="324"/>
      <c r="AM36" s="324"/>
      <c r="AN36" s="324"/>
      <c r="AO36" s="324"/>
      <c r="AP36" s="324"/>
      <c r="AQ36" s="324"/>
      <c r="AR36" s="324"/>
      <c r="AS36" s="324"/>
      <c r="AT36" s="324"/>
      <c r="AU36" s="324"/>
      <c r="AV36" s="324"/>
      <c r="AW36" s="324"/>
      <c r="AX36" s="324"/>
      <c r="AY36" s="324"/>
      <c r="AZ36" s="324"/>
    </row>
    <row r="37" spans="1:52">
      <c r="A37"/>
      <c r="B37"/>
      <c r="C37"/>
      <c r="D37"/>
      <c r="E37"/>
      <c r="F37"/>
      <c r="G37"/>
      <c r="H37"/>
      <c r="I37"/>
      <c r="J37"/>
      <c r="K37"/>
      <c r="L37"/>
      <c r="M37"/>
      <c r="N37" s="324"/>
      <c r="O37" s="324"/>
      <c r="P37" s="324"/>
      <c r="Q37" s="324"/>
      <c r="R37" s="324"/>
      <c r="S37" s="324"/>
      <c r="T37" s="324"/>
      <c r="U37" s="324"/>
      <c r="V37" s="324"/>
      <c r="W37" s="324"/>
      <c r="X37" s="324"/>
      <c r="Y37" s="324"/>
      <c r="Z37" s="324"/>
      <c r="AA37" s="324"/>
      <c r="AB37" s="324"/>
      <c r="AC37" s="324"/>
      <c r="AD37" s="324"/>
      <c r="AE37" s="324"/>
      <c r="AF37" s="324"/>
      <c r="AG37" s="324"/>
      <c r="AH37" s="324"/>
      <c r="AI37" s="324"/>
      <c r="AJ37" s="324"/>
      <c r="AK37" s="324"/>
      <c r="AL37" s="324"/>
      <c r="AM37" s="324"/>
      <c r="AN37" s="324"/>
      <c r="AO37" s="324"/>
      <c r="AP37" s="324"/>
      <c r="AQ37" s="324"/>
      <c r="AR37" s="324"/>
      <c r="AS37" s="324"/>
      <c r="AT37" s="324"/>
      <c r="AU37" s="324"/>
      <c r="AV37" s="324"/>
      <c r="AW37" s="324"/>
      <c r="AX37" s="324"/>
      <c r="AY37" s="324"/>
      <c r="AZ37" s="324"/>
    </row>
    <row r="38" spans="1:52">
      <c r="A38"/>
      <c r="B38"/>
      <c r="C38"/>
      <c r="D38"/>
      <c r="E38"/>
      <c r="F38"/>
      <c r="G38"/>
      <c r="H38"/>
      <c r="I38"/>
      <c r="J38"/>
      <c r="K38"/>
      <c r="L38"/>
      <c r="M38"/>
      <c r="N38" s="324"/>
      <c r="O38" s="324"/>
      <c r="P38" s="324"/>
      <c r="Q38" s="324"/>
      <c r="R38" s="324"/>
      <c r="S38" s="324"/>
      <c r="T38" s="324"/>
      <c r="U38" s="324"/>
      <c r="V38" s="324"/>
      <c r="W38" s="324"/>
      <c r="X38" s="324"/>
      <c r="Y38" s="324"/>
      <c r="Z38" s="324"/>
      <c r="AA38" s="324"/>
      <c r="AB38" s="324"/>
      <c r="AC38" s="324"/>
      <c r="AD38" s="324"/>
      <c r="AE38" s="324"/>
      <c r="AF38" s="324"/>
      <c r="AG38" s="324"/>
      <c r="AH38" s="324"/>
      <c r="AI38" s="324"/>
      <c r="AJ38" s="324"/>
      <c r="AK38" s="324"/>
      <c r="AL38" s="324"/>
      <c r="AM38" s="324"/>
      <c r="AN38" s="324"/>
      <c r="AO38" s="324"/>
      <c r="AP38" s="324"/>
      <c r="AQ38" s="324"/>
      <c r="AR38" s="324"/>
      <c r="AS38" s="324"/>
      <c r="AT38" s="324"/>
      <c r="AU38" s="324"/>
      <c r="AV38" s="324"/>
      <c r="AW38" s="324"/>
      <c r="AX38" s="324"/>
      <c r="AY38" s="324"/>
      <c r="AZ38" s="324"/>
    </row>
    <row r="39" spans="1:52">
      <c r="A39"/>
      <c r="B39"/>
      <c r="C39"/>
      <c r="D39"/>
      <c r="E39"/>
      <c r="F39"/>
      <c r="G39"/>
      <c r="H39"/>
      <c r="I39"/>
      <c r="J39"/>
      <c r="K39"/>
      <c r="L39"/>
      <c r="M39"/>
      <c r="N39" s="324"/>
      <c r="O39" s="324"/>
      <c r="P39" s="324"/>
      <c r="Q39" s="324"/>
      <c r="R39" s="324"/>
      <c r="S39" s="324"/>
      <c r="T39" s="324"/>
      <c r="U39" s="324"/>
      <c r="V39" s="324"/>
      <c r="W39" s="324"/>
      <c r="X39" s="324"/>
      <c r="Y39" s="324"/>
      <c r="Z39" s="324"/>
      <c r="AA39" s="324"/>
      <c r="AB39" s="324"/>
      <c r="AC39" s="324"/>
      <c r="AD39" s="324"/>
      <c r="AE39" s="324"/>
      <c r="AF39" s="324"/>
      <c r="AG39" s="324"/>
      <c r="AH39" s="324"/>
      <c r="AI39" s="324"/>
      <c r="AJ39" s="324"/>
      <c r="AK39" s="324"/>
      <c r="AL39" s="324"/>
      <c r="AM39" s="324"/>
      <c r="AN39" s="324"/>
      <c r="AO39" s="324"/>
      <c r="AP39" s="324"/>
      <c r="AQ39" s="324"/>
      <c r="AR39" s="324"/>
      <c r="AS39" s="324"/>
      <c r="AT39" s="324"/>
      <c r="AU39" s="324"/>
      <c r="AV39" s="324"/>
      <c r="AW39" s="324"/>
      <c r="AX39" s="324"/>
      <c r="AY39" s="324"/>
      <c r="AZ39" s="324"/>
    </row>
    <row r="40" spans="1:52" ht="76" customHeight="1">
      <c r="A40" s="245" t="s">
        <v>332</v>
      </c>
      <c r="B40" s="245" t="s">
        <v>333</v>
      </c>
      <c r="C40" s="245" t="s">
        <v>334</v>
      </c>
      <c r="D40"/>
      <c r="E40" s="245" t="s">
        <v>335</v>
      </c>
      <c r="F40"/>
      <c r="G40" t="s">
        <v>336</v>
      </c>
      <c r="H40" s="252" t="s">
        <v>337</v>
      </c>
      <c r="I40" s="252" t="s">
        <v>338</v>
      </c>
      <c r="J40" s="246"/>
      <c r="K40" s="246"/>
      <c r="L40" s="243" t="s">
        <v>339</v>
      </c>
      <c r="M40" s="243" t="s">
        <v>340</v>
      </c>
      <c r="N40" s="323" t="s">
        <v>337</v>
      </c>
      <c r="O40" s="327"/>
      <c r="P40" s="324"/>
      <c r="Q40" s="324"/>
      <c r="R40" s="324"/>
      <c r="S40" s="324"/>
      <c r="T40" s="324"/>
      <c r="U40" s="324"/>
      <c r="V40" s="324"/>
      <c r="W40" s="324"/>
      <c r="X40" s="324"/>
      <c r="Y40" s="324"/>
      <c r="Z40" s="324"/>
      <c r="AA40" s="324"/>
      <c r="AB40" s="324"/>
      <c r="AC40" s="324"/>
      <c r="AD40" s="324"/>
      <c r="AE40" s="324"/>
      <c r="AF40" s="324"/>
      <c r="AG40" s="324"/>
      <c r="AH40" s="324"/>
      <c r="AI40" s="324"/>
      <c r="AJ40" s="324"/>
      <c r="AK40" s="324"/>
      <c r="AL40" s="324"/>
      <c r="AM40" s="324"/>
      <c r="AN40" s="324"/>
      <c r="AO40" s="324"/>
      <c r="AP40" s="324"/>
      <c r="AQ40" s="324"/>
      <c r="AR40" s="324"/>
      <c r="AS40" s="324"/>
      <c r="AT40" s="324"/>
      <c r="AU40" s="324"/>
      <c r="AV40" s="324"/>
      <c r="AW40" s="324"/>
      <c r="AX40" s="324"/>
      <c r="AY40" s="324"/>
      <c r="AZ40" s="324"/>
    </row>
    <row r="41" spans="1:52" ht="40" customHeight="1">
      <c r="A41"/>
      <c r="B41" t="s">
        <v>341</v>
      </c>
      <c r="C41" t="s">
        <v>342</v>
      </c>
      <c r="D41"/>
      <c r="E41" s="247" t="s">
        <v>343</v>
      </c>
      <c r="F41" t="s">
        <v>344</v>
      </c>
      <c r="G41" t="s">
        <v>345</v>
      </c>
      <c r="H41" s="253" t="s">
        <v>346</v>
      </c>
      <c r="I41" s="254" t="s">
        <v>347</v>
      </c>
      <c r="J41" t="s">
        <v>4</v>
      </c>
      <c r="K41" s="255" t="s">
        <v>348</v>
      </c>
      <c r="L41" s="256" t="s">
        <v>116</v>
      </c>
      <c r="M41" s="257" t="s">
        <v>221</v>
      </c>
      <c r="N41" s="328" t="s">
        <v>346</v>
      </c>
      <c r="O41" s="327"/>
      <c r="P41" s="324"/>
      <c r="Q41" s="324"/>
      <c r="R41" s="324"/>
      <c r="S41" s="324"/>
      <c r="T41" s="324"/>
      <c r="U41" s="324"/>
      <c r="V41" s="324"/>
      <c r="W41" s="324"/>
      <c r="X41" s="324"/>
      <c r="Y41" s="324"/>
      <c r="Z41" s="324"/>
      <c r="AA41" s="324"/>
      <c r="AB41" s="324"/>
      <c r="AC41" s="324"/>
      <c r="AD41" s="324"/>
      <c r="AE41" s="324"/>
      <c r="AF41" s="324"/>
      <c r="AG41" s="324"/>
      <c r="AH41" s="324"/>
      <c r="AI41" s="324"/>
      <c r="AJ41" s="324"/>
      <c r="AK41" s="324"/>
      <c r="AL41" s="324"/>
      <c r="AM41" s="324"/>
      <c r="AN41" s="324"/>
      <c r="AO41" s="324"/>
      <c r="AP41" s="324"/>
      <c r="AQ41" s="324"/>
      <c r="AR41" s="324"/>
      <c r="AS41" s="324"/>
      <c r="AT41" s="324"/>
      <c r="AU41" s="324"/>
      <c r="AV41" s="324"/>
      <c r="AW41" s="324"/>
      <c r="AX41" s="324"/>
      <c r="AY41" s="324"/>
      <c r="AZ41" s="324"/>
    </row>
    <row r="42" spans="1:52" ht="15" customHeight="1">
      <c r="A42"/>
      <c r="B42" t="s">
        <v>349</v>
      </c>
      <c r="C42" t="s">
        <v>350</v>
      </c>
      <c r="D42"/>
      <c r="E42" s="247" t="s">
        <v>351</v>
      </c>
      <c r="F42" t="s">
        <v>352</v>
      </c>
      <c r="G42" t="s">
        <v>353</v>
      </c>
      <c r="H42" s="258" t="s">
        <v>341</v>
      </c>
      <c r="I42" s="254" t="s">
        <v>119</v>
      </c>
      <c r="J42" t="s">
        <v>354</v>
      </c>
      <c r="K42" s="255" t="s">
        <v>355</v>
      </c>
      <c r="L42" t="s">
        <v>117</v>
      </c>
      <c r="M42" s="257" t="s">
        <v>103</v>
      </c>
      <c r="N42" s="327" t="s">
        <v>341</v>
      </c>
      <c r="O42" s="324"/>
      <c r="P42" s="324"/>
      <c r="Q42" s="324"/>
      <c r="R42" s="324"/>
      <c r="S42" s="324"/>
      <c r="T42" s="324"/>
      <c r="U42" s="324"/>
      <c r="V42" s="324"/>
      <c r="W42" s="324"/>
      <c r="X42" s="324"/>
      <c r="Y42" s="324"/>
      <c r="Z42" s="324"/>
      <c r="AA42" s="324"/>
      <c r="AB42" s="324"/>
      <c r="AC42" s="324"/>
      <c r="AD42" s="324"/>
      <c r="AE42" s="324"/>
      <c r="AF42" s="324"/>
      <c r="AG42" s="324"/>
      <c r="AH42" s="324"/>
      <c r="AI42" s="324"/>
      <c r="AJ42" s="324"/>
      <c r="AK42" s="324"/>
      <c r="AL42" s="324"/>
      <c r="AM42" s="324"/>
      <c r="AN42" s="324"/>
      <c r="AO42" s="324"/>
      <c r="AP42" s="324"/>
      <c r="AQ42" s="324"/>
      <c r="AR42" s="324"/>
      <c r="AS42" s="324"/>
      <c r="AT42" s="324"/>
      <c r="AU42" s="324"/>
      <c r="AV42" s="324"/>
      <c r="AW42" s="324"/>
      <c r="AX42" s="324"/>
      <c r="AY42" s="324"/>
      <c r="AZ42" s="324"/>
    </row>
    <row r="43" spans="1:52" ht="13" customHeight="1">
      <c r="A43"/>
      <c r="B43" t="s">
        <v>356</v>
      </c>
      <c r="C43" t="s">
        <v>357</v>
      </c>
      <c r="D43"/>
      <c r="E43" s="247" t="s">
        <v>358</v>
      </c>
      <c r="F43" t="s">
        <v>336</v>
      </c>
      <c r="G43" t="s">
        <v>359</v>
      </c>
      <c r="H43" s="258" t="s">
        <v>349</v>
      </c>
      <c r="I43" s="254" t="s">
        <v>360</v>
      </c>
      <c r="J43" t="s">
        <v>8</v>
      </c>
      <c r="K43" s="255" t="s">
        <v>361</v>
      </c>
      <c r="L43" t="s">
        <v>118</v>
      </c>
      <c r="M43" s="257" t="s">
        <v>362</v>
      </c>
      <c r="N43" s="327" t="s">
        <v>349</v>
      </c>
      <c r="O43" s="324"/>
      <c r="P43" s="324"/>
      <c r="Q43" s="324"/>
      <c r="R43" s="324"/>
      <c r="S43" s="324"/>
      <c r="T43" s="324"/>
      <c r="U43" s="324"/>
      <c r="V43" s="324"/>
      <c r="W43" s="324"/>
      <c r="X43" s="324"/>
      <c r="Y43" s="324"/>
      <c r="Z43" s="324"/>
      <c r="AA43" s="324"/>
      <c r="AB43" s="324"/>
      <c r="AC43" s="324"/>
      <c r="AD43" s="324"/>
      <c r="AE43" s="324"/>
      <c r="AF43" s="324"/>
      <c r="AG43" s="324"/>
      <c r="AH43" s="324"/>
      <c r="AI43" s="324"/>
      <c r="AJ43" s="324"/>
      <c r="AK43" s="324"/>
      <c r="AL43" s="324"/>
      <c r="AM43" s="324"/>
      <c r="AN43" s="324"/>
      <c r="AO43" s="324"/>
      <c r="AP43" s="324"/>
      <c r="AQ43" s="324"/>
      <c r="AR43" s="324"/>
      <c r="AS43" s="324"/>
      <c r="AT43" s="324"/>
      <c r="AU43" s="324"/>
      <c r="AV43" s="324"/>
      <c r="AW43" s="324"/>
      <c r="AX43" s="324"/>
      <c r="AY43" s="324"/>
      <c r="AZ43" s="324"/>
    </row>
    <row r="44" spans="1:52" ht="16" customHeight="1">
      <c r="A44"/>
      <c r="B44" t="s">
        <v>204</v>
      </c>
      <c r="C44" t="s">
        <v>363</v>
      </c>
      <c r="D44"/>
      <c r="E44" s="247" t="s">
        <v>364</v>
      </c>
      <c r="F44"/>
      <c r="G44" t="s">
        <v>365</v>
      </c>
      <c r="H44" s="258" t="s">
        <v>366</v>
      </c>
      <c r="I44" s="254" t="s">
        <v>367</v>
      </c>
      <c r="J44" t="s">
        <v>368</v>
      </c>
      <c r="K44" s="259" t="s">
        <v>369</v>
      </c>
      <c r="L44" t="s">
        <v>357</v>
      </c>
      <c r="M44" s="257" t="s">
        <v>109</v>
      </c>
      <c r="N44" s="327" t="s">
        <v>366</v>
      </c>
      <c r="O44" s="324"/>
      <c r="P44" s="324"/>
      <c r="Q44" s="324"/>
      <c r="R44" s="324"/>
      <c r="S44" s="324"/>
      <c r="T44" s="324"/>
      <c r="U44" s="324"/>
      <c r="V44" s="324"/>
      <c r="W44" s="324"/>
      <c r="X44" s="324"/>
      <c r="Y44" s="324"/>
      <c r="Z44" s="324"/>
      <c r="AA44" s="324"/>
      <c r="AB44" s="324"/>
      <c r="AC44" s="324"/>
      <c r="AD44" s="324"/>
      <c r="AE44" s="324"/>
      <c r="AF44" s="324"/>
      <c r="AG44" s="324"/>
      <c r="AH44" s="324"/>
      <c r="AI44" s="324"/>
      <c r="AJ44" s="324"/>
      <c r="AK44" s="324"/>
      <c r="AL44" s="324"/>
      <c r="AM44" s="324"/>
      <c r="AN44" s="324"/>
      <c r="AO44" s="324"/>
      <c r="AP44" s="324"/>
      <c r="AQ44" s="324"/>
      <c r="AR44" s="324"/>
      <c r="AS44" s="324"/>
      <c r="AT44" s="324"/>
      <c r="AU44" s="324"/>
      <c r="AV44" s="324"/>
      <c r="AW44" s="324"/>
      <c r="AX44" s="324"/>
      <c r="AY44" s="324"/>
      <c r="AZ44" s="324"/>
    </row>
    <row r="45" spans="1:52" ht="20" customHeight="1">
      <c r="A45"/>
      <c r="B45"/>
      <c r="C45"/>
      <c r="D45"/>
      <c r="E45"/>
      <c r="F45"/>
      <c r="G45"/>
      <c r="H45" s="258" t="s">
        <v>370</v>
      </c>
      <c r="I45" s="260"/>
      <c r="J45"/>
      <c r="K45" s="261"/>
      <c r="L45" t="s">
        <v>114</v>
      </c>
      <c r="M45" s="257" t="s">
        <v>110</v>
      </c>
      <c r="N45" s="327" t="s">
        <v>370</v>
      </c>
      <c r="O45" s="324"/>
      <c r="P45" s="324"/>
      <c r="Q45" s="324"/>
      <c r="R45" s="324"/>
      <c r="S45" s="324"/>
      <c r="T45" s="324"/>
      <c r="U45" s="324"/>
      <c r="V45" s="324"/>
      <c r="W45" s="324"/>
      <c r="X45" s="324"/>
      <c r="Y45" s="324"/>
      <c r="Z45" s="324"/>
      <c r="AA45" s="324"/>
      <c r="AB45" s="324"/>
      <c r="AC45" s="324"/>
      <c r="AD45" s="324"/>
      <c r="AE45" s="324"/>
      <c r="AF45" s="324"/>
      <c r="AG45" s="324"/>
      <c r="AH45" s="324"/>
      <c r="AI45" s="324"/>
      <c r="AJ45" s="324"/>
      <c r="AK45" s="324"/>
      <c r="AL45" s="324"/>
      <c r="AM45" s="324"/>
      <c r="AN45" s="324"/>
      <c r="AO45" s="324"/>
      <c r="AP45" s="324"/>
      <c r="AQ45" s="324"/>
      <c r="AR45" s="324"/>
      <c r="AS45" s="324"/>
      <c r="AT45" s="324"/>
      <c r="AU45" s="324"/>
      <c r="AV45" s="324"/>
      <c r="AW45" s="324"/>
      <c r="AX45" s="324"/>
      <c r="AY45" s="324"/>
      <c r="AZ45" s="324"/>
    </row>
    <row r="46" spans="1:52" ht="33" customHeight="1">
      <c r="A46"/>
      <c r="B46"/>
      <c r="C46"/>
      <c r="D46"/>
      <c r="E46"/>
      <c r="F46"/>
      <c r="G46"/>
      <c r="H46"/>
      <c r="I46" s="261"/>
      <c r="J46" s="261"/>
      <c r="K46" s="261"/>
      <c r="L46" s="259" t="s">
        <v>115</v>
      </c>
      <c r="M46"/>
      <c r="N46" s="324"/>
      <c r="O46" s="324"/>
      <c r="P46" s="324"/>
      <c r="Q46" s="324"/>
      <c r="R46" s="324"/>
      <c r="S46" s="324"/>
      <c r="T46" s="324"/>
      <c r="U46" s="324"/>
      <c r="V46" s="324"/>
      <c r="W46" s="324"/>
      <c r="X46" s="324"/>
      <c r="Y46" s="324"/>
      <c r="Z46" s="324"/>
      <c r="AA46" s="324"/>
      <c r="AB46" s="324"/>
      <c r="AC46" s="324"/>
      <c r="AD46" s="324"/>
      <c r="AE46" s="324"/>
      <c r="AF46" s="324"/>
      <c r="AG46" s="324"/>
      <c r="AH46" s="324"/>
      <c r="AI46" s="324"/>
      <c r="AJ46" s="324"/>
      <c r="AK46" s="324"/>
      <c r="AL46" s="324"/>
      <c r="AM46" s="324"/>
      <c r="AN46" s="324"/>
      <c r="AO46" s="324"/>
      <c r="AP46" s="324"/>
      <c r="AQ46" s="324"/>
      <c r="AR46" s="324"/>
      <c r="AS46" s="324"/>
      <c r="AT46" s="324"/>
      <c r="AU46" s="324"/>
      <c r="AV46" s="324"/>
      <c r="AW46" s="324"/>
      <c r="AX46" s="324"/>
      <c r="AY46" s="324"/>
      <c r="AZ46" s="324"/>
    </row>
    <row r="47" spans="1:52" ht="75" customHeight="1">
      <c r="A47"/>
      <c r="B47" s="245" t="s">
        <v>371</v>
      </c>
      <c r="C47"/>
      <c r="D47" s="246"/>
      <c r="E47"/>
      <c r="F47" s="246"/>
      <c r="G47" t="s">
        <v>372</v>
      </c>
      <c r="H47"/>
      <c r="I47"/>
      <c r="J47"/>
      <c r="K47"/>
      <c r="L47" s="259" t="s">
        <v>373</v>
      </c>
      <c r="M47"/>
      <c r="N47" s="329" t="s">
        <v>374</v>
      </c>
      <c r="O47" s="330"/>
      <c r="P47" s="330"/>
      <c r="Q47" s="330"/>
      <c r="R47" s="324"/>
      <c r="S47" s="324"/>
      <c r="T47" s="324"/>
      <c r="U47" s="324"/>
      <c r="V47" s="324"/>
      <c r="W47" s="324"/>
      <c r="X47" s="324"/>
      <c r="Y47" s="324"/>
      <c r="Z47" s="324"/>
      <c r="AA47" s="324"/>
      <c r="AB47" s="324"/>
      <c r="AC47" s="324"/>
      <c r="AD47" s="324"/>
      <c r="AE47" s="324"/>
      <c r="AF47" s="324"/>
      <c r="AG47" s="324"/>
      <c r="AH47" s="324"/>
      <c r="AI47" s="324"/>
      <c r="AJ47" s="324"/>
      <c r="AK47" s="324"/>
      <c r="AL47" s="324"/>
      <c r="AM47" s="324"/>
      <c r="AN47" s="324"/>
      <c r="AO47" s="324"/>
      <c r="AP47" s="324"/>
      <c r="AQ47" s="324"/>
      <c r="AR47" s="324"/>
      <c r="AS47" s="324"/>
      <c r="AT47" s="324"/>
      <c r="AU47" s="324"/>
      <c r="AV47" s="324"/>
      <c r="AW47" s="324"/>
      <c r="AX47" s="324"/>
      <c r="AY47" s="324"/>
      <c r="AZ47" s="324"/>
    </row>
    <row r="48" spans="1:52" ht="33" customHeight="1">
      <c r="A48"/>
      <c r="B48" t="s">
        <v>375</v>
      </c>
      <c r="C48"/>
      <c r="D48" s="246"/>
      <c r="E48"/>
      <c r="F48" s="246"/>
      <c r="G48" t="s">
        <v>376</v>
      </c>
      <c r="H48"/>
      <c r="I48"/>
      <c r="J48"/>
      <c r="K48"/>
      <c r="L48" s="259" t="s">
        <v>113</v>
      </c>
      <c r="M48" s="262"/>
      <c r="N48" s="330" t="s">
        <v>377</v>
      </c>
      <c r="O48" s="330"/>
      <c r="P48" s="330"/>
      <c r="Q48" s="330"/>
      <c r="R48" s="324"/>
      <c r="S48" s="324"/>
      <c r="T48" s="324"/>
      <c r="U48" s="324"/>
      <c r="V48" s="324"/>
      <c r="W48" s="324"/>
      <c r="X48" s="324"/>
      <c r="Y48" s="324"/>
      <c r="Z48" s="324"/>
      <c r="AA48" s="324"/>
      <c r="AB48" s="324"/>
      <c r="AC48" s="324"/>
      <c r="AD48" s="324"/>
      <c r="AE48" s="324"/>
      <c r="AF48" s="324"/>
      <c r="AG48" s="324"/>
      <c r="AH48" s="324"/>
      <c r="AI48" s="324"/>
      <c r="AJ48" s="324"/>
      <c r="AK48" s="324"/>
      <c r="AL48" s="324"/>
      <c r="AM48" s="324"/>
      <c r="AN48" s="324"/>
      <c r="AO48" s="324"/>
      <c r="AP48" s="324"/>
      <c r="AQ48" s="324"/>
      <c r="AR48" s="324"/>
      <c r="AS48" s="324"/>
      <c r="AT48" s="324"/>
      <c r="AU48" s="324"/>
      <c r="AV48" s="324"/>
      <c r="AW48" s="324"/>
      <c r="AX48" s="324"/>
      <c r="AY48" s="324"/>
      <c r="AZ48" s="324"/>
    </row>
    <row r="49" spans="1:52" ht="16" customHeight="1">
      <c r="A49"/>
      <c r="B49" t="s">
        <v>378</v>
      </c>
      <c r="C49"/>
      <c r="D49" s="246"/>
      <c r="E49"/>
      <c r="F49" s="246"/>
      <c r="G49" s="246"/>
      <c r="H49"/>
      <c r="I49"/>
      <c r="J49"/>
      <c r="K49"/>
      <c r="L49" s="259" t="s">
        <v>120</v>
      </c>
      <c r="M49" s="262"/>
      <c r="N49" s="330" t="s">
        <v>379</v>
      </c>
      <c r="O49" s="330"/>
      <c r="P49" s="330"/>
      <c r="Q49" s="330"/>
      <c r="R49" s="324"/>
      <c r="S49" s="324"/>
      <c r="T49" s="324"/>
      <c r="U49" s="324"/>
      <c r="V49" s="324"/>
      <c r="W49" s="324"/>
      <c r="X49" s="324"/>
      <c r="Y49" s="324"/>
      <c r="Z49" s="324"/>
      <c r="AA49" s="324"/>
      <c r="AB49" s="324"/>
      <c r="AC49" s="324"/>
      <c r="AD49" s="324"/>
      <c r="AE49" s="324"/>
      <c r="AF49" s="324"/>
      <c r="AG49" s="324"/>
      <c r="AH49" s="324"/>
      <c r="AI49" s="324"/>
      <c r="AJ49" s="324"/>
      <c r="AK49" s="324"/>
      <c r="AL49" s="324"/>
      <c r="AM49" s="324"/>
      <c r="AN49" s="324"/>
      <c r="AO49" s="324"/>
      <c r="AP49" s="324"/>
      <c r="AQ49" s="324"/>
      <c r="AR49" s="324"/>
      <c r="AS49" s="324"/>
      <c r="AT49" s="324"/>
      <c r="AU49" s="324"/>
      <c r="AV49" s="324"/>
      <c r="AW49" s="324"/>
      <c r="AX49" s="324"/>
      <c r="AY49" s="324"/>
      <c r="AZ49" s="324"/>
    </row>
    <row r="50" spans="1:52" ht="16" customHeight="1">
      <c r="A50"/>
      <c r="B50"/>
      <c r="C50"/>
      <c r="D50" s="246"/>
      <c r="E50"/>
      <c r="F50" s="246"/>
      <c r="G50" s="246"/>
      <c r="H50"/>
      <c r="I50"/>
      <c r="J50"/>
      <c r="K50"/>
      <c r="L50"/>
      <c r="M50"/>
      <c r="N50" s="324"/>
      <c r="O50" s="324"/>
      <c r="P50" s="324"/>
      <c r="Q50" s="324"/>
      <c r="R50" s="324"/>
      <c r="S50" s="324"/>
      <c r="T50" s="324"/>
      <c r="U50" s="324"/>
      <c r="V50" s="324"/>
      <c r="W50" s="324"/>
      <c r="X50" s="324"/>
      <c r="Y50" s="324"/>
      <c r="Z50" s="324"/>
      <c r="AA50" s="324"/>
      <c r="AB50" s="324"/>
      <c r="AC50" s="324"/>
      <c r="AD50" s="324"/>
      <c r="AE50" s="324"/>
      <c r="AF50" s="324"/>
      <c r="AG50" s="324"/>
      <c r="AH50" s="324"/>
      <c r="AI50" s="324"/>
      <c r="AJ50" s="324"/>
      <c r="AK50" s="324"/>
      <c r="AL50" s="324"/>
      <c r="AM50" s="324"/>
      <c r="AN50" s="324"/>
      <c r="AO50" s="324"/>
      <c r="AP50" s="324"/>
      <c r="AQ50" s="324"/>
      <c r="AR50" s="324"/>
      <c r="AS50" s="324"/>
      <c r="AT50" s="324"/>
      <c r="AU50" s="324"/>
      <c r="AV50" s="324"/>
      <c r="AW50" s="324"/>
      <c r="AX50" s="324"/>
      <c r="AY50" s="324"/>
      <c r="AZ50" s="324"/>
    </row>
    <row r="51" spans="1:52" ht="16" customHeight="1">
      <c r="A51"/>
      <c r="B51"/>
      <c r="C51"/>
      <c r="D51" s="246"/>
      <c r="E51"/>
      <c r="F51" s="246"/>
      <c r="G51"/>
      <c r="H51"/>
      <c r="I51"/>
      <c r="J51"/>
      <c r="K51"/>
      <c r="L51"/>
      <c r="M51"/>
      <c r="N51" s="324"/>
      <c r="O51" s="324"/>
      <c r="P51" s="324"/>
      <c r="Q51" s="324"/>
      <c r="R51" s="324"/>
      <c r="S51" s="324"/>
      <c r="T51" s="324"/>
      <c r="U51" s="324"/>
      <c r="V51" s="324"/>
      <c r="W51" s="324"/>
      <c r="X51" s="324"/>
      <c r="Y51" s="324"/>
      <c r="Z51" s="324"/>
      <c r="AA51" s="324"/>
      <c r="AB51" s="324"/>
      <c r="AC51" s="324"/>
      <c r="AD51" s="324"/>
      <c r="AE51" s="324"/>
      <c r="AF51" s="324"/>
      <c r="AG51" s="324"/>
      <c r="AH51" s="324"/>
      <c r="AI51" s="324"/>
      <c r="AJ51" s="324"/>
      <c r="AK51" s="324"/>
      <c r="AL51" s="324"/>
      <c r="AM51" s="324"/>
      <c r="AN51" s="324"/>
      <c r="AO51" s="324"/>
      <c r="AP51" s="324"/>
      <c r="AQ51" s="324"/>
      <c r="AR51" s="324"/>
      <c r="AS51" s="324"/>
      <c r="AT51" s="324"/>
      <c r="AU51" s="324"/>
      <c r="AV51" s="324"/>
      <c r="AW51" s="324"/>
      <c r="AX51" s="324"/>
      <c r="AY51" s="324"/>
      <c r="AZ51" s="324"/>
    </row>
    <row r="52" spans="1:52" ht="34">
      <c r="A52" s="245" t="s">
        <v>380</v>
      </c>
      <c r="B52" s="245" t="s">
        <v>381</v>
      </c>
      <c r="C52"/>
      <c r="D52" s="246"/>
      <c r="E52"/>
      <c r="F52" s="245" t="s">
        <v>382</v>
      </c>
      <c r="G52" s="246" t="s">
        <v>223</v>
      </c>
      <c r="H52" s="263" t="s">
        <v>383</v>
      </c>
      <c r="I52" s="243" t="s">
        <v>384</v>
      </c>
      <c r="J52"/>
      <c r="K52"/>
      <c r="L52"/>
      <c r="M52"/>
      <c r="N52" s="324"/>
      <c r="O52" s="324"/>
      <c r="P52" s="324"/>
      <c r="Q52" s="324"/>
      <c r="R52" s="324"/>
      <c r="S52" s="324"/>
      <c r="T52" s="324"/>
      <c r="U52" s="324"/>
      <c r="V52" s="324"/>
      <c r="W52" s="324"/>
      <c r="X52" s="324"/>
      <c r="Y52" s="324"/>
      <c r="Z52" s="324"/>
      <c r="AA52" s="324"/>
      <c r="AB52" s="324"/>
      <c r="AC52" s="324"/>
      <c r="AD52" s="324"/>
      <c r="AE52" s="324"/>
      <c r="AF52" s="324"/>
      <c r="AG52" s="324"/>
      <c r="AH52" s="324"/>
      <c r="AI52" s="324"/>
      <c r="AJ52" s="324"/>
      <c r="AK52" s="324"/>
      <c r="AL52" s="324"/>
      <c r="AM52" s="324"/>
      <c r="AN52" s="324"/>
      <c r="AO52" s="324"/>
      <c r="AP52" s="324"/>
      <c r="AQ52" s="324"/>
      <c r="AR52" s="324"/>
      <c r="AS52" s="324"/>
      <c r="AT52" s="324"/>
      <c r="AU52" s="324"/>
      <c r="AV52" s="324"/>
      <c r="AW52" s="324"/>
      <c r="AX52" s="324"/>
      <c r="AY52" s="324"/>
      <c r="AZ52" s="324"/>
    </row>
    <row r="53" spans="1:52" ht="16" customHeight="1">
      <c r="A53"/>
      <c r="B53" t="s">
        <v>385</v>
      </c>
      <c r="C53"/>
      <c r="D53" s="246"/>
      <c r="E53"/>
      <c r="F53" s="256" t="s">
        <v>386</v>
      </c>
      <c r="G53" s="246" t="s">
        <v>231</v>
      </c>
      <c r="H53" s="246" t="s">
        <v>387</v>
      </c>
      <c r="I53" t="s">
        <v>388</v>
      </c>
      <c r="J53"/>
      <c r="K53"/>
      <c r="L53"/>
      <c r="M53"/>
      <c r="N53" s="324"/>
      <c r="O53" s="324"/>
      <c r="P53" s="324"/>
      <c r="Q53" s="324"/>
      <c r="R53" s="324"/>
      <c r="S53" s="324"/>
      <c r="T53" s="324"/>
      <c r="U53" s="324"/>
      <c r="V53" s="324"/>
      <c r="W53" s="324"/>
      <c r="X53" s="324"/>
      <c r="Y53" s="324"/>
      <c r="Z53" s="324"/>
      <c r="AA53" s="324"/>
      <c r="AB53" s="324"/>
      <c r="AC53" s="324"/>
      <c r="AD53" s="324"/>
      <c r="AE53" s="324"/>
      <c r="AF53" s="324"/>
      <c r="AG53" s="324"/>
      <c r="AH53" s="324"/>
      <c r="AI53" s="324"/>
      <c r="AJ53" s="324"/>
      <c r="AK53" s="324"/>
      <c r="AL53" s="324"/>
      <c r="AM53" s="324"/>
      <c r="AN53" s="324"/>
      <c r="AO53" s="324"/>
      <c r="AP53" s="324"/>
      <c r="AQ53" s="324"/>
      <c r="AR53" s="324"/>
      <c r="AS53" s="324"/>
      <c r="AT53" s="324"/>
      <c r="AU53" s="324"/>
      <c r="AV53" s="324"/>
      <c r="AW53" s="324"/>
      <c r="AX53" s="324"/>
      <c r="AY53" s="324"/>
      <c r="AZ53" s="324"/>
    </row>
    <row r="54" spans="1:52" ht="34">
      <c r="A54"/>
      <c r="B54" t="s">
        <v>389</v>
      </c>
      <c r="C54"/>
      <c r="D54" s="246"/>
      <c r="E54"/>
      <c r="F54" t="s">
        <v>390</v>
      </c>
      <c r="G54" s="246" t="s">
        <v>238</v>
      </c>
      <c r="H54" s="246" t="s">
        <v>391</v>
      </c>
      <c r="I54" t="s">
        <v>392</v>
      </c>
      <c r="J54"/>
      <c r="K54"/>
      <c r="L54"/>
      <c r="M54"/>
      <c r="N54" s="324"/>
      <c r="O54" s="324"/>
      <c r="P54" s="324"/>
      <c r="Q54" s="324"/>
      <c r="R54" s="324"/>
      <c r="S54" s="324"/>
      <c r="T54" s="324"/>
      <c r="U54" s="324"/>
      <c r="V54" s="324"/>
      <c r="W54" s="324"/>
      <c r="X54" s="324"/>
      <c r="Y54" s="324"/>
      <c r="Z54" s="324"/>
      <c r="AA54" s="324"/>
      <c r="AB54" s="324"/>
      <c r="AC54" s="324"/>
      <c r="AD54" s="324"/>
      <c r="AE54" s="324"/>
      <c r="AF54" s="324"/>
      <c r="AG54" s="324"/>
      <c r="AH54" s="324"/>
      <c r="AI54" s="324"/>
      <c r="AJ54" s="324"/>
      <c r="AK54" s="324"/>
      <c r="AL54" s="324"/>
      <c r="AM54" s="324"/>
      <c r="AN54" s="324"/>
      <c r="AO54" s="324"/>
      <c r="AP54" s="324"/>
      <c r="AQ54" s="324"/>
      <c r="AR54" s="324"/>
      <c r="AS54" s="324"/>
      <c r="AT54" s="324"/>
      <c r="AU54" s="324"/>
      <c r="AV54" s="324"/>
      <c r="AW54" s="324"/>
      <c r="AX54" s="324"/>
      <c r="AY54" s="324"/>
      <c r="AZ54" s="324"/>
    </row>
    <row r="55" spans="1:52" ht="17">
      <c r="A55"/>
      <c r="B55" t="s">
        <v>393</v>
      </c>
      <c r="C55"/>
      <c r="D55" s="246"/>
      <c r="E55"/>
      <c r="F55" t="s">
        <v>394</v>
      </c>
      <c r="G55" s="246" t="s">
        <v>243</v>
      </c>
      <c r="H55" s="246" t="s">
        <v>8</v>
      </c>
      <c r="I55" t="s">
        <v>395</v>
      </c>
      <c r="J55"/>
      <c r="K55"/>
      <c r="L55"/>
      <c r="M55"/>
      <c r="N55" s="324"/>
      <c r="O55" s="324"/>
      <c r="P55" s="324"/>
      <c r="Q55" s="324"/>
      <c r="R55" s="324"/>
      <c r="S55" s="324"/>
      <c r="T55" s="324"/>
      <c r="U55" s="324"/>
      <c r="V55" s="324"/>
      <c r="W55" s="324"/>
      <c r="X55" s="324"/>
      <c r="Y55" s="324"/>
      <c r="Z55" s="324"/>
      <c r="AA55" s="324"/>
      <c r="AB55" s="324"/>
      <c r="AC55" s="324"/>
      <c r="AD55" s="324"/>
      <c r="AE55" s="324"/>
      <c r="AF55" s="324"/>
      <c r="AG55" s="324"/>
      <c r="AH55" s="324"/>
      <c r="AI55" s="324"/>
      <c r="AJ55" s="324"/>
      <c r="AK55" s="324"/>
      <c r="AL55" s="324"/>
      <c r="AM55" s="324"/>
      <c r="AN55" s="324"/>
      <c r="AO55" s="324"/>
      <c r="AP55" s="324"/>
      <c r="AQ55" s="324"/>
      <c r="AR55" s="324"/>
      <c r="AS55" s="324"/>
      <c r="AT55" s="324"/>
      <c r="AU55" s="324"/>
      <c r="AV55" s="324"/>
      <c r="AW55" s="324"/>
      <c r="AX55" s="324"/>
      <c r="AY55" s="324"/>
      <c r="AZ55" s="324"/>
    </row>
    <row r="56" spans="1:52" ht="17">
      <c r="A56"/>
      <c r="B56" t="s">
        <v>345</v>
      </c>
      <c r="C56"/>
      <c r="D56"/>
      <c r="E56"/>
      <c r="F56" t="s">
        <v>396</v>
      </c>
      <c r="G56" s="246" t="s">
        <v>250</v>
      </c>
      <c r="H56" s="263" t="s">
        <v>397</v>
      </c>
      <c r="I56" t="s">
        <v>398</v>
      </c>
      <c r="J56"/>
      <c r="K56"/>
      <c r="L56"/>
      <c r="M56"/>
      <c r="N56" s="324"/>
      <c r="O56" s="324"/>
      <c r="P56" s="324"/>
      <c r="Q56" s="324"/>
      <c r="R56" s="324"/>
      <c r="S56" s="324"/>
      <c r="T56" s="324"/>
      <c r="U56" s="324"/>
      <c r="V56" s="324"/>
      <c r="W56" s="324"/>
      <c r="X56" s="324"/>
      <c r="Y56" s="324"/>
      <c r="Z56" s="324"/>
      <c r="AA56" s="324"/>
      <c r="AB56" s="324"/>
      <c r="AC56" s="324"/>
      <c r="AD56" s="324"/>
      <c r="AE56" s="324"/>
      <c r="AF56" s="324"/>
      <c r="AG56" s="324"/>
      <c r="AH56" s="324"/>
      <c r="AI56" s="324"/>
      <c r="AJ56" s="324"/>
      <c r="AK56" s="324"/>
      <c r="AL56" s="324"/>
      <c r="AM56" s="324"/>
      <c r="AN56" s="324"/>
      <c r="AO56" s="324"/>
      <c r="AP56" s="324"/>
      <c r="AQ56" s="324"/>
      <c r="AR56" s="324"/>
      <c r="AS56" s="324"/>
      <c r="AT56" s="324"/>
      <c r="AU56" s="324"/>
      <c r="AV56" s="324"/>
      <c r="AW56" s="324"/>
      <c r="AX56" s="324"/>
      <c r="AY56" s="324"/>
      <c r="AZ56" s="324"/>
    </row>
    <row r="57" spans="1:52" ht="51">
      <c r="A57"/>
      <c r="B57" t="s">
        <v>399</v>
      </c>
      <c r="C57"/>
      <c r="D57" s="246"/>
      <c r="E57"/>
      <c r="F57" t="s">
        <v>400</v>
      </c>
      <c r="G57" s="246" t="s">
        <v>249</v>
      </c>
      <c r="H57" s="246" t="s">
        <v>401</v>
      </c>
      <c r="I57"/>
      <c r="J57"/>
      <c r="K57"/>
      <c r="L57"/>
      <c r="M57"/>
      <c r="N57" s="324"/>
      <c r="O57" s="324"/>
      <c r="P57" s="324"/>
      <c r="Q57" s="324"/>
      <c r="R57" s="324"/>
      <c r="S57" s="324"/>
      <c r="T57" s="324"/>
      <c r="U57" s="324"/>
      <c r="V57" s="324"/>
      <c r="W57" s="324"/>
      <c r="X57" s="324"/>
      <c r="Y57" s="324"/>
      <c r="Z57" s="324"/>
      <c r="AA57" s="324"/>
      <c r="AB57" s="324"/>
      <c r="AC57" s="324"/>
      <c r="AD57" s="324"/>
      <c r="AE57" s="324"/>
      <c r="AF57" s="324"/>
      <c r="AG57" s="324"/>
      <c r="AH57" s="324"/>
      <c r="AI57" s="324"/>
      <c r="AJ57" s="324"/>
      <c r="AK57" s="324"/>
      <c r="AL57" s="324"/>
      <c r="AM57" s="324"/>
      <c r="AN57" s="324"/>
      <c r="AO57" s="324"/>
      <c r="AP57" s="324"/>
      <c r="AQ57" s="324"/>
      <c r="AR57" s="324"/>
      <c r="AS57" s="324"/>
      <c r="AT57" s="324"/>
      <c r="AU57" s="324"/>
      <c r="AV57" s="324"/>
      <c r="AW57" s="324"/>
      <c r="AX57" s="324"/>
      <c r="AY57" s="324"/>
      <c r="AZ57" s="324"/>
    </row>
    <row r="58" spans="1:52" ht="17">
      <c r="A58"/>
      <c r="B58"/>
      <c r="C58"/>
      <c r="D58"/>
      <c r="E58"/>
      <c r="F58"/>
      <c r="G58" s="246"/>
      <c r="H58" s="246" t="s">
        <v>263</v>
      </c>
      <c r="I58"/>
      <c r="J58"/>
      <c r="K58"/>
      <c r="L58"/>
      <c r="M58"/>
      <c r="N58" s="324"/>
      <c r="O58" s="324"/>
      <c r="P58" s="324"/>
      <c r="Q58" s="324"/>
      <c r="R58" s="324"/>
      <c r="S58" s="324"/>
      <c r="T58" s="324"/>
      <c r="U58" s="324"/>
      <c r="V58" s="324"/>
      <c r="W58" s="324"/>
      <c r="X58" s="324"/>
      <c r="Y58" s="324"/>
      <c r="Z58" s="324"/>
      <c r="AA58" s="324"/>
      <c r="AB58" s="324"/>
      <c r="AC58" s="324"/>
      <c r="AD58" s="324"/>
      <c r="AE58" s="324"/>
      <c r="AF58" s="324"/>
      <c r="AG58" s="324"/>
      <c r="AH58" s="324"/>
      <c r="AI58" s="324"/>
      <c r="AJ58" s="324"/>
      <c r="AK58" s="324"/>
      <c r="AL58" s="324"/>
      <c r="AM58" s="324"/>
      <c r="AN58" s="324"/>
      <c r="AO58" s="324"/>
      <c r="AP58" s="324"/>
      <c r="AQ58" s="324"/>
      <c r="AR58" s="324"/>
      <c r="AS58" s="324"/>
      <c r="AT58" s="324"/>
      <c r="AU58" s="324"/>
      <c r="AV58" s="324"/>
      <c r="AW58" s="324"/>
      <c r="AX58" s="324"/>
      <c r="AY58" s="324"/>
      <c r="AZ58" s="324"/>
    </row>
    <row r="59" spans="1:52" ht="34">
      <c r="A59"/>
      <c r="B59"/>
      <c r="C59"/>
      <c r="D59"/>
      <c r="E59"/>
      <c r="F59" s="246"/>
      <c r="G59" s="246" t="s">
        <v>223</v>
      </c>
      <c r="H59" s="246" t="s">
        <v>402</v>
      </c>
      <c r="I59"/>
      <c r="J59"/>
      <c r="K59"/>
      <c r="L59"/>
      <c r="M59"/>
      <c r="N59" s="324"/>
      <c r="O59" s="324"/>
      <c r="P59" s="324"/>
      <c r="Q59" s="324"/>
      <c r="R59" s="324"/>
      <c r="S59" s="324"/>
      <c r="T59" s="324"/>
      <c r="U59" s="324"/>
      <c r="V59" s="324"/>
      <c r="W59" s="324"/>
      <c r="X59" s="324"/>
      <c r="Y59" s="324"/>
      <c r="Z59" s="324"/>
      <c r="AA59" s="324"/>
      <c r="AB59" s="324"/>
      <c r="AC59" s="324"/>
      <c r="AD59" s="324"/>
      <c r="AE59" s="324"/>
      <c r="AF59" s="324"/>
      <c r="AG59" s="324"/>
      <c r="AH59" s="324"/>
      <c r="AI59" s="324"/>
      <c r="AJ59" s="324"/>
      <c r="AK59" s="324"/>
      <c r="AL59" s="324"/>
      <c r="AM59" s="324"/>
      <c r="AN59" s="324"/>
      <c r="AO59" s="324"/>
      <c r="AP59" s="324"/>
      <c r="AQ59" s="324"/>
      <c r="AR59" s="324"/>
      <c r="AS59" s="324"/>
      <c r="AT59" s="324"/>
      <c r="AU59" s="324"/>
      <c r="AV59" s="324"/>
      <c r="AW59" s="324"/>
      <c r="AX59" s="324"/>
      <c r="AY59" s="324"/>
      <c r="AZ59" s="324"/>
    </row>
    <row r="60" spans="1:52" ht="17">
      <c r="A60"/>
      <c r="B60"/>
      <c r="C60"/>
      <c r="D60"/>
      <c r="E60"/>
      <c r="F60" s="246"/>
      <c r="G60" s="246" t="s">
        <v>231</v>
      </c>
      <c r="H60" s="246" t="s">
        <v>403</v>
      </c>
      <c r="I60"/>
      <c r="J60"/>
      <c r="K60"/>
      <c r="L60"/>
      <c r="M60"/>
      <c r="N60" s="324"/>
      <c r="O60" s="324"/>
      <c r="P60" s="324"/>
      <c r="Q60" s="324"/>
      <c r="R60" s="324"/>
      <c r="S60" s="324"/>
      <c r="T60" s="324"/>
      <c r="U60" s="324"/>
      <c r="V60" s="324"/>
      <c r="W60" s="324"/>
      <c r="X60" s="324"/>
      <c r="Y60" s="324"/>
      <c r="Z60" s="324"/>
      <c r="AA60" s="324"/>
      <c r="AB60" s="324"/>
      <c r="AC60" s="324"/>
      <c r="AD60" s="324"/>
      <c r="AE60" s="324"/>
      <c r="AF60" s="324"/>
      <c r="AG60" s="324"/>
      <c r="AH60" s="324"/>
      <c r="AI60" s="324"/>
      <c r="AJ60" s="324"/>
      <c r="AK60" s="324"/>
      <c r="AL60" s="324"/>
      <c r="AM60" s="324"/>
      <c r="AN60" s="324"/>
      <c r="AO60" s="324"/>
      <c r="AP60" s="324"/>
      <c r="AQ60" s="324"/>
      <c r="AR60" s="324"/>
      <c r="AS60" s="324"/>
      <c r="AT60" s="324"/>
      <c r="AU60" s="324"/>
      <c r="AV60" s="324"/>
      <c r="AW60" s="324"/>
      <c r="AX60" s="324"/>
      <c r="AY60" s="324"/>
      <c r="AZ60" s="324"/>
    </row>
    <row r="61" spans="1:52" ht="34">
      <c r="A61"/>
      <c r="B61"/>
      <c r="C61"/>
      <c r="D61"/>
      <c r="E61" s="246"/>
      <c r="F61" s="246"/>
      <c r="G61" s="246" t="s">
        <v>238</v>
      </c>
      <c r="H61"/>
      <c r="I61"/>
      <c r="J61"/>
      <c r="K61"/>
      <c r="L61"/>
      <c r="M61"/>
      <c r="N61" s="324"/>
      <c r="O61" s="324"/>
      <c r="P61" s="324"/>
      <c r="Q61" s="324"/>
      <c r="R61" s="324"/>
      <c r="S61" s="324"/>
      <c r="T61" s="324"/>
      <c r="U61" s="324"/>
      <c r="V61" s="324"/>
      <c r="W61" s="324"/>
      <c r="X61" s="324"/>
      <c r="Y61" s="324"/>
      <c r="Z61" s="324"/>
      <c r="AA61" s="324"/>
      <c r="AB61" s="324"/>
      <c r="AC61" s="324"/>
      <c r="AD61" s="324"/>
      <c r="AE61" s="324"/>
      <c r="AF61" s="324"/>
      <c r="AG61" s="324"/>
      <c r="AH61" s="324"/>
      <c r="AI61" s="324"/>
      <c r="AJ61" s="324"/>
      <c r="AK61" s="324"/>
      <c r="AL61" s="324"/>
      <c r="AM61" s="324"/>
      <c r="AN61" s="324"/>
      <c r="AO61" s="324"/>
      <c r="AP61" s="324"/>
      <c r="AQ61" s="324"/>
      <c r="AR61" s="324"/>
      <c r="AS61" s="324"/>
      <c r="AT61" s="324"/>
      <c r="AU61" s="324"/>
      <c r="AV61" s="324"/>
      <c r="AW61" s="324"/>
      <c r="AX61" s="324"/>
      <c r="AY61" s="324"/>
      <c r="AZ61" s="324"/>
    </row>
    <row r="62" spans="1:52" ht="17">
      <c r="A62"/>
      <c r="B62"/>
      <c r="C62"/>
      <c r="D62"/>
      <c r="E62" s="246"/>
      <c r="F62" s="246"/>
      <c r="G62" s="246" t="s">
        <v>243</v>
      </c>
      <c r="H62" s="246"/>
      <c r="I62"/>
      <c r="J62"/>
      <c r="K62"/>
      <c r="L62"/>
      <c r="M62"/>
      <c r="N62" s="324"/>
      <c r="O62" s="324"/>
      <c r="P62" s="324"/>
      <c r="Q62" s="324"/>
      <c r="R62" s="324"/>
      <c r="S62" s="324"/>
      <c r="T62" s="324"/>
      <c r="U62" s="324"/>
      <c r="V62" s="324"/>
      <c r="W62" s="324"/>
      <c r="X62" s="324"/>
      <c r="Y62" s="324"/>
      <c r="Z62" s="324"/>
      <c r="AA62" s="324"/>
      <c r="AB62" s="324"/>
      <c r="AC62" s="324"/>
      <c r="AD62" s="324"/>
      <c r="AE62" s="324"/>
      <c r="AF62" s="324"/>
      <c r="AG62" s="324"/>
      <c r="AH62" s="324"/>
      <c r="AI62" s="324"/>
      <c r="AJ62" s="324"/>
      <c r="AK62" s="324"/>
      <c r="AL62" s="324"/>
      <c r="AM62" s="324"/>
      <c r="AN62" s="324"/>
      <c r="AO62" s="324"/>
      <c r="AP62" s="324"/>
      <c r="AQ62" s="324"/>
      <c r="AR62" s="324"/>
      <c r="AS62" s="324"/>
      <c r="AT62" s="324"/>
      <c r="AU62" s="324"/>
      <c r="AV62" s="324"/>
      <c r="AW62" s="324"/>
      <c r="AX62" s="324"/>
      <c r="AY62" s="324"/>
      <c r="AZ62" s="324"/>
    </row>
    <row r="63" spans="1:52" ht="17">
      <c r="A63"/>
      <c r="B63"/>
      <c r="C63"/>
      <c r="D63"/>
      <c r="E63" s="246"/>
      <c r="F63" s="246"/>
      <c r="G63" s="246" t="s">
        <v>250</v>
      </c>
      <c r="H63" s="246"/>
      <c r="I63"/>
      <c r="J63"/>
      <c r="K63"/>
      <c r="L63"/>
      <c r="M63"/>
      <c r="N63" s="324"/>
      <c r="O63" s="324"/>
      <c r="P63" s="324"/>
      <c r="Q63" s="324"/>
      <c r="R63" s="324"/>
      <c r="S63" s="324"/>
      <c r="T63" s="324"/>
      <c r="U63" s="324"/>
      <c r="V63" s="324"/>
      <c r="W63" s="324"/>
      <c r="X63" s="324"/>
      <c r="Y63" s="324"/>
      <c r="Z63" s="324"/>
      <c r="AA63" s="324"/>
      <c r="AB63" s="324"/>
      <c r="AC63" s="324"/>
      <c r="AD63" s="324"/>
      <c r="AE63" s="324"/>
      <c r="AF63" s="324"/>
      <c r="AG63" s="324"/>
      <c r="AH63" s="324"/>
      <c r="AI63" s="324"/>
      <c r="AJ63" s="324"/>
      <c r="AK63" s="324"/>
      <c r="AL63" s="324"/>
      <c r="AM63" s="324"/>
      <c r="AN63" s="324"/>
      <c r="AO63" s="324"/>
      <c r="AP63" s="324"/>
      <c r="AQ63" s="324"/>
      <c r="AR63" s="324"/>
      <c r="AS63" s="324"/>
      <c r="AT63" s="324"/>
      <c r="AU63" s="324"/>
      <c r="AV63" s="324"/>
      <c r="AW63" s="324"/>
      <c r="AX63" s="324"/>
      <c r="AY63" s="324"/>
      <c r="AZ63" s="324"/>
    </row>
    <row r="64" spans="1:52" ht="51">
      <c r="A64"/>
      <c r="B64"/>
      <c r="C64"/>
      <c r="D64"/>
      <c r="E64" s="246"/>
      <c r="F64" s="246"/>
      <c r="G64" s="246" t="s">
        <v>249</v>
      </c>
      <c r="H64" s="246"/>
      <c r="I64"/>
      <c r="J64"/>
      <c r="K64"/>
      <c r="L64"/>
      <c r="M64"/>
      <c r="N64" s="324"/>
      <c r="O64" s="324"/>
      <c r="P64" s="324"/>
      <c r="Q64" s="324"/>
      <c r="R64" s="324"/>
      <c r="S64" s="324"/>
      <c r="T64" s="324"/>
      <c r="U64" s="324"/>
      <c r="V64" s="324"/>
      <c r="W64" s="324"/>
      <c r="X64" s="324"/>
      <c r="Y64" s="324"/>
      <c r="Z64" s="324"/>
      <c r="AA64" s="324"/>
      <c r="AB64" s="324"/>
      <c r="AC64" s="324"/>
      <c r="AD64" s="324"/>
      <c r="AE64" s="324"/>
      <c r="AF64" s="324"/>
      <c r="AG64" s="324"/>
      <c r="AH64" s="324"/>
      <c r="AI64" s="324"/>
      <c r="AJ64" s="324"/>
      <c r="AK64" s="324"/>
      <c r="AL64" s="324"/>
      <c r="AM64" s="324"/>
      <c r="AN64" s="324"/>
      <c r="AO64" s="324"/>
      <c r="AP64" s="324"/>
      <c r="AQ64" s="324"/>
      <c r="AR64" s="324"/>
      <c r="AS64" s="324"/>
      <c r="AT64" s="324"/>
      <c r="AU64" s="324"/>
      <c r="AV64" s="324"/>
      <c r="AW64" s="324"/>
      <c r="AX64" s="324"/>
      <c r="AY64" s="324"/>
      <c r="AZ64" s="324"/>
    </row>
    <row r="65" spans="1:52">
      <c r="A65"/>
      <c r="B65"/>
      <c r="C65" s="264"/>
      <c r="D65"/>
      <c r="E65" s="246"/>
      <c r="F65" s="246"/>
      <c r="G65" s="246"/>
      <c r="H65" s="246"/>
      <c r="I65"/>
      <c r="J65"/>
      <c r="K65"/>
      <c r="L65"/>
      <c r="M65"/>
      <c r="N65" s="324"/>
      <c r="O65" s="324"/>
      <c r="P65" s="324"/>
      <c r="Q65" s="324"/>
      <c r="R65" s="324"/>
      <c r="S65" s="324"/>
      <c r="T65" s="324"/>
      <c r="U65" s="324"/>
      <c r="V65" s="324"/>
      <c r="W65" s="324"/>
      <c r="X65" s="324"/>
      <c r="Y65" s="324"/>
      <c r="Z65" s="324"/>
      <c r="AA65" s="324"/>
      <c r="AB65" s="324"/>
      <c r="AC65" s="324"/>
      <c r="AD65" s="324"/>
      <c r="AE65" s="324"/>
      <c r="AF65" s="324"/>
      <c r="AG65" s="324"/>
      <c r="AH65" s="324"/>
      <c r="AI65" s="324"/>
      <c r="AJ65" s="324"/>
      <c r="AK65" s="324"/>
      <c r="AL65" s="324"/>
      <c r="AM65" s="324"/>
      <c r="AN65" s="324"/>
      <c r="AO65" s="324"/>
      <c r="AP65" s="324"/>
      <c r="AQ65" s="324"/>
      <c r="AR65" s="324"/>
      <c r="AS65" s="324"/>
      <c r="AT65" s="324"/>
      <c r="AU65" s="324"/>
      <c r="AV65" s="324"/>
      <c r="AW65" s="324"/>
      <c r="AX65" s="324"/>
      <c r="AY65" s="324"/>
      <c r="AZ65" s="324"/>
    </row>
    <row r="66" spans="1:52">
      <c r="A66"/>
      <c r="B66"/>
      <c r="C66" s="264"/>
      <c r="D66"/>
      <c r="E66" s="246"/>
      <c r="F66" s="246"/>
      <c r="G66" s="246"/>
      <c r="H66" s="246"/>
      <c r="I66"/>
      <c r="J66"/>
      <c r="K66"/>
      <c r="L66"/>
      <c r="M66"/>
      <c r="N66" s="324"/>
      <c r="O66" s="324"/>
      <c r="P66" s="324"/>
      <c r="Q66" s="324"/>
      <c r="R66" s="324"/>
      <c r="S66" s="324"/>
      <c r="T66" s="324"/>
      <c r="U66" s="324"/>
      <c r="V66" s="324"/>
      <c r="W66" s="324"/>
      <c r="X66" s="324"/>
      <c r="Y66" s="324"/>
      <c r="Z66" s="324"/>
      <c r="AA66" s="324"/>
      <c r="AB66" s="324"/>
      <c r="AC66" s="324"/>
      <c r="AD66" s="324"/>
      <c r="AE66" s="324"/>
      <c r="AF66" s="324"/>
      <c r="AG66" s="324"/>
      <c r="AH66" s="324"/>
      <c r="AI66" s="324"/>
      <c r="AJ66" s="324"/>
      <c r="AK66" s="324"/>
      <c r="AL66" s="324"/>
      <c r="AM66" s="324"/>
      <c r="AN66" s="324"/>
      <c r="AO66" s="324"/>
      <c r="AP66" s="324"/>
      <c r="AQ66" s="324"/>
      <c r="AR66" s="324"/>
      <c r="AS66" s="324"/>
      <c r="AT66" s="324"/>
      <c r="AU66" s="324"/>
      <c r="AV66" s="324"/>
      <c r="AW66" s="324"/>
      <c r="AX66" s="324"/>
      <c r="AY66" s="324"/>
      <c r="AZ66" s="324"/>
    </row>
    <row r="67" spans="1:52">
      <c r="A67"/>
      <c r="B67"/>
      <c r="C67" s="264"/>
      <c r="D67"/>
      <c r="E67" s="246"/>
      <c r="F67" s="246"/>
      <c r="G67" s="246"/>
      <c r="H67" s="246"/>
      <c r="I67"/>
      <c r="J67"/>
      <c r="K67"/>
      <c r="L67"/>
      <c r="M67"/>
      <c r="N67" s="324"/>
      <c r="O67" s="324"/>
      <c r="P67" s="324"/>
      <c r="Q67" s="324"/>
      <c r="R67" s="324"/>
      <c r="S67" s="324"/>
      <c r="T67" s="324"/>
      <c r="U67" s="324"/>
      <c r="V67" s="324"/>
      <c r="W67" s="324"/>
      <c r="X67" s="324"/>
      <c r="Y67" s="324"/>
      <c r="Z67" s="324"/>
      <c r="AA67" s="324"/>
      <c r="AB67" s="324"/>
      <c r="AC67" s="324"/>
      <c r="AD67" s="324"/>
      <c r="AE67" s="324"/>
      <c r="AF67" s="324"/>
      <c r="AG67" s="324"/>
      <c r="AH67" s="324"/>
      <c r="AI67" s="324"/>
      <c r="AJ67" s="324"/>
      <c r="AK67" s="324"/>
      <c r="AL67" s="324"/>
      <c r="AM67" s="324"/>
      <c r="AN67" s="324"/>
      <c r="AO67" s="324"/>
      <c r="AP67" s="324"/>
      <c r="AQ67" s="324"/>
      <c r="AR67" s="324"/>
      <c r="AS67" s="324"/>
      <c r="AT67" s="324"/>
      <c r="AU67" s="324"/>
      <c r="AV67" s="324"/>
      <c r="AW67" s="324"/>
      <c r="AX67" s="324"/>
      <c r="AY67" s="324"/>
      <c r="AZ67" s="324"/>
    </row>
    <row r="68" spans="1:52">
      <c r="A68"/>
      <c r="B68"/>
      <c r="C68" s="264"/>
      <c r="D68"/>
      <c r="E68" s="246"/>
      <c r="F68" s="246"/>
      <c r="G68" s="246"/>
      <c r="H68" s="246"/>
      <c r="I68"/>
      <c r="J68"/>
      <c r="K68"/>
      <c r="L68"/>
      <c r="M68"/>
      <c r="N68" s="324"/>
      <c r="O68" s="324"/>
      <c r="P68" s="324"/>
      <c r="Q68" s="324"/>
      <c r="R68" s="324"/>
      <c r="S68" s="324"/>
      <c r="T68" s="324"/>
      <c r="U68" s="324"/>
      <c r="V68" s="324"/>
      <c r="W68" s="324"/>
      <c r="X68" s="324"/>
      <c r="Y68" s="324"/>
      <c r="Z68" s="324"/>
      <c r="AA68" s="324"/>
      <c r="AB68" s="324"/>
      <c r="AC68" s="324"/>
      <c r="AD68" s="324"/>
      <c r="AE68" s="324"/>
      <c r="AF68" s="324"/>
      <c r="AG68" s="324"/>
      <c r="AH68" s="324"/>
      <c r="AI68" s="324"/>
      <c r="AJ68" s="324"/>
      <c r="AK68" s="324"/>
      <c r="AL68" s="324"/>
      <c r="AM68" s="324"/>
      <c r="AN68" s="324"/>
      <c r="AO68" s="324"/>
      <c r="AP68" s="324"/>
      <c r="AQ68" s="324"/>
      <c r="AR68" s="324"/>
      <c r="AS68" s="324"/>
      <c r="AT68" s="324"/>
      <c r="AU68" s="324"/>
      <c r="AV68" s="324"/>
      <c r="AW68" s="324"/>
      <c r="AX68" s="324"/>
      <c r="AY68" s="324"/>
      <c r="AZ68" s="324"/>
    </row>
    <row r="69" spans="1:52">
      <c r="A69"/>
      <c r="B69"/>
      <c r="C69" s="264"/>
      <c r="D69"/>
      <c r="E69" s="246"/>
      <c r="F69" s="246"/>
      <c r="G69" s="246"/>
      <c r="H69"/>
      <c r="I69"/>
      <c r="J69"/>
      <c r="K69"/>
      <c r="L69"/>
      <c r="M69"/>
      <c r="N69" s="324"/>
      <c r="O69" s="324"/>
      <c r="P69" s="324"/>
      <c r="Q69" s="324"/>
      <c r="R69" s="324"/>
      <c r="S69" s="324"/>
      <c r="T69" s="324"/>
      <c r="U69" s="324"/>
      <c r="V69" s="324"/>
      <c r="W69" s="324"/>
      <c r="X69" s="324"/>
      <c r="Y69" s="324"/>
      <c r="Z69" s="324"/>
      <c r="AA69" s="324"/>
      <c r="AB69" s="324"/>
      <c r="AC69" s="324"/>
      <c r="AD69" s="324"/>
      <c r="AE69" s="324"/>
      <c r="AF69" s="324"/>
      <c r="AG69" s="324"/>
      <c r="AH69" s="324"/>
      <c r="AI69" s="324"/>
      <c r="AJ69" s="324"/>
      <c r="AK69" s="324"/>
      <c r="AL69" s="324"/>
      <c r="AM69" s="324"/>
      <c r="AN69" s="324"/>
      <c r="AO69" s="324"/>
      <c r="AP69" s="324"/>
      <c r="AQ69" s="324"/>
      <c r="AR69" s="324"/>
      <c r="AS69" s="324"/>
      <c r="AT69" s="324"/>
      <c r="AU69" s="324"/>
      <c r="AV69" s="324"/>
      <c r="AW69" s="324"/>
      <c r="AX69" s="324"/>
      <c r="AY69" s="324"/>
      <c r="AZ69" s="324"/>
    </row>
    <row r="70" spans="1:52">
      <c r="A70"/>
      <c r="B70"/>
      <c r="C70" s="264"/>
      <c r="D70"/>
      <c r="E70" s="246"/>
      <c r="F70" s="246"/>
      <c r="G70" s="246"/>
      <c r="H70"/>
      <c r="I70"/>
      <c r="J70"/>
      <c r="K70"/>
      <c r="L70"/>
      <c r="M70"/>
      <c r="N70" s="324"/>
      <c r="O70" s="324"/>
      <c r="P70" s="324"/>
      <c r="Q70" s="324"/>
      <c r="R70" s="324"/>
      <c r="S70" s="324"/>
      <c r="T70" s="324"/>
      <c r="U70" s="324"/>
      <c r="V70" s="324"/>
      <c r="W70" s="324"/>
      <c r="X70" s="324"/>
      <c r="Y70" s="324"/>
      <c r="Z70" s="324"/>
      <c r="AA70" s="324"/>
      <c r="AB70" s="324"/>
      <c r="AC70" s="324"/>
      <c r="AD70" s="324"/>
      <c r="AE70" s="324"/>
      <c r="AF70" s="324"/>
      <c r="AG70" s="324"/>
      <c r="AH70" s="324"/>
      <c r="AI70" s="324"/>
      <c r="AJ70" s="324"/>
      <c r="AK70" s="324"/>
      <c r="AL70" s="324"/>
      <c r="AM70" s="324"/>
      <c r="AN70" s="324"/>
      <c r="AO70" s="324"/>
      <c r="AP70" s="324"/>
      <c r="AQ70" s="324"/>
      <c r="AR70" s="324"/>
      <c r="AS70" s="324"/>
      <c r="AT70" s="324"/>
      <c r="AU70" s="324"/>
      <c r="AV70" s="324"/>
      <c r="AW70" s="324"/>
      <c r="AX70" s="324"/>
      <c r="AY70" s="324"/>
      <c r="AZ70" s="324"/>
    </row>
    <row r="71" spans="1:52">
      <c r="A71"/>
      <c r="B71"/>
      <c r="C71"/>
      <c r="D71"/>
      <c r="E71"/>
      <c r="F71"/>
      <c r="G71"/>
      <c r="H71"/>
      <c r="I71"/>
      <c r="J71"/>
      <c r="K71"/>
      <c r="L71"/>
      <c r="M71"/>
      <c r="N71" s="324"/>
      <c r="O71" s="324"/>
      <c r="P71" s="324"/>
      <c r="Q71" s="324"/>
      <c r="R71" s="324"/>
      <c r="S71" s="324"/>
      <c r="T71" s="324"/>
      <c r="U71" s="324"/>
      <c r="V71" s="324"/>
      <c r="W71" s="324"/>
      <c r="X71" s="324"/>
      <c r="Y71" s="324"/>
      <c r="Z71" s="324"/>
      <c r="AA71" s="324"/>
      <c r="AB71" s="324"/>
      <c r="AC71" s="324"/>
      <c r="AD71" s="324"/>
      <c r="AE71" s="324"/>
      <c r="AF71" s="324"/>
      <c r="AG71" s="324"/>
      <c r="AH71" s="324"/>
      <c r="AI71" s="324"/>
      <c r="AJ71" s="324"/>
      <c r="AK71" s="324"/>
      <c r="AL71" s="324"/>
      <c r="AM71" s="324"/>
      <c r="AN71" s="324"/>
      <c r="AO71" s="324"/>
      <c r="AP71" s="324"/>
      <c r="AQ71" s="324"/>
      <c r="AR71" s="324"/>
      <c r="AS71" s="324"/>
      <c r="AT71" s="324"/>
      <c r="AU71" s="324"/>
      <c r="AV71" s="324"/>
      <c r="AW71" s="324"/>
      <c r="AX71" s="324"/>
      <c r="AY71" s="324"/>
      <c r="AZ71" s="324"/>
    </row>
    <row r="72" spans="1:52" ht="51">
      <c r="A72" s="245" t="s">
        <v>404</v>
      </c>
      <c r="B72" s="245" t="s">
        <v>1211</v>
      </c>
      <c r="C72" s="245" t="s">
        <v>1212</v>
      </c>
      <c r="D72" s="245" t="s">
        <v>405</v>
      </c>
      <c r="E72" s="245">
        <v>1312</v>
      </c>
      <c r="F72" s="245">
        <v>13421</v>
      </c>
      <c r="G72" s="245" t="s">
        <v>406</v>
      </c>
      <c r="H72" s="245" t="s">
        <v>407</v>
      </c>
      <c r="I72" s="245" t="s">
        <v>408</v>
      </c>
      <c r="J72" s="265" t="s">
        <v>409</v>
      </c>
      <c r="K72" s="265" t="s">
        <v>410</v>
      </c>
      <c r="L72" s="245" t="s">
        <v>411</v>
      </c>
      <c r="M72"/>
      <c r="N72" s="324"/>
      <c r="O72" s="324"/>
      <c r="P72" s="331" t="s">
        <v>412</v>
      </c>
      <c r="Q72" s="332" t="s">
        <v>413</v>
      </c>
      <c r="R72" s="333" t="s">
        <v>414</v>
      </c>
      <c r="S72" s="324"/>
      <c r="T72" s="324"/>
      <c r="U72" s="324"/>
      <c r="V72" s="324"/>
      <c r="W72" s="324"/>
      <c r="X72" s="324"/>
      <c r="Y72" s="324"/>
      <c r="Z72" s="324"/>
      <c r="AA72" s="324"/>
      <c r="AB72" s="324"/>
      <c r="AC72" s="324"/>
      <c r="AD72" s="324"/>
      <c r="AE72" s="324"/>
      <c r="AF72" s="324"/>
      <c r="AG72" s="324"/>
      <c r="AH72" s="324"/>
      <c r="AI72" s="324"/>
      <c r="AJ72" s="324"/>
      <c r="AK72" s="324"/>
      <c r="AL72" s="324"/>
      <c r="AM72" s="324"/>
      <c r="AN72" s="324"/>
      <c r="AO72" s="324"/>
      <c r="AP72" s="324"/>
      <c r="AQ72" s="324"/>
      <c r="AR72" s="324"/>
      <c r="AS72" s="324"/>
      <c r="AT72" s="324"/>
      <c r="AU72" s="324"/>
      <c r="AV72" s="324"/>
      <c r="AW72" s="324"/>
      <c r="AX72" s="324"/>
      <c r="AY72" s="324"/>
      <c r="AZ72" s="324"/>
    </row>
    <row r="73" spans="1:52" ht="85">
      <c r="A73"/>
      <c r="B73" s="256" t="s">
        <v>415</v>
      </c>
      <c r="C73" s="266" t="s">
        <v>4</v>
      </c>
      <c r="D73" s="267" t="s">
        <v>416</v>
      </c>
      <c r="E73" s="266" t="s">
        <v>388</v>
      </c>
      <c r="F73" s="266" t="s">
        <v>226</v>
      </c>
      <c r="G73" s="268" t="s">
        <v>345</v>
      </c>
      <c r="H73" s="269" t="s">
        <v>289</v>
      </c>
      <c r="I73" t="s">
        <v>336</v>
      </c>
      <c r="J73" s="246" t="s">
        <v>226</v>
      </c>
      <c r="K73" s="256" t="s">
        <v>417</v>
      </c>
      <c r="L73" s="270" t="s">
        <v>226</v>
      </c>
      <c r="M73" s="270" t="s">
        <v>226</v>
      </c>
      <c r="N73" s="334" t="s">
        <v>226</v>
      </c>
      <c r="O73" s="334" t="s">
        <v>226</v>
      </c>
      <c r="P73" s="334" t="s">
        <v>418</v>
      </c>
      <c r="Q73" s="335" t="s">
        <v>419</v>
      </c>
      <c r="R73" s="336" t="s">
        <v>420</v>
      </c>
      <c r="S73" s="324"/>
      <c r="T73" s="324"/>
      <c r="U73" s="324"/>
      <c r="V73" s="324"/>
      <c r="W73" s="324"/>
      <c r="X73" s="324"/>
      <c r="Y73" s="324"/>
      <c r="Z73" s="324"/>
      <c r="AA73" s="324"/>
      <c r="AB73" s="324"/>
      <c r="AC73" s="324"/>
      <c r="AD73" s="324"/>
      <c r="AE73" s="324"/>
      <c r="AF73" s="324"/>
      <c r="AG73" s="324"/>
      <c r="AH73" s="324"/>
      <c r="AI73" s="324"/>
      <c r="AJ73" s="324"/>
      <c r="AK73" s="324"/>
      <c r="AL73" s="324"/>
      <c r="AM73" s="324"/>
      <c r="AN73" s="324"/>
      <c r="AO73" s="324"/>
      <c r="AP73" s="324"/>
      <c r="AQ73" s="324"/>
      <c r="AR73" s="324"/>
      <c r="AS73" s="324"/>
      <c r="AT73" s="324"/>
      <c r="AU73" s="324"/>
      <c r="AV73" s="324"/>
      <c r="AW73" s="324"/>
      <c r="AX73" s="324"/>
      <c r="AY73" s="324"/>
      <c r="AZ73" s="324"/>
    </row>
    <row r="74" spans="1:52" ht="51">
      <c r="A74"/>
      <c r="B74" s="256" t="s">
        <v>421</v>
      </c>
      <c r="C74" s="267" t="s">
        <v>422</v>
      </c>
      <c r="D74" s="266" t="s">
        <v>243</v>
      </c>
      <c r="E74" s="271" t="s">
        <v>392</v>
      </c>
      <c r="F74" s="266" t="s">
        <v>235</v>
      </c>
      <c r="G74" s="268" t="s">
        <v>423</v>
      </c>
      <c r="H74" s="269" t="s">
        <v>296</v>
      </c>
      <c r="I74" s="268" t="s">
        <v>345</v>
      </c>
      <c r="J74" s="246" t="s">
        <v>424</v>
      </c>
      <c r="K74" t="s">
        <v>297</v>
      </c>
      <c r="L74" s="270" t="s">
        <v>8</v>
      </c>
      <c r="M74" s="270" t="s">
        <v>8</v>
      </c>
      <c r="N74" s="334" t="s">
        <v>8</v>
      </c>
      <c r="O74" s="334" t="s">
        <v>8</v>
      </c>
      <c r="P74" s="334" t="s">
        <v>234</v>
      </c>
      <c r="Q74" s="335" t="s">
        <v>425</v>
      </c>
      <c r="R74" s="337" t="s">
        <v>426</v>
      </c>
      <c r="S74" s="324"/>
      <c r="T74" s="324"/>
      <c r="U74" s="324"/>
      <c r="V74" s="324"/>
      <c r="W74" s="324"/>
      <c r="X74" s="324"/>
      <c r="Y74" s="324"/>
      <c r="Z74" s="324"/>
      <c r="AA74" s="324"/>
      <c r="AB74" s="324"/>
      <c r="AC74" s="324"/>
      <c r="AD74" s="324"/>
      <c r="AE74" s="324"/>
      <c r="AF74" s="324"/>
      <c r="AG74" s="324"/>
      <c r="AH74" s="324"/>
      <c r="AI74" s="324"/>
      <c r="AJ74" s="324"/>
      <c r="AK74" s="324"/>
      <c r="AL74" s="324"/>
      <c r="AM74" s="324"/>
      <c r="AN74" s="324"/>
      <c r="AO74" s="324"/>
      <c r="AP74" s="324"/>
      <c r="AQ74" s="324"/>
      <c r="AR74" s="324"/>
      <c r="AS74" s="324"/>
      <c r="AT74" s="324"/>
      <c r="AU74" s="324"/>
      <c r="AV74" s="324"/>
      <c r="AW74" s="324"/>
      <c r="AX74" s="324"/>
      <c r="AY74" s="324"/>
      <c r="AZ74" s="324"/>
    </row>
    <row r="75" spans="1:52" ht="34">
      <c r="A75"/>
      <c r="B75" t="s">
        <v>8</v>
      </c>
      <c r="C75" s="266" t="s">
        <v>8</v>
      </c>
      <c r="D75" s="266" t="s">
        <v>8</v>
      </c>
      <c r="E75" s="271" t="s">
        <v>395</v>
      </c>
      <c r="F75" s="266" t="s">
        <v>241</v>
      </c>
      <c r="G75" s="268" t="s">
        <v>427</v>
      </c>
      <c r="H75" s="269" t="s">
        <v>304</v>
      </c>
      <c r="I75" s="268" t="s">
        <v>423</v>
      </c>
      <c r="J75" s="246" t="s">
        <v>265</v>
      </c>
      <c r="K75" t="s">
        <v>265</v>
      </c>
      <c r="L75" s="270" t="s">
        <v>428</v>
      </c>
      <c r="M75" s="270" t="s">
        <v>429</v>
      </c>
      <c r="N75" s="334" t="s">
        <v>430</v>
      </c>
      <c r="O75" s="334" t="s">
        <v>431</v>
      </c>
      <c r="P75" s="334" t="s">
        <v>4</v>
      </c>
      <c r="Q75" s="324"/>
      <c r="R75" s="324"/>
      <c r="S75" s="324"/>
      <c r="T75" s="324"/>
      <c r="U75" s="324"/>
      <c r="V75" s="324"/>
      <c r="W75" s="324"/>
      <c r="X75" s="324"/>
      <c r="Y75" s="324"/>
      <c r="Z75" s="324"/>
      <c r="AA75" s="324"/>
      <c r="AB75" s="324"/>
      <c r="AC75" s="324"/>
      <c r="AD75" s="324"/>
      <c r="AE75" s="324"/>
      <c r="AF75" s="324"/>
      <c r="AG75" s="324"/>
      <c r="AH75" s="324"/>
      <c r="AI75" s="324"/>
      <c r="AJ75" s="324"/>
      <c r="AK75" s="324"/>
      <c r="AL75" s="324"/>
      <c r="AM75" s="324"/>
      <c r="AN75" s="324"/>
      <c r="AO75" s="324"/>
      <c r="AP75" s="324"/>
      <c r="AQ75" s="324"/>
      <c r="AR75" s="324"/>
      <c r="AS75" s="324"/>
      <c r="AT75" s="324"/>
      <c r="AU75" s="324"/>
      <c r="AV75" s="324"/>
      <c r="AW75" s="324"/>
      <c r="AX75" s="324"/>
      <c r="AY75" s="324"/>
      <c r="AZ75" s="324"/>
    </row>
    <row r="76" spans="1:52" ht="34">
      <c r="A76"/>
      <c r="B76"/>
      <c r="C76"/>
      <c r="D76"/>
      <c r="E76" s="271" t="s">
        <v>398</v>
      </c>
      <c r="F76" s="266" t="s">
        <v>246</v>
      </c>
      <c r="G76" s="268" t="s">
        <v>432</v>
      </c>
      <c r="H76" s="269" t="s">
        <v>310</v>
      </c>
      <c r="I76" s="268" t="s">
        <v>427</v>
      </c>
      <c r="J76"/>
      <c r="K76"/>
      <c r="L76"/>
      <c r="M76"/>
      <c r="N76" s="324"/>
      <c r="O76" s="324"/>
      <c r="P76" s="324"/>
      <c r="Q76" s="324"/>
      <c r="R76" s="324"/>
      <c r="S76" s="324"/>
      <c r="T76" s="324"/>
      <c r="U76" s="324"/>
      <c r="V76" s="324"/>
      <c r="W76" s="324"/>
      <c r="X76" s="324"/>
      <c r="Y76" s="324"/>
      <c r="Z76" s="324"/>
      <c r="AA76" s="324"/>
      <c r="AB76" s="324"/>
      <c r="AC76" s="324"/>
      <c r="AD76" s="324"/>
      <c r="AE76" s="324"/>
      <c r="AF76" s="324"/>
      <c r="AG76" s="324"/>
      <c r="AH76" s="324"/>
      <c r="AI76" s="324"/>
      <c r="AJ76" s="324"/>
      <c r="AK76" s="324"/>
      <c r="AL76" s="324"/>
      <c r="AM76" s="324"/>
      <c r="AN76" s="324"/>
      <c r="AO76" s="324"/>
      <c r="AP76" s="324"/>
      <c r="AQ76" s="324"/>
      <c r="AR76" s="324"/>
      <c r="AS76" s="324"/>
      <c r="AT76" s="324"/>
      <c r="AU76" s="324"/>
      <c r="AV76" s="324"/>
      <c r="AW76" s="324"/>
      <c r="AX76" s="324"/>
      <c r="AY76" s="324"/>
      <c r="AZ76" s="324"/>
    </row>
    <row r="77" spans="1:52">
      <c r="A77"/>
      <c r="B77"/>
      <c r="C77"/>
      <c r="D77"/>
      <c r="E77"/>
      <c r="F77"/>
      <c r="G77" s="268" t="s">
        <v>433</v>
      </c>
      <c r="H77" s="269" t="s">
        <v>314</v>
      </c>
      <c r="I77" s="268" t="s">
        <v>365</v>
      </c>
      <c r="J77"/>
      <c r="K77"/>
      <c r="L77"/>
      <c r="M77"/>
      <c r="N77" s="324"/>
      <c r="O77" s="324"/>
      <c r="P77" s="324"/>
      <c r="Q77" s="324"/>
      <c r="R77" s="324"/>
      <c r="S77" s="324"/>
      <c r="T77" s="324"/>
      <c r="U77" s="324"/>
      <c r="V77" s="324"/>
      <c r="W77" s="324"/>
      <c r="X77" s="324"/>
      <c r="Y77" s="324"/>
      <c r="Z77" s="324"/>
      <c r="AA77" s="324"/>
      <c r="AB77" s="324"/>
      <c r="AC77" s="324"/>
      <c r="AD77" s="324"/>
      <c r="AE77" s="324"/>
      <c r="AF77" s="324"/>
      <c r="AG77" s="324"/>
      <c r="AH77" s="324"/>
      <c r="AI77" s="324"/>
      <c r="AJ77" s="324"/>
      <c r="AK77" s="324"/>
      <c r="AL77" s="324"/>
      <c r="AM77" s="324"/>
      <c r="AN77" s="324"/>
      <c r="AO77" s="324"/>
      <c r="AP77" s="324"/>
      <c r="AQ77" s="324"/>
      <c r="AR77" s="324"/>
      <c r="AS77" s="324"/>
      <c r="AT77" s="324"/>
      <c r="AU77" s="324"/>
      <c r="AV77" s="324"/>
      <c r="AW77" s="324"/>
      <c r="AX77" s="324"/>
      <c r="AY77" s="324"/>
      <c r="AZ77" s="324"/>
    </row>
    <row r="78" spans="1:52">
      <c r="A78"/>
      <c r="B78"/>
      <c r="C78"/>
      <c r="D78"/>
      <c r="E78"/>
      <c r="F78"/>
      <c r="G78"/>
      <c r="H78" s="269" t="s">
        <v>433</v>
      </c>
      <c r="I78" s="268" t="s">
        <v>433</v>
      </c>
      <c r="J78"/>
      <c r="K78"/>
      <c r="L78"/>
      <c r="M78"/>
      <c r="N78" s="324"/>
      <c r="O78" s="324"/>
      <c r="P78" s="324"/>
      <c r="Q78" s="324"/>
      <c r="R78" s="324"/>
      <c r="S78" s="324"/>
      <c r="T78" s="324"/>
      <c r="U78" s="324"/>
      <c r="V78" s="324"/>
      <c r="W78" s="324"/>
      <c r="X78" s="324"/>
      <c r="Y78" s="324"/>
      <c r="Z78" s="324"/>
      <c r="AA78" s="324"/>
      <c r="AB78" s="324"/>
      <c r="AC78" s="324"/>
      <c r="AD78" s="324"/>
      <c r="AE78" s="324"/>
      <c r="AF78" s="324"/>
      <c r="AG78" s="324"/>
      <c r="AH78" s="324"/>
      <c r="AI78" s="324"/>
      <c r="AJ78" s="324"/>
      <c r="AK78" s="324"/>
      <c r="AL78" s="324"/>
      <c r="AM78" s="324"/>
      <c r="AN78" s="324"/>
      <c r="AO78" s="324"/>
      <c r="AP78" s="324"/>
      <c r="AQ78" s="324"/>
      <c r="AR78" s="324"/>
      <c r="AS78" s="324"/>
      <c r="AT78" s="324"/>
      <c r="AU78" s="324"/>
      <c r="AV78" s="324"/>
      <c r="AW78" s="324"/>
      <c r="AX78" s="324"/>
      <c r="AY78" s="324"/>
      <c r="AZ78" s="324"/>
    </row>
    <row r="79" spans="1:52">
      <c r="A79"/>
      <c r="B79" s="245" t="s">
        <v>434</v>
      </c>
      <c r="C79" s="245" t="s">
        <v>435</v>
      </c>
      <c r="D79" s="245" t="s">
        <v>436</v>
      </c>
      <c r="E79"/>
      <c r="F79"/>
      <c r="G79"/>
      <c r="H79"/>
      <c r="I79"/>
      <c r="J79"/>
      <c r="K79"/>
      <c r="L79"/>
      <c r="M79"/>
      <c r="N79" s="324"/>
      <c r="O79" s="324"/>
      <c r="P79" s="324"/>
      <c r="Q79" s="324"/>
      <c r="R79" s="324"/>
      <c r="S79" s="324"/>
      <c r="T79" s="324"/>
      <c r="U79" s="324"/>
      <c r="V79" s="324"/>
      <c r="W79" s="324"/>
      <c r="X79" s="324"/>
      <c r="Y79" s="324"/>
      <c r="Z79" s="324"/>
      <c r="AA79" s="324"/>
      <c r="AB79" s="324"/>
      <c r="AC79" s="324"/>
      <c r="AD79" s="324"/>
      <c r="AE79" s="324"/>
      <c r="AF79" s="324"/>
      <c r="AG79" s="324"/>
      <c r="AH79" s="324"/>
      <c r="AI79" s="324"/>
      <c r="AJ79" s="324"/>
      <c r="AK79" s="324"/>
      <c r="AL79" s="324"/>
      <c r="AM79" s="324"/>
      <c r="AN79" s="324"/>
      <c r="AO79" s="324"/>
      <c r="AP79" s="324"/>
      <c r="AQ79" s="324"/>
      <c r="AR79" s="324"/>
      <c r="AS79" s="324"/>
      <c r="AT79" s="324"/>
      <c r="AU79" s="324"/>
      <c r="AV79" s="324"/>
      <c r="AW79" s="324"/>
      <c r="AX79" s="324"/>
      <c r="AY79" s="324"/>
      <c r="AZ79" s="324"/>
    </row>
    <row r="80" spans="1:52" ht="34">
      <c r="A80"/>
      <c r="B80" s="272" t="s">
        <v>437</v>
      </c>
      <c r="C80" s="272" t="s">
        <v>438</v>
      </c>
      <c r="D80" s="273" t="s">
        <v>8</v>
      </c>
      <c r="E80"/>
      <c r="F80"/>
      <c r="G80"/>
      <c r="H80" s="274" t="s">
        <v>439</v>
      </c>
      <c r="I80"/>
      <c r="J80"/>
      <c r="K80"/>
      <c r="L80"/>
      <c r="M80"/>
      <c r="N80" s="324"/>
      <c r="O80" s="324"/>
      <c r="P80" s="324"/>
      <c r="Q80" s="324"/>
      <c r="R80" s="324"/>
      <c r="S80" s="324"/>
      <c r="T80" s="324"/>
      <c r="U80" s="324"/>
      <c r="V80" s="324"/>
      <c r="W80" s="324"/>
      <c r="X80" s="324"/>
      <c r="Y80" s="324"/>
      <c r="Z80" s="324"/>
      <c r="AA80" s="324"/>
      <c r="AB80" s="324"/>
      <c r="AC80" s="324"/>
      <c r="AD80" s="324"/>
      <c r="AE80" s="324"/>
      <c r="AF80" s="324"/>
      <c r="AG80" s="324"/>
      <c r="AH80" s="324"/>
      <c r="AI80" s="324"/>
      <c r="AJ80" s="324"/>
      <c r="AK80" s="324"/>
      <c r="AL80" s="324"/>
      <c r="AM80" s="324"/>
      <c r="AN80" s="324"/>
      <c r="AO80" s="324"/>
      <c r="AP80" s="324"/>
      <c r="AQ80" s="324"/>
      <c r="AR80" s="324"/>
      <c r="AS80" s="324"/>
      <c r="AT80" s="324"/>
      <c r="AU80" s="324"/>
      <c r="AV80" s="324"/>
      <c r="AW80" s="324"/>
      <c r="AX80" s="324"/>
      <c r="AY80" s="324"/>
      <c r="AZ80" s="324"/>
    </row>
    <row r="81" spans="1:52" ht="68">
      <c r="A81"/>
      <c r="B81" s="272" t="s">
        <v>8</v>
      </c>
      <c r="C81" s="272" t="s">
        <v>440</v>
      </c>
      <c r="D81" s="275" t="s">
        <v>441</v>
      </c>
      <c r="E81"/>
      <c r="F81"/>
      <c r="G81"/>
      <c r="H81" s="276" t="s">
        <v>442</v>
      </c>
      <c r="I81"/>
      <c r="J81"/>
      <c r="K81"/>
      <c r="L81"/>
      <c r="M81"/>
      <c r="N81" s="324"/>
      <c r="O81" s="324"/>
      <c r="P81" s="324"/>
      <c r="Q81" s="324"/>
      <c r="R81" s="324"/>
      <c r="S81" s="324"/>
      <c r="T81" s="324"/>
      <c r="U81" s="324"/>
      <c r="V81" s="324"/>
      <c r="W81" s="324"/>
      <c r="X81" s="324"/>
      <c r="Y81" s="324"/>
      <c r="Z81" s="324"/>
      <c r="AA81" s="324"/>
      <c r="AB81" s="324"/>
      <c r="AC81" s="324"/>
      <c r="AD81" s="324"/>
      <c r="AE81" s="324"/>
      <c r="AF81" s="324"/>
      <c r="AG81" s="324"/>
      <c r="AH81" s="324"/>
      <c r="AI81" s="324"/>
      <c r="AJ81" s="324"/>
      <c r="AK81" s="324"/>
      <c r="AL81" s="324"/>
      <c r="AM81" s="324"/>
      <c r="AN81" s="324"/>
      <c r="AO81" s="324"/>
      <c r="AP81" s="324"/>
      <c r="AQ81" s="324"/>
      <c r="AR81" s="324"/>
      <c r="AS81" s="324"/>
      <c r="AT81" s="324"/>
      <c r="AU81" s="324"/>
      <c r="AV81" s="324"/>
      <c r="AW81" s="324"/>
      <c r="AX81" s="324"/>
      <c r="AY81" s="324"/>
      <c r="AZ81" s="324"/>
    </row>
    <row r="82" spans="1:52" ht="34">
      <c r="A82"/>
      <c r="B82"/>
      <c r="C82" s="272" t="s">
        <v>443</v>
      </c>
      <c r="D82"/>
      <c r="E82"/>
      <c r="F82"/>
      <c r="G82"/>
      <c r="H82" s="276" t="s">
        <v>444</v>
      </c>
      <c r="I82"/>
      <c r="J82"/>
      <c r="K82"/>
      <c r="L82"/>
      <c r="M82"/>
      <c r="N82" s="324"/>
      <c r="O82" s="324"/>
      <c r="P82" s="324"/>
      <c r="Q82" s="324"/>
      <c r="R82" s="324"/>
      <c r="S82" s="324"/>
      <c r="T82" s="324"/>
      <c r="U82" s="324"/>
      <c r="V82" s="324"/>
      <c r="W82" s="324"/>
      <c r="X82" s="324"/>
      <c r="Y82" s="324"/>
      <c r="Z82" s="324"/>
      <c r="AA82" s="324"/>
      <c r="AB82" s="324"/>
      <c r="AC82" s="324"/>
      <c r="AD82" s="324"/>
      <c r="AE82" s="324"/>
      <c r="AF82" s="324"/>
      <c r="AG82" s="324"/>
      <c r="AH82" s="324"/>
      <c r="AI82" s="324"/>
      <c r="AJ82" s="324"/>
      <c r="AK82" s="324"/>
      <c r="AL82" s="324"/>
      <c r="AM82" s="324"/>
      <c r="AN82" s="324"/>
      <c r="AO82" s="324"/>
      <c r="AP82" s="324"/>
      <c r="AQ82" s="324"/>
      <c r="AR82" s="324"/>
      <c r="AS82" s="324"/>
      <c r="AT82" s="324"/>
      <c r="AU82" s="324"/>
      <c r="AV82" s="324"/>
      <c r="AW82" s="324"/>
      <c r="AX82" s="324"/>
      <c r="AY82" s="324"/>
      <c r="AZ82" s="324"/>
    </row>
    <row r="83" spans="1:52">
      <c r="A83"/>
      <c r="B83"/>
      <c r="C83"/>
      <c r="D83"/>
      <c r="E83"/>
      <c r="F83"/>
      <c r="G83"/>
      <c r="H83" s="276" t="s">
        <v>445</v>
      </c>
      <c r="I83"/>
      <c r="J83"/>
      <c r="K83"/>
      <c r="L83"/>
      <c r="M83"/>
      <c r="N83" s="324"/>
      <c r="O83" s="324"/>
      <c r="P83" s="324"/>
      <c r="Q83" s="324"/>
      <c r="R83" s="324"/>
      <c r="S83" s="324"/>
      <c r="T83" s="324"/>
      <c r="U83" s="324"/>
      <c r="V83" s="324"/>
      <c r="W83" s="324"/>
      <c r="X83" s="324"/>
      <c r="Y83" s="324"/>
      <c r="Z83" s="324"/>
      <c r="AA83" s="324"/>
      <c r="AB83" s="324"/>
      <c r="AC83" s="324"/>
      <c r="AD83" s="324"/>
      <c r="AE83" s="324"/>
      <c r="AF83" s="324"/>
      <c r="AG83" s="324"/>
      <c r="AH83" s="324"/>
      <c r="AI83" s="324"/>
      <c r="AJ83" s="324"/>
      <c r="AK83" s="324"/>
      <c r="AL83" s="324"/>
      <c r="AM83" s="324"/>
      <c r="AN83" s="324"/>
      <c r="AO83" s="324"/>
      <c r="AP83" s="324"/>
      <c r="AQ83" s="324"/>
      <c r="AR83" s="324"/>
      <c r="AS83" s="324"/>
      <c r="AT83" s="324"/>
      <c r="AU83" s="324"/>
      <c r="AV83" s="324"/>
      <c r="AW83" s="324"/>
      <c r="AX83" s="324"/>
      <c r="AY83" s="324"/>
      <c r="AZ83" s="324"/>
    </row>
    <row r="84" spans="1:52">
      <c r="A84"/>
      <c r="B84"/>
      <c r="C84"/>
      <c r="D84"/>
      <c r="E84"/>
      <c r="F84"/>
      <c r="G84"/>
      <c r="H84" s="276" t="s">
        <v>446</v>
      </c>
      <c r="I84"/>
      <c r="J84"/>
      <c r="K84"/>
      <c r="L84"/>
      <c r="M84"/>
      <c r="N84" s="324"/>
      <c r="O84" s="324"/>
      <c r="P84" s="324"/>
      <c r="Q84" s="324"/>
      <c r="R84" s="324"/>
      <c r="S84" s="324"/>
      <c r="T84" s="324"/>
      <c r="U84" s="324"/>
      <c r="V84" s="324"/>
      <c r="W84" s="324"/>
      <c r="X84" s="324"/>
      <c r="Y84" s="324"/>
      <c r="Z84" s="324"/>
      <c r="AA84" s="324"/>
      <c r="AB84" s="324"/>
      <c r="AC84" s="324"/>
      <c r="AD84" s="324"/>
      <c r="AE84" s="324"/>
      <c r="AF84" s="324"/>
      <c r="AG84" s="324"/>
      <c r="AH84" s="324"/>
      <c r="AI84" s="324"/>
      <c r="AJ84" s="324"/>
      <c r="AK84" s="324"/>
      <c r="AL84" s="324"/>
      <c r="AM84" s="324"/>
      <c r="AN84" s="324"/>
      <c r="AO84" s="324"/>
      <c r="AP84" s="324"/>
      <c r="AQ84" s="324"/>
      <c r="AR84" s="324"/>
      <c r="AS84" s="324"/>
      <c r="AT84" s="324"/>
      <c r="AU84" s="324"/>
      <c r="AV84" s="324"/>
      <c r="AW84" s="324"/>
      <c r="AX84" s="324"/>
      <c r="AY84" s="324"/>
      <c r="AZ84" s="324"/>
    </row>
    <row r="85" spans="1:52">
      <c r="A85"/>
      <c r="B85"/>
      <c r="C85"/>
      <c r="D85"/>
      <c r="E85"/>
      <c r="F85"/>
      <c r="G85"/>
      <c r="H85" s="276" t="s">
        <v>447</v>
      </c>
      <c r="I85"/>
      <c r="J85"/>
      <c r="K85"/>
      <c r="L85"/>
      <c r="M85"/>
      <c r="N85" s="324"/>
      <c r="O85" s="324"/>
      <c r="P85" s="324"/>
      <c r="Q85" s="324"/>
      <c r="R85" s="324"/>
      <c r="S85" s="324"/>
      <c r="T85" s="324"/>
      <c r="U85" s="324"/>
      <c r="V85" s="324"/>
      <c r="W85" s="324"/>
      <c r="X85" s="324"/>
      <c r="Y85" s="324"/>
      <c r="Z85" s="324"/>
      <c r="AA85" s="324"/>
      <c r="AB85" s="324"/>
      <c r="AC85" s="324"/>
      <c r="AD85" s="324"/>
      <c r="AE85" s="324"/>
      <c r="AF85" s="324"/>
      <c r="AG85" s="324"/>
      <c r="AH85" s="324"/>
      <c r="AI85" s="324"/>
      <c r="AJ85" s="324"/>
      <c r="AK85" s="324"/>
      <c r="AL85" s="324"/>
      <c r="AM85" s="324"/>
      <c r="AN85" s="324"/>
      <c r="AO85" s="324"/>
      <c r="AP85" s="324"/>
      <c r="AQ85" s="324"/>
      <c r="AR85" s="324"/>
      <c r="AS85" s="324"/>
      <c r="AT85" s="324"/>
      <c r="AU85" s="324"/>
      <c r="AV85" s="324"/>
      <c r="AW85" s="324"/>
      <c r="AX85" s="324"/>
      <c r="AY85" s="324"/>
      <c r="AZ85" s="324"/>
    </row>
    <row r="86" spans="1:52">
      <c r="A86"/>
      <c r="B86"/>
      <c r="C86"/>
      <c r="D86"/>
      <c r="E86"/>
      <c r="F86"/>
      <c r="G86"/>
      <c r="H86" s="276" t="s">
        <v>448</v>
      </c>
      <c r="I86"/>
      <c r="J86"/>
      <c r="K86"/>
      <c r="L86"/>
      <c r="M86"/>
      <c r="N86" s="324"/>
      <c r="O86" s="324"/>
      <c r="P86" s="324"/>
      <c r="Q86" s="324"/>
      <c r="R86" s="324"/>
      <c r="S86" s="324"/>
      <c r="T86" s="324"/>
      <c r="U86" s="324"/>
      <c r="V86" s="324"/>
      <c r="W86" s="324"/>
      <c r="X86" s="324"/>
      <c r="Y86" s="324"/>
      <c r="Z86" s="324"/>
      <c r="AA86" s="324"/>
      <c r="AB86" s="324"/>
      <c r="AC86" s="324"/>
      <c r="AD86" s="324"/>
      <c r="AE86" s="324"/>
      <c r="AF86" s="324"/>
      <c r="AG86" s="324"/>
      <c r="AH86" s="324"/>
      <c r="AI86" s="324"/>
      <c r="AJ86" s="324"/>
      <c r="AK86" s="324"/>
      <c r="AL86" s="324"/>
      <c r="AM86" s="324"/>
      <c r="AN86" s="324"/>
      <c r="AO86" s="324"/>
      <c r="AP86" s="324"/>
      <c r="AQ86" s="324"/>
      <c r="AR86" s="324"/>
      <c r="AS86" s="324"/>
      <c r="AT86" s="324"/>
      <c r="AU86" s="324"/>
      <c r="AV86" s="324"/>
      <c r="AW86" s="324"/>
      <c r="AX86" s="324"/>
      <c r="AY86" s="324"/>
      <c r="AZ86" s="324"/>
    </row>
    <row r="87" spans="1:52">
      <c r="A87"/>
      <c r="B87"/>
      <c r="C87"/>
      <c r="D87"/>
      <c r="E87"/>
      <c r="F87"/>
      <c r="G87"/>
      <c r="H87" s="276" t="s">
        <v>433</v>
      </c>
      <c r="I87"/>
      <c r="J87"/>
      <c r="K87"/>
      <c r="L87"/>
      <c r="M87"/>
      <c r="N87" s="324"/>
      <c r="O87" s="324"/>
      <c r="P87" s="324"/>
      <c r="Q87" s="324"/>
      <c r="R87" s="324"/>
      <c r="S87" s="324"/>
      <c r="T87" s="324"/>
      <c r="U87" s="324"/>
      <c r="V87" s="324"/>
      <c r="W87" s="324"/>
      <c r="X87" s="324"/>
      <c r="Y87" s="324"/>
      <c r="Z87" s="324"/>
      <c r="AA87" s="324"/>
      <c r="AB87" s="324"/>
      <c r="AC87" s="324"/>
      <c r="AD87" s="324"/>
      <c r="AE87" s="324"/>
      <c r="AF87" s="324"/>
      <c r="AG87" s="324"/>
      <c r="AH87" s="324"/>
      <c r="AI87" s="324"/>
      <c r="AJ87" s="324"/>
      <c r="AK87" s="324"/>
      <c r="AL87" s="324"/>
      <c r="AM87" s="324"/>
      <c r="AN87" s="324"/>
      <c r="AO87" s="324"/>
      <c r="AP87" s="324"/>
      <c r="AQ87" s="324"/>
      <c r="AR87" s="324"/>
      <c r="AS87" s="324"/>
      <c r="AT87" s="324"/>
      <c r="AU87" s="324"/>
      <c r="AV87" s="324"/>
      <c r="AW87" s="324"/>
      <c r="AX87" s="324"/>
      <c r="AY87" s="324"/>
      <c r="AZ87" s="324"/>
    </row>
    <row r="88" spans="1:52">
      <c r="A88"/>
      <c r="B88"/>
      <c r="C88"/>
      <c r="D88"/>
      <c r="E88"/>
      <c r="F88"/>
      <c r="G88"/>
      <c r="H88"/>
      <c r="I88"/>
      <c r="J88"/>
      <c r="K88"/>
      <c r="L88"/>
      <c r="M88"/>
      <c r="N88" s="324"/>
      <c r="O88" s="324"/>
      <c r="P88" s="324"/>
      <c r="Q88" s="324"/>
      <c r="R88" s="324"/>
      <c r="S88" s="324"/>
      <c r="T88" s="324"/>
      <c r="U88" s="324"/>
      <c r="V88" s="324"/>
      <c r="W88" s="324"/>
      <c r="X88" s="324"/>
      <c r="Y88" s="324"/>
      <c r="Z88" s="324"/>
      <c r="AA88" s="324"/>
      <c r="AB88" s="324"/>
      <c r="AC88" s="324"/>
      <c r="AD88" s="324"/>
      <c r="AE88" s="324"/>
      <c r="AF88" s="324"/>
      <c r="AG88" s="324"/>
      <c r="AH88" s="324"/>
      <c r="AI88" s="324"/>
      <c r="AJ88" s="324"/>
      <c r="AK88" s="324"/>
      <c r="AL88" s="324"/>
      <c r="AM88" s="324"/>
      <c r="AN88" s="324"/>
      <c r="AO88" s="324"/>
      <c r="AP88" s="324"/>
      <c r="AQ88" s="324"/>
      <c r="AR88" s="324"/>
      <c r="AS88" s="324"/>
      <c r="AT88" s="324"/>
      <c r="AU88" s="324"/>
      <c r="AV88" s="324"/>
      <c r="AW88" s="324"/>
      <c r="AX88" s="324"/>
      <c r="AY88" s="324"/>
      <c r="AZ88" s="324"/>
    </row>
    <row r="89" spans="1:52">
      <c r="A89"/>
      <c r="B89"/>
      <c r="C89"/>
      <c r="D89"/>
      <c r="E89"/>
      <c r="F89"/>
      <c r="G89"/>
      <c r="H89"/>
      <c r="I89"/>
      <c r="J89"/>
      <c r="K89"/>
      <c r="L89"/>
      <c r="M89"/>
      <c r="N89" s="324"/>
      <c r="O89" s="324"/>
      <c r="P89" s="324"/>
      <c r="Q89" s="324"/>
      <c r="R89" s="324"/>
      <c r="S89" s="324"/>
      <c r="T89" s="324"/>
      <c r="U89" s="324"/>
      <c r="V89" s="324"/>
      <c r="W89" s="324"/>
      <c r="X89" s="324"/>
      <c r="Y89" s="324"/>
      <c r="Z89" s="324"/>
      <c r="AA89" s="324"/>
      <c r="AB89" s="324"/>
      <c r="AC89" s="324"/>
      <c r="AD89" s="324"/>
      <c r="AE89" s="324"/>
      <c r="AF89" s="324"/>
      <c r="AG89" s="324"/>
      <c r="AH89" s="324"/>
      <c r="AI89" s="324"/>
      <c r="AJ89" s="324"/>
      <c r="AK89" s="324"/>
      <c r="AL89" s="324"/>
      <c r="AM89" s="324"/>
      <c r="AN89" s="324"/>
      <c r="AO89" s="324"/>
      <c r="AP89" s="324"/>
      <c r="AQ89" s="324"/>
      <c r="AR89" s="324"/>
      <c r="AS89" s="324"/>
      <c r="AT89" s="324"/>
      <c r="AU89" s="324"/>
      <c r="AV89" s="324"/>
      <c r="AW89" s="324"/>
      <c r="AX89" s="324"/>
      <c r="AY89" s="324"/>
      <c r="AZ89" s="324"/>
    </row>
    <row r="90" spans="1:52">
      <c r="A90" s="245" t="s">
        <v>497</v>
      </c>
      <c r="B90" s="245" t="s">
        <v>498</v>
      </c>
      <c r="C90" s="245" t="s">
        <v>499</v>
      </c>
      <c r="D90" s="245" t="s">
        <v>499</v>
      </c>
      <c r="E90"/>
      <c r="F90"/>
      <c r="G90" s="245" t="s">
        <v>500</v>
      </c>
      <c r="H90" s="245" t="s">
        <v>501</v>
      </c>
      <c r="I90"/>
      <c r="J90"/>
      <c r="K90"/>
      <c r="L90"/>
      <c r="M90"/>
      <c r="N90" s="324"/>
      <c r="O90" s="324"/>
      <c r="P90" s="324"/>
      <c r="Q90" s="324"/>
      <c r="R90" s="324"/>
      <c r="S90" s="324"/>
      <c r="T90" s="324"/>
      <c r="U90" s="324"/>
      <c r="V90" s="324"/>
      <c r="W90" s="324"/>
      <c r="X90" s="324"/>
      <c r="Y90" s="324"/>
      <c r="Z90" s="324"/>
      <c r="AA90" s="324"/>
      <c r="AB90" s="324"/>
      <c r="AC90" s="324"/>
      <c r="AD90" s="324"/>
      <c r="AE90" s="324"/>
      <c r="AF90" s="324"/>
      <c r="AG90" s="324"/>
      <c r="AH90" s="324"/>
      <c r="AI90" s="324"/>
      <c r="AJ90" s="324"/>
      <c r="AK90" s="324"/>
      <c r="AL90" s="324"/>
      <c r="AM90" s="324"/>
      <c r="AN90" s="324"/>
      <c r="AO90" s="324"/>
      <c r="AP90" s="324"/>
      <c r="AQ90" s="324"/>
      <c r="AR90" s="324"/>
      <c r="AS90" s="324"/>
      <c r="AT90" s="324"/>
      <c r="AU90" s="324"/>
      <c r="AV90" s="324"/>
      <c r="AW90" s="324"/>
      <c r="AX90" s="324"/>
      <c r="AY90" s="324"/>
      <c r="AZ90" s="324"/>
    </row>
    <row r="91" spans="1:52" ht="36">
      <c r="A91"/>
      <c r="B91" s="277" t="s">
        <v>502</v>
      </c>
      <c r="C91" s="278" t="s">
        <v>503</v>
      </c>
      <c r="D91" s="279" t="s">
        <v>504</v>
      </c>
      <c r="E91" s="279" t="s">
        <v>505</v>
      </c>
      <c r="F91" s="280" t="s">
        <v>506</v>
      </c>
      <c r="G91" s="281" t="s">
        <v>507</v>
      </c>
      <c r="H91" s="281" t="s">
        <v>507</v>
      </c>
      <c r="I91" s="279"/>
      <c r="J91" s="279"/>
      <c r="K91" s="282"/>
      <c r="L91"/>
      <c r="M91"/>
      <c r="N91" s="324"/>
      <c r="O91" s="324"/>
      <c r="P91" s="324"/>
      <c r="Q91" s="324"/>
      <c r="R91" s="324"/>
      <c r="S91" s="324"/>
      <c r="T91" s="324"/>
      <c r="U91" s="324"/>
      <c r="V91" s="324"/>
      <c r="W91" s="324"/>
      <c r="X91" s="324"/>
      <c r="Y91" s="324"/>
      <c r="Z91" s="324"/>
      <c r="AA91" s="324"/>
      <c r="AB91" s="324"/>
      <c r="AC91" s="324"/>
      <c r="AD91" s="324"/>
      <c r="AE91" s="324"/>
      <c r="AF91" s="324"/>
      <c r="AG91" s="324"/>
      <c r="AH91" s="324"/>
      <c r="AI91" s="324"/>
      <c r="AJ91" s="324"/>
      <c r="AK91" s="324"/>
      <c r="AL91" s="324"/>
      <c r="AM91" s="324"/>
      <c r="AN91" s="324"/>
      <c r="AO91" s="324"/>
      <c r="AP91" s="324"/>
      <c r="AQ91" s="324"/>
      <c r="AR91" s="324"/>
      <c r="AS91" s="324"/>
      <c r="AT91" s="324"/>
      <c r="AU91" s="324"/>
      <c r="AV91" s="324"/>
      <c r="AW91" s="324"/>
      <c r="AX91" s="324"/>
      <c r="AY91" s="324"/>
      <c r="AZ91" s="324"/>
    </row>
    <row r="92" spans="1:52" ht="34" customHeight="1">
      <c r="A92"/>
      <c r="B92" s="277" t="s">
        <v>508</v>
      </c>
      <c r="C92" s="280" t="s">
        <v>509</v>
      </c>
      <c r="D92" s="279" t="s">
        <v>510</v>
      </c>
      <c r="E92" s="279" t="s">
        <v>511</v>
      </c>
      <c r="F92" s="280" t="s">
        <v>512</v>
      </c>
      <c r="G92" s="281" t="s">
        <v>513</v>
      </c>
      <c r="H92" s="281" t="s">
        <v>233</v>
      </c>
      <c r="I92" s="279"/>
      <c r="J92" s="279"/>
      <c r="K92" s="282"/>
      <c r="L92"/>
      <c r="M92"/>
      <c r="N92" s="324"/>
      <c r="O92" s="324"/>
      <c r="P92" s="324"/>
      <c r="Q92" s="324"/>
      <c r="R92" s="324"/>
      <c r="S92" s="324"/>
      <c r="T92" s="324"/>
      <c r="U92" s="324"/>
      <c r="V92" s="324"/>
      <c r="W92" s="324"/>
      <c r="X92" s="324"/>
      <c r="Y92" s="324"/>
      <c r="Z92" s="324"/>
      <c r="AA92" s="324"/>
      <c r="AB92" s="324"/>
      <c r="AC92" s="324"/>
      <c r="AD92" s="324"/>
      <c r="AE92" s="324"/>
      <c r="AF92" s="324"/>
      <c r="AG92" s="324"/>
      <c r="AH92" s="324"/>
      <c r="AI92" s="324"/>
      <c r="AJ92" s="324"/>
      <c r="AK92" s="324"/>
      <c r="AL92" s="324"/>
      <c r="AM92" s="324"/>
      <c r="AN92" s="324"/>
      <c r="AO92" s="324"/>
      <c r="AP92" s="324"/>
      <c r="AQ92" s="324"/>
      <c r="AR92" s="324"/>
      <c r="AS92" s="324"/>
      <c r="AT92" s="324"/>
      <c r="AU92" s="324"/>
      <c r="AV92" s="324"/>
      <c r="AW92" s="324"/>
      <c r="AX92" s="324"/>
      <c r="AY92" s="324"/>
      <c r="AZ92" s="324"/>
    </row>
    <row r="93" spans="1:52" ht="18">
      <c r="A93"/>
      <c r="B93" s="277" t="s">
        <v>514</v>
      </c>
      <c r="C93"/>
      <c r="D93" s="283" t="s">
        <v>8</v>
      </c>
      <c r="E93" s="283" t="s">
        <v>515</v>
      </c>
      <c r="F93" s="280" t="s">
        <v>516</v>
      </c>
      <c r="G93" s="281" t="s">
        <v>517</v>
      </c>
      <c r="H93" s="281" t="s">
        <v>240</v>
      </c>
      <c r="I93" s="283"/>
      <c r="J93" s="283"/>
      <c r="K93" s="284"/>
      <c r="L93"/>
      <c r="M93"/>
      <c r="N93" s="324"/>
      <c r="O93" s="324"/>
      <c r="P93" s="324"/>
      <c r="Q93" s="324"/>
      <c r="R93" s="324"/>
      <c r="S93" s="324"/>
      <c r="T93" s="324"/>
      <c r="U93" s="324"/>
      <c r="V93" s="324"/>
      <c r="W93" s="324"/>
      <c r="X93" s="324"/>
      <c r="Y93" s="324"/>
      <c r="Z93" s="324"/>
      <c r="AA93" s="324"/>
      <c r="AB93" s="324"/>
      <c r="AC93" s="324"/>
      <c r="AD93" s="324"/>
      <c r="AE93" s="324"/>
      <c r="AF93" s="324"/>
      <c r="AG93" s="324"/>
      <c r="AH93" s="324"/>
      <c r="AI93" s="324"/>
      <c r="AJ93" s="324"/>
      <c r="AK93" s="324"/>
      <c r="AL93" s="324"/>
      <c r="AM93" s="324"/>
      <c r="AN93" s="324"/>
      <c r="AO93" s="324"/>
      <c r="AP93" s="324"/>
      <c r="AQ93" s="324"/>
      <c r="AR93" s="324"/>
      <c r="AS93" s="324"/>
      <c r="AT93" s="324"/>
      <c r="AU93" s="324"/>
      <c r="AV93" s="324"/>
      <c r="AW93" s="324"/>
      <c r="AX93" s="324"/>
      <c r="AY93" s="324"/>
      <c r="AZ93" s="324"/>
    </row>
    <row r="94" spans="1:52">
      <c r="A94"/>
      <c r="B94"/>
      <c r="C94"/>
      <c r="D94"/>
      <c r="E94"/>
      <c r="F94"/>
      <c r="G94" s="281" t="s">
        <v>518</v>
      </c>
      <c r="H94" s="281" t="s">
        <v>519</v>
      </c>
      <c r="I94"/>
      <c r="J94"/>
      <c r="K94"/>
      <c r="L94"/>
      <c r="M94"/>
      <c r="N94" s="324"/>
      <c r="O94" s="324"/>
      <c r="P94" s="324"/>
      <c r="Q94" s="324"/>
      <c r="R94" s="324"/>
      <c r="S94" s="324"/>
      <c r="T94" s="324"/>
      <c r="U94" s="324"/>
      <c r="V94" s="324"/>
      <c r="W94" s="324"/>
      <c r="X94" s="324"/>
      <c r="Y94" s="324"/>
      <c r="Z94" s="324"/>
      <c r="AA94" s="324"/>
      <c r="AB94" s="324"/>
      <c r="AC94" s="324"/>
      <c r="AD94" s="324"/>
      <c r="AE94" s="324"/>
      <c r="AF94" s="324"/>
      <c r="AG94" s="324"/>
      <c r="AH94" s="324"/>
      <c r="AI94" s="324"/>
      <c r="AJ94" s="324"/>
      <c r="AK94" s="324"/>
      <c r="AL94" s="324"/>
      <c r="AM94" s="324"/>
      <c r="AN94" s="324"/>
      <c r="AO94" s="324"/>
      <c r="AP94" s="324"/>
      <c r="AQ94" s="324"/>
      <c r="AR94" s="324"/>
      <c r="AS94" s="324"/>
      <c r="AT94" s="324"/>
      <c r="AU94" s="324"/>
      <c r="AV94" s="324"/>
      <c r="AW94" s="324"/>
      <c r="AX94" s="324"/>
      <c r="AY94" s="324"/>
      <c r="AZ94" s="324"/>
    </row>
    <row r="95" spans="1:52">
      <c r="A95"/>
      <c r="B95"/>
      <c r="C95"/>
      <c r="D95"/>
      <c r="E95"/>
      <c r="F95"/>
      <c r="G95"/>
      <c r="H95"/>
      <c r="I95"/>
      <c r="J95"/>
      <c r="K95"/>
      <c r="L95"/>
      <c r="M95"/>
      <c r="N95" s="324"/>
      <c r="O95" s="324"/>
      <c r="P95" s="324"/>
      <c r="Q95" s="324"/>
      <c r="R95" s="324"/>
      <c r="S95" s="324"/>
      <c r="T95" s="324"/>
      <c r="U95" s="324"/>
      <c r="V95" s="324"/>
      <c r="W95" s="324"/>
      <c r="X95" s="324"/>
      <c r="Y95" s="324"/>
      <c r="Z95" s="324"/>
      <c r="AA95" s="324"/>
      <c r="AB95" s="324"/>
      <c r="AC95" s="324"/>
      <c r="AD95" s="324"/>
      <c r="AE95" s="324"/>
      <c r="AF95" s="324"/>
      <c r="AG95" s="324"/>
      <c r="AH95" s="324"/>
      <c r="AI95" s="324"/>
      <c r="AJ95" s="324"/>
      <c r="AK95" s="324"/>
      <c r="AL95" s="324"/>
      <c r="AM95" s="324"/>
      <c r="AN95" s="324"/>
      <c r="AO95" s="324"/>
      <c r="AP95" s="324"/>
      <c r="AQ95" s="324"/>
      <c r="AR95" s="324"/>
      <c r="AS95" s="324"/>
      <c r="AT95" s="324"/>
      <c r="AU95" s="324"/>
      <c r="AV95" s="324"/>
      <c r="AW95" s="324"/>
      <c r="AX95" s="324"/>
      <c r="AY95" s="324"/>
      <c r="AZ95" s="324"/>
    </row>
    <row r="96" spans="1:52">
      <c r="A96"/>
      <c r="B96"/>
      <c r="C96"/>
      <c r="D96"/>
      <c r="E96"/>
      <c r="F96"/>
      <c r="G96"/>
      <c r="H96"/>
      <c r="I96"/>
      <c r="J96"/>
      <c r="K96"/>
      <c r="L96"/>
      <c r="M96"/>
      <c r="N96" s="324"/>
      <c r="O96" s="324"/>
      <c r="P96" s="324"/>
      <c r="Q96" s="324"/>
      <c r="R96" s="324"/>
      <c r="S96" s="324"/>
      <c r="T96" s="324"/>
      <c r="U96" s="324"/>
      <c r="V96" s="324"/>
      <c r="W96" s="324"/>
      <c r="X96" s="324"/>
      <c r="Y96" s="324"/>
      <c r="Z96" s="324"/>
      <c r="AA96" s="324"/>
      <c r="AB96" s="324"/>
      <c r="AC96" s="324"/>
      <c r="AD96" s="324"/>
      <c r="AE96" s="324"/>
      <c r="AF96" s="324"/>
      <c r="AG96" s="324"/>
      <c r="AH96" s="324"/>
      <c r="AI96" s="324"/>
      <c r="AJ96" s="324"/>
      <c r="AK96" s="324"/>
      <c r="AL96" s="324"/>
      <c r="AM96" s="324"/>
      <c r="AN96" s="324"/>
      <c r="AO96" s="324"/>
      <c r="AP96" s="324"/>
      <c r="AQ96" s="324"/>
      <c r="AR96" s="324"/>
      <c r="AS96" s="324"/>
      <c r="AT96" s="324"/>
      <c r="AU96" s="324"/>
      <c r="AV96" s="324"/>
      <c r="AW96" s="324"/>
      <c r="AX96" s="324"/>
      <c r="AY96" s="324"/>
      <c r="AZ96" s="324"/>
    </row>
    <row r="97" spans="1:52">
      <c r="A97"/>
      <c r="B97"/>
      <c r="C97"/>
      <c r="D97"/>
      <c r="E97"/>
      <c r="F97"/>
      <c r="G97"/>
      <c r="H97"/>
      <c r="I97"/>
      <c r="J97"/>
      <c r="K97"/>
      <c r="L97"/>
      <c r="M97"/>
      <c r="N97" s="324"/>
      <c r="O97" s="324"/>
      <c r="P97" s="324"/>
      <c r="Q97" s="324"/>
      <c r="R97" s="324"/>
      <c r="S97" s="324"/>
      <c r="T97" s="324"/>
      <c r="U97" s="324"/>
      <c r="V97" s="324"/>
      <c r="W97" s="324"/>
      <c r="X97" s="324"/>
      <c r="Y97" s="324"/>
      <c r="Z97" s="324"/>
      <c r="AA97" s="324"/>
      <c r="AB97" s="324"/>
      <c r="AC97" s="324"/>
      <c r="AD97" s="324"/>
      <c r="AE97" s="324"/>
      <c r="AF97" s="324"/>
      <c r="AG97" s="324"/>
      <c r="AH97" s="324"/>
      <c r="AI97" s="324"/>
      <c r="AJ97" s="324"/>
      <c r="AK97" s="324"/>
      <c r="AL97" s="324"/>
      <c r="AM97" s="324"/>
      <c r="AN97" s="324"/>
      <c r="AO97" s="324"/>
      <c r="AP97" s="324"/>
      <c r="AQ97" s="324"/>
      <c r="AR97" s="324"/>
      <c r="AS97" s="324"/>
      <c r="AT97" s="324"/>
      <c r="AU97" s="324"/>
      <c r="AV97" s="324"/>
      <c r="AW97" s="324"/>
      <c r="AX97" s="324"/>
      <c r="AY97" s="324"/>
      <c r="AZ97" s="324"/>
    </row>
    <row r="98" spans="1:52">
      <c r="A98" t="s">
        <v>520</v>
      </c>
      <c r="B98"/>
      <c r="C98"/>
      <c r="D98"/>
      <c r="E98"/>
      <c r="F98"/>
      <c r="G98"/>
      <c r="H98"/>
      <c r="I98"/>
      <c r="J98"/>
      <c r="K98"/>
      <c r="L98"/>
      <c r="M98"/>
      <c r="N98" s="324"/>
      <c r="O98" s="324"/>
      <c r="P98" s="324"/>
      <c r="Q98" s="324"/>
      <c r="R98" s="324"/>
      <c r="S98" s="324"/>
      <c r="T98" s="324"/>
      <c r="U98" s="324"/>
      <c r="V98" s="324"/>
      <c r="W98" s="324"/>
      <c r="X98" s="324"/>
      <c r="Y98" s="324"/>
      <c r="Z98" s="324"/>
      <c r="AA98" s="324"/>
      <c r="AB98" s="324"/>
      <c r="AC98" s="324"/>
      <c r="AD98" s="324"/>
      <c r="AE98" s="324"/>
      <c r="AF98" s="324"/>
      <c r="AG98" s="324"/>
      <c r="AH98" s="324"/>
      <c r="AI98" s="324"/>
      <c r="AJ98" s="324"/>
      <c r="AK98" s="324"/>
      <c r="AL98" s="324"/>
      <c r="AM98" s="324"/>
      <c r="AN98" s="324"/>
      <c r="AO98" s="324"/>
      <c r="AP98" s="324"/>
      <c r="AQ98" s="324"/>
      <c r="AR98" s="324"/>
      <c r="AS98" s="324"/>
      <c r="AT98" s="324"/>
      <c r="AU98" s="324"/>
      <c r="AV98" s="324"/>
      <c r="AW98" s="324"/>
      <c r="AX98" s="324"/>
      <c r="AY98" s="324"/>
      <c r="AZ98" s="324"/>
    </row>
    <row r="99" spans="1:52">
      <c r="A99"/>
      <c r="B99"/>
      <c r="C99"/>
      <c r="D99"/>
      <c r="E99"/>
      <c r="F99"/>
      <c r="G99"/>
      <c r="H99"/>
      <c r="I99"/>
      <c r="J99"/>
      <c r="K99"/>
      <c r="L99"/>
      <c r="M99"/>
      <c r="N99" s="324"/>
      <c r="O99" s="324"/>
      <c r="P99" s="324"/>
      <c r="Q99" s="324"/>
      <c r="R99" s="324"/>
      <c r="S99" s="324"/>
      <c r="T99" s="324"/>
      <c r="U99" s="324"/>
      <c r="V99" s="324"/>
      <c r="W99" s="324"/>
      <c r="X99" s="324"/>
      <c r="Y99" s="324"/>
      <c r="Z99" s="324"/>
      <c r="AA99" s="324"/>
      <c r="AB99" s="324"/>
      <c r="AC99" s="324"/>
      <c r="AD99" s="324"/>
      <c r="AE99" s="324"/>
      <c r="AF99" s="324"/>
      <c r="AG99" s="324"/>
      <c r="AH99" s="324"/>
      <c r="AI99" s="324"/>
      <c r="AJ99" s="324"/>
      <c r="AK99" s="324"/>
      <c r="AL99" s="324"/>
      <c r="AM99" s="324"/>
      <c r="AN99" s="324"/>
      <c r="AO99" s="324"/>
      <c r="AP99" s="324"/>
      <c r="AQ99" s="324"/>
      <c r="AR99" s="324"/>
      <c r="AS99" s="324"/>
      <c r="AT99" s="324"/>
      <c r="AU99" s="324"/>
      <c r="AV99" s="324"/>
      <c r="AW99" s="324"/>
      <c r="AX99" s="324"/>
      <c r="AY99" s="324"/>
      <c r="AZ99" s="324"/>
    </row>
    <row r="100" spans="1:52">
      <c r="A100" t="s">
        <v>521</v>
      </c>
      <c r="B100"/>
      <c r="C100" t="s">
        <v>522</v>
      </c>
      <c r="D100"/>
      <c r="E100"/>
      <c r="F100"/>
      <c r="G100"/>
      <c r="H100"/>
      <c r="I100"/>
      <c r="J100"/>
      <c r="K100"/>
      <c r="L100"/>
      <c r="M100"/>
      <c r="N100" s="324"/>
      <c r="O100" s="324"/>
      <c r="P100" s="324"/>
      <c r="Q100" s="324"/>
      <c r="R100" s="324"/>
      <c r="S100" s="324"/>
      <c r="T100" s="324"/>
      <c r="U100" s="324"/>
      <c r="V100" s="324"/>
      <c r="W100" s="324"/>
      <c r="X100" s="324"/>
      <c r="Y100" s="324"/>
      <c r="Z100" s="324"/>
      <c r="AA100" s="324"/>
      <c r="AB100" s="324"/>
      <c r="AC100" s="324"/>
      <c r="AD100" s="324"/>
      <c r="AE100" s="324"/>
      <c r="AF100" s="324"/>
      <c r="AG100" s="324"/>
      <c r="AH100" s="324"/>
      <c r="AI100" s="324"/>
      <c r="AJ100" s="324"/>
      <c r="AK100" s="324"/>
      <c r="AL100" s="324"/>
      <c r="AM100" s="324"/>
      <c r="AN100" s="324"/>
      <c r="AO100" s="324"/>
      <c r="AP100" s="324"/>
      <c r="AQ100" s="324"/>
      <c r="AR100" s="324"/>
      <c r="AS100" s="324"/>
      <c r="AT100" s="324"/>
      <c r="AU100" s="324"/>
      <c r="AV100" s="324"/>
      <c r="AW100" s="324"/>
      <c r="AX100" s="324"/>
      <c r="AY100" s="324"/>
      <c r="AZ100" s="324"/>
    </row>
    <row r="101" spans="1:52">
      <c r="A101" t="s">
        <v>523</v>
      </c>
      <c r="B101"/>
      <c r="C101" t="s">
        <v>524</v>
      </c>
      <c r="D101"/>
      <c r="E101"/>
      <c r="F101"/>
      <c r="G101"/>
      <c r="H101"/>
      <c r="I101"/>
      <c r="J101"/>
      <c r="K101"/>
      <c r="L101"/>
      <c r="M101"/>
      <c r="N101" s="324"/>
      <c r="O101" s="324"/>
      <c r="P101" s="324"/>
      <c r="Q101" s="324"/>
      <c r="R101" s="324"/>
      <c r="S101" s="324"/>
      <c r="T101" s="324"/>
      <c r="U101" s="324"/>
      <c r="V101" s="324"/>
      <c r="W101" s="324"/>
      <c r="X101" s="324"/>
      <c r="Y101" s="324"/>
      <c r="Z101" s="324"/>
      <c r="AA101" s="324"/>
      <c r="AB101" s="324"/>
      <c r="AC101" s="324"/>
      <c r="AD101" s="324"/>
      <c r="AE101" s="324"/>
      <c r="AF101" s="324"/>
      <c r="AG101" s="324"/>
      <c r="AH101" s="324"/>
      <c r="AI101" s="324"/>
      <c r="AJ101" s="324"/>
      <c r="AK101" s="324"/>
      <c r="AL101" s="324"/>
      <c r="AM101" s="324"/>
      <c r="AN101" s="324"/>
      <c r="AO101" s="324"/>
      <c r="AP101" s="324"/>
      <c r="AQ101" s="324"/>
      <c r="AR101" s="324"/>
      <c r="AS101" s="324"/>
      <c r="AT101" s="324"/>
      <c r="AU101" s="324"/>
      <c r="AV101" s="324"/>
      <c r="AW101" s="324"/>
      <c r="AX101" s="324"/>
      <c r="AY101" s="324"/>
      <c r="AZ101" s="324"/>
    </row>
    <row r="102" spans="1:52">
      <c r="A102" t="s">
        <v>525</v>
      </c>
      <c r="B102"/>
      <c r="C102"/>
      <c r="D102"/>
      <c r="E102"/>
      <c r="F102"/>
      <c r="G102"/>
      <c r="H102"/>
      <c r="I102"/>
      <c r="J102"/>
      <c r="K102"/>
      <c r="L102"/>
      <c r="M102"/>
      <c r="N102" s="324"/>
      <c r="O102" s="324"/>
      <c r="P102" s="324"/>
      <c r="Q102" s="324"/>
      <c r="R102" s="324"/>
      <c r="S102" s="324"/>
      <c r="T102" s="324"/>
      <c r="U102" s="324"/>
      <c r="V102" s="324"/>
      <c r="W102" s="324"/>
      <c r="X102" s="324"/>
      <c r="Y102" s="324"/>
      <c r="Z102" s="324"/>
      <c r="AA102" s="324"/>
      <c r="AB102" s="324"/>
      <c r="AC102" s="324"/>
      <c r="AD102" s="324"/>
      <c r="AE102" s="324"/>
      <c r="AF102" s="324"/>
      <c r="AG102" s="324"/>
      <c r="AH102" s="324"/>
      <c r="AI102" s="324"/>
      <c r="AJ102" s="324"/>
      <c r="AK102" s="324"/>
      <c r="AL102" s="324"/>
      <c r="AM102" s="324"/>
      <c r="AN102" s="324"/>
      <c r="AO102" s="324"/>
      <c r="AP102" s="324"/>
      <c r="AQ102" s="324"/>
      <c r="AR102" s="324"/>
      <c r="AS102" s="324"/>
      <c r="AT102" s="324"/>
      <c r="AU102" s="324"/>
      <c r="AV102" s="324"/>
      <c r="AW102" s="324"/>
      <c r="AX102" s="324"/>
      <c r="AY102" s="324"/>
      <c r="AZ102" s="324"/>
    </row>
    <row r="103" spans="1:52">
      <c r="A103"/>
      <c r="B103"/>
      <c r="C103"/>
      <c r="D103"/>
      <c r="E103" s="245" t="s">
        <v>526</v>
      </c>
      <c r="F103" s="245" t="s">
        <v>527</v>
      </c>
      <c r="G103" s="245" t="s">
        <v>528</v>
      </c>
      <c r="H103"/>
      <c r="I103"/>
      <c r="J103"/>
      <c r="K103"/>
      <c r="L103"/>
      <c r="M103"/>
      <c r="N103" s="324"/>
      <c r="O103" s="324"/>
      <c r="P103" s="324"/>
      <c r="Q103" s="324"/>
      <c r="R103" s="324"/>
      <c r="S103" s="324"/>
      <c r="T103" s="324"/>
      <c r="U103" s="324"/>
      <c r="V103" s="324"/>
      <c r="W103" s="324"/>
      <c r="X103" s="324"/>
      <c r="Y103" s="324"/>
      <c r="Z103" s="324"/>
      <c r="AA103" s="324"/>
      <c r="AB103" s="324"/>
      <c r="AC103" s="324"/>
      <c r="AD103" s="324"/>
      <c r="AE103" s="324"/>
      <c r="AF103" s="324"/>
      <c r="AG103" s="324"/>
      <c r="AH103" s="324"/>
      <c r="AI103" s="324"/>
      <c r="AJ103" s="324"/>
      <c r="AK103" s="324"/>
      <c r="AL103" s="324"/>
      <c r="AM103" s="324"/>
      <c r="AN103" s="324"/>
      <c r="AO103" s="324"/>
      <c r="AP103" s="324"/>
      <c r="AQ103" s="324"/>
      <c r="AR103" s="324"/>
      <c r="AS103" s="324"/>
      <c r="AT103" s="324"/>
      <c r="AU103" s="324"/>
      <c r="AV103" s="324"/>
      <c r="AW103" s="324"/>
      <c r="AX103" s="324"/>
      <c r="AY103" s="324"/>
      <c r="AZ103" s="324"/>
    </row>
    <row r="104" spans="1:52">
      <c r="A104"/>
      <c r="B104"/>
      <c r="C104" s="285" t="s">
        <v>529</v>
      </c>
      <c r="D104"/>
      <c r="E104" s="286" t="s">
        <v>4</v>
      </c>
      <c r="F104" s="287" t="s">
        <v>530</v>
      </c>
      <c r="G104" s="287" t="s">
        <v>4</v>
      </c>
      <c r="H104" s="287"/>
      <c r="I104" s="287"/>
      <c r="J104" s="287"/>
      <c r="K104" s="287"/>
      <c r="L104" s="288"/>
      <c r="M104"/>
      <c r="N104" s="324"/>
      <c r="O104" s="324"/>
      <c r="P104" s="324"/>
      <c r="Q104" s="324"/>
      <c r="R104" s="324"/>
      <c r="S104" s="324"/>
      <c r="T104" s="324"/>
      <c r="U104" s="324"/>
      <c r="V104" s="324"/>
      <c r="W104" s="324"/>
      <c r="X104" s="324"/>
      <c r="Y104" s="324"/>
      <c r="Z104" s="324"/>
      <c r="AA104" s="324"/>
      <c r="AB104" s="324"/>
      <c r="AC104" s="324"/>
      <c r="AD104" s="324"/>
      <c r="AE104" s="324"/>
      <c r="AF104" s="324"/>
      <c r="AG104" s="324"/>
      <c r="AH104" s="324"/>
      <c r="AI104" s="324"/>
      <c r="AJ104" s="324"/>
      <c r="AK104" s="324"/>
      <c r="AL104" s="324"/>
      <c r="AM104" s="324"/>
      <c r="AN104" s="324"/>
      <c r="AO104" s="324"/>
      <c r="AP104" s="324"/>
      <c r="AQ104" s="324"/>
      <c r="AR104" s="324"/>
      <c r="AS104" s="324"/>
      <c r="AT104" s="324"/>
      <c r="AU104" s="324"/>
      <c r="AV104" s="324"/>
      <c r="AW104" s="324"/>
      <c r="AX104" s="324"/>
      <c r="AY104" s="324"/>
      <c r="AZ104" s="324"/>
    </row>
    <row r="105" spans="1:52">
      <c r="A105" t="s">
        <v>531</v>
      </c>
      <c r="B105"/>
      <c r="C105" s="285" t="s">
        <v>532</v>
      </c>
      <c r="D105"/>
      <c r="E105" s="286" t="s">
        <v>533</v>
      </c>
      <c r="F105" s="287" t="s">
        <v>534</v>
      </c>
      <c r="G105" s="287" t="s">
        <v>535</v>
      </c>
      <c r="H105" s="287"/>
      <c r="I105" s="287"/>
      <c r="J105" s="287"/>
      <c r="K105" s="287"/>
      <c r="L105" s="288"/>
      <c r="M105"/>
      <c r="N105" s="324"/>
      <c r="O105" s="324"/>
      <c r="P105" s="324"/>
      <c r="Q105" s="324"/>
      <c r="R105" s="324"/>
      <c r="S105" s="324"/>
      <c r="T105" s="324"/>
      <c r="U105" s="324"/>
      <c r="V105" s="324"/>
      <c r="W105" s="324"/>
      <c r="X105" s="324"/>
      <c r="Y105" s="324"/>
      <c r="Z105" s="324"/>
      <c r="AA105" s="324"/>
      <c r="AB105" s="324"/>
      <c r="AC105" s="324"/>
      <c r="AD105" s="324"/>
      <c r="AE105" s="324"/>
      <c r="AF105" s="324"/>
      <c r="AG105" s="324"/>
      <c r="AH105" s="324"/>
      <c r="AI105" s="324"/>
      <c r="AJ105" s="324"/>
      <c r="AK105" s="324"/>
      <c r="AL105" s="324"/>
      <c r="AM105" s="324"/>
      <c r="AN105" s="324"/>
      <c r="AO105" s="324"/>
      <c r="AP105" s="324"/>
      <c r="AQ105" s="324"/>
      <c r="AR105" s="324"/>
      <c r="AS105" s="324"/>
      <c r="AT105" s="324"/>
      <c r="AU105" s="324"/>
      <c r="AV105" s="324"/>
      <c r="AW105" s="324"/>
      <c r="AX105" s="324"/>
      <c r="AY105" s="324"/>
      <c r="AZ105" s="324"/>
    </row>
    <row r="106" spans="1:52">
      <c r="A106" t="s">
        <v>536</v>
      </c>
      <c r="B106"/>
      <c r="C106" s="285" t="s">
        <v>537</v>
      </c>
      <c r="D106"/>
      <c r="E106" s="289" t="s">
        <v>5</v>
      </c>
      <c r="F106" s="287" t="s">
        <v>8</v>
      </c>
      <c r="G106" s="287"/>
      <c r="H106" s="287"/>
      <c r="I106" s="287"/>
      <c r="J106" s="287"/>
      <c r="K106" s="287"/>
      <c r="L106" s="288"/>
      <c r="M106"/>
      <c r="N106" s="324"/>
      <c r="O106" s="324"/>
      <c r="P106" s="324"/>
      <c r="Q106" s="324"/>
      <c r="R106" s="324"/>
      <c r="S106" s="324"/>
      <c r="T106" s="324"/>
      <c r="U106" s="324"/>
      <c r="V106" s="324"/>
      <c r="W106" s="324"/>
      <c r="X106" s="324"/>
      <c r="Y106" s="324"/>
      <c r="Z106" s="324"/>
      <c r="AA106" s="324"/>
      <c r="AB106" s="324"/>
      <c r="AC106" s="324"/>
      <c r="AD106" s="324"/>
      <c r="AE106" s="324"/>
      <c r="AF106" s="324"/>
      <c r="AG106" s="324"/>
      <c r="AH106" s="324"/>
      <c r="AI106" s="324"/>
      <c r="AJ106" s="324"/>
      <c r="AK106" s="324"/>
      <c r="AL106" s="324"/>
      <c r="AM106" s="324"/>
      <c r="AN106" s="324"/>
      <c r="AO106" s="324"/>
      <c r="AP106" s="324"/>
      <c r="AQ106" s="324"/>
      <c r="AR106" s="324"/>
      <c r="AS106" s="324"/>
      <c r="AT106" s="324"/>
      <c r="AU106" s="324"/>
      <c r="AV106" s="324"/>
      <c r="AW106" s="324"/>
      <c r="AX106" s="324"/>
      <c r="AY106" s="324"/>
      <c r="AZ106" s="324"/>
    </row>
    <row r="107" spans="1:52">
      <c r="A107" t="s">
        <v>538</v>
      </c>
      <c r="B107"/>
      <c r="C107"/>
      <c r="D107"/>
      <c r="E107"/>
      <c r="F107"/>
      <c r="G107"/>
      <c r="H107"/>
      <c r="I107"/>
      <c r="J107"/>
      <c r="K107"/>
      <c r="L107"/>
      <c r="M107"/>
      <c r="N107" s="324"/>
      <c r="O107" s="324"/>
      <c r="P107" s="324"/>
      <c r="Q107" s="324"/>
      <c r="R107" s="324"/>
      <c r="S107" s="324"/>
      <c r="T107" s="324"/>
      <c r="U107" s="324"/>
      <c r="V107" s="324"/>
      <c r="W107" s="324"/>
      <c r="X107" s="324"/>
      <c r="Y107" s="324"/>
      <c r="Z107" s="324"/>
      <c r="AA107" s="324"/>
      <c r="AB107" s="324"/>
      <c r="AC107" s="324"/>
      <c r="AD107" s="324"/>
      <c r="AE107" s="324"/>
      <c r="AF107" s="324"/>
      <c r="AG107" s="324"/>
      <c r="AH107" s="324"/>
      <c r="AI107" s="324"/>
      <c r="AJ107" s="324"/>
      <c r="AK107" s="324"/>
      <c r="AL107" s="324"/>
      <c r="AM107" s="324"/>
      <c r="AN107" s="324"/>
      <c r="AO107" s="324"/>
      <c r="AP107" s="324"/>
      <c r="AQ107" s="324"/>
      <c r="AR107" s="324"/>
      <c r="AS107" s="324"/>
      <c r="AT107" s="324"/>
      <c r="AU107" s="324"/>
      <c r="AV107" s="324"/>
      <c r="AW107" s="324"/>
      <c r="AX107" s="324"/>
      <c r="AY107" s="324"/>
      <c r="AZ107" s="324"/>
    </row>
    <row r="108" spans="1:52">
      <c r="A108" t="s">
        <v>244</v>
      </c>
      <c r="B108"/>
      <c r="C108"/>
      <c r="D108"/>
      <c r="E108"/>
      <c r="F108"/>
      <c r="G108"/>
      <c r="H108"/>
      <c r="I108"/>
      <c r="J108"/>
      <c r="K108"/>
      <c r="L108"/>
      <c r="M108"/>
      <c r="N108" s="324"/>
      <c r="O108" s="324"/>
      <c r="P108" s="324"/>
      <c r="Q108" s="324"/>
      <c r="R108" s="324"/>
      <c r="S108" s="324"/>
      <c r="T108" s="324"/>
      <c r="U108" s="324"/>
      <c r="V108" s="324"/>
      <c r="W108" s="324"/>
      <c r="X108" s="324"/>
      <c r="Y108" s="324"/>
      <c r="Z108" s="324"/>
      <c r="AA108" s="324"/>
      <c r="AB108" s="324"/>
      <c r="AC108" s="324"/>
      <c r="AD108" s="324"/>
      <c r="AE108" s="324"/>
      <c r="AF108" s="324"/>
      <c r="AG108" s="324"/>
      <c r="AH108" s="324"/>
      <c r="AI108" s="324"/>
      <c r="AJ108" s="324"/>
      <c r="AK108" s="324"/>
      <c r="AL108" s="324"/>
      <c r="AM108" s="324"/>
      <c r="AN108" s="324"/>
      <c r="AO108" s="324"/>
      <c r="AP108" s="324"/>
      <c r="AQ108" s="324"/>
      <c r="AR108" s="324"/>
      <c r="AS108" s="324"/>
      <c r="AT108" s="324"/>
      <c r="AU108" s="324"/>
      <c r="AV108" s="324"/>
      <c r="AW108" s="324"/>
      <c r="AX108" s="324"/>
      <c r="AY108" s="324"/>
      <c r="AZ108" s="324"/>
    </row>
    <row r="109" spans="1:52">
      <c r="A109"/>
      <c r="B109"/>
      <c r="C109"/>
      <c r="D109"/>
      <c r="E109"/>
      <c r="F109"/>
      <c r="G109"/>
      <c r="H109"/>
      <c r="I109"/>
      <c r="J109"/>
      <c r="K109"/>
      <c r="L109"/>
      <c r="M109"/>
      <c r="N109" s="324"/>
      <c r="O109" s="324"/>
      <c r="P109" s="324"/>
      <c r="Q109" s="324"/>
      <c r="R109" s="324"/>
      <c r="S109" s="324"/>
      <c r="T109" s="324"/>
      <c r="U109" s="324"/>
      <c r="V109" s="324"/>
      <c r="W109" s="324"/>
      <c r="X109" s="324"/>
      <c r="Y109" s="324"/>
      <c r="Z109" s="324"/>
      <c r="AA109" s="324"/>
      <c r="AB109" s="324"/>
      <c r="AC109" s="324"/>
      <c r="AD109" s="324"/>
      <c r="AE109" s="324"/>
      <c r="AF109" s="324"/>
      <c r="AG109" s="324"/>
      <c r="AH109" s="324"/>
      <c r="AI109" s="324"/>
      <c r="AJ109" s="324"/>
      <c r="AK109" s="324"/>
      <c r="AL109" s="324"/>
      <c r="AM109" s="324"/>
      <c r="AN109" s="324"/>
      <c r="AO109" s="324"/>
      <c r="AP109" s="324"/>
      <c r="AQ109" s="324"/>
      <c r="AR109" s="324"/>
      <c r="AS109" s="324"/>
      <c r="AT109" s="324"/>
      <c r="AU109" s="324"/>
      <c r="AV109" s="324"/>
      <c r="AW109" s="324"/>
      <c r="AX109" s="324"/>
      <c r="AY109" s="324"/>
      <c r="AZ109" s="324"/>
    </row>
    <row r="110" spans="1:52" ht="16" customHeight="1">
      <c r="A110" s="245" t="s">
        <v>539</v>
      </c>
      <c r="B110"/>
      <c r="C110" s="245" t="s">
        <v>540</v>
      </c>
      <c r="D110"/>
      <c r="E110" s="290" t="s">
        <v>541</v>
      </c>
      <c r="F110" s="290" t="s">
        <v>542</v>
      </c>
      <c r="G110" s="290" t="s">
        <v>542</v>
      </c>
      <c r="H110" s="290"/>
      <c r="I110" s="290"/>
      <c r="J110" s="291"/>
      <c r="K110"/>
      <c r="L110"/>
      <c r="M110"/>
      <c r="N110" s="324"/>
      <c r="O110" s="324"/>
      <c r="P110" s="324"/>
      <c r="Q110" s="324"/>
      <c r="R110" s="324"/>
      <c r="S110" s="324"/>
      <c r="T110" s="324"/>
      <c r="U110" s="324"/>
      <c r="V110" s="324"/>
      <c r="W110" s="324"/>
      <c r="X110" s="324"/>
      <c r="Y110" s="324"/>
      <c r="Z110" s="324"/>
      <c r="AA110" s="324"/>
      <c r="AB110" s="324"/>
      <c r="AC110" s="324"/>
      <c r="AD110" s="324"/>
      <c r="AE110" s="324"/>
      <c r="AF110" s="324"/>
      <c r="AG110" s="324"/>
      <c r="AH110" s="324"/>
      <c r="AI110" s="324"/>
      <c r="AJ110" s="324"/>
      <c r="AK110" s="324"/>
      <c r="AL110" s="324"/>
      <c r="AM110" s="324"/>
      <c r="AN110" s="324"/>
      <c r="AO110" s="324"/>
      <c r="AP110" s="324"/>
      <c r="AQ110" s="324"/>
      <c r="AR110" s="324"/>
      <c r="AS110" s="324"/>
      <c r="AT110" s="324"/>
      <c r="AU110" s="324"/>
      <c r="AV110" s="324"/>
      <c r="AW110" s="324"/>
      <c r="AX110" s="324"/>
      <c r="AY110" s="324"/>
      <c r="AZ110" s="324"/>
    </row>
    <row r="111" spans="1:52" ht="16" customHeight="1">
      <c r="A111" s="292" t="s">
        <v>543</v>
      </c>
      <c r="B111" s="292"/>
      <c r="C111" s="293" t="s">
        <v>544</v>
      </c>
      <c r="D111" s="293"/>
      <c r="E111" s="294" t="s">
        <v>545</v>
      </c>
      <c r="F111" s="295" t="s">
        <v>546</v>
      </c>
      <c r="G111" s="283" t="s">
        <v>547</v>
      </c>
      <c r="H111" s="283"/>
      <c r="I111" s="283"/>
      <c r="J111" s="283"/>
      <c r="K111" s="283"/>
      <c r="L111" s="283"/>
      <c r="M111"/>
      <c r="N111" s="324"/>
      <c r="O111" s="324"/>
      <c r="P111" s="324"/>
      <c r="Q111" s="324"/>
      <c r="R111" s="324"/>
      <c r="S111" s="324"/>
      <c r="T111" s="324"/>
      <c r="U111" s="324"/>
      <c r="V111" s="324"/>
      <c r="W111" s="324"/>
      <c r="X111" s="324"/>
      <c r="Y111" s="324"/>
      <c r="Z111" s="324"/>
      <c r="AA111" s="324"/>
      <c r="AB111" s="324"/>
      <c r="AC111" s="324"/>
      <c r="AD111" s="324"/>
      <c r="AE111" s="324"/>
      <c r="AF111" s="324"/>
      <c r="AG111" s="324"/>
      <c r="AH111" s="324"/>
      <c r="AI111" s="324"/>
      <c r="AJ111" s="324"/>
      <c r="AK111" s="324"/>
      <c r="AL111" s="324"/>
      <c r="AM111" s="324"/>
      <c r="AN111" s="324"/>
      <c r="AO111" s="324"/>
      <c r="AP111" s="324"/>
      <c r="AQ111" s="324"/>
      <c r="AR111" s="324"/>
      <c r="AS111" s="324"/>
      <c r="AT111" s="324"/>
      <c r="AU111" s="324"/>
      <c r="AV111" s="324"/>
      <c r="AW111" s="324"/>
      <c r="AX111" s="324"/>
      <c r="AY111" s="324"/>
      <c r="AZ111" s="324"/>
    </row>
    <row r="112" spans="1:52" ht="16" customHeight="1">
      <c r="A112" s="296" t="s">
        <v>548</v>
      </c>
      <c r="B112" s="296"/>
      <c r="C112" s="293" t="s">
        <v>549</v>
      </c>
      <c r="D112" s="293"/>
      <c r="E112" s="294" t="s">
        <v>713</v>
      </c>
      <c r="F112" s="295" t="s">
        <v>243</v>
      </c>
      <c r="G112" s="283" t="s">
        <v>550</v>
      </c>
      <c r="H112" s="283"/>
      <c r="I112" s="283"/>
      <c r="J112" s="283"/>
      <c r="K112" s="283"/>
      <c r="L112" s="283"/>
      <c r="M112"/>
      <c r="N112" s="324"/>
      <c r="O112" s="324"/>
      <c r="P112" s="324"/>
      <c r="Q112" s="324"/>
      <c r="R112" s="324"/>
      <c r="S112" s="324"/>
      <c r="T112" s="324"/>
      <c r="U112" s="324"/>
      <c r="V112" s="324"/>
      <c r="W112" s="324"/>
      <c r="X112" s="324"/>
      <c r="Y112" s="324"/>
      <c r="Z112" s="324"/>
      <c r="AA112" s="324"/>
      <c r="AB112" s="324"/>
      <c r="AC112" s="324"/>
      <c r="AD112" s="324"/>
      <c r="AE112" s="324"/>
      <c r="AF112" s="324"/>
      <c r="AG112" s="324"/>
      <c r="AH112" s="324"/>
      <c r="AI112" s="324"/>
      <c r="AJ112" s="324"/>
      <c r="AK112" s="324"/>
      <c r="AL112" s="324"/>
      <c r="AM112" s="324"/>
      <c r="AN112" s="324"/>
      <c r="AO112" s="324"/>
      <c r="AP112" s="324"/>
      <c r="AQ112" s="324"/>
      <c r="AR112" s="324"/>
      <c r="AS112" s="324"/>
      <c r="AT112" s="324"/>
      <c r="AU112" s="324"/>
      <c r="AV112" s="324"/>
      <c r="AW112" s="324"/>
      <c r="AX112" s="324"/>
      <c r="AY112" s="324"/>
      <c r="AZ112" s="324"/>
    </row>
    <row r="113" spans="1:90" ht="16" customHeight="1">
      <c r="A113" s="297" t="s">
        <v>551</v>
      </c>
      <c r="B113" s="297"/>
      <c r="C113" s="293" t="s">
        <v>552</v>
      </c>
      <c r="D113" s="293"/>
      <c r="E113" s="294" t="s">
        <v>714</v>
      </c>
      <c r="F113" s="295" t="s">
        <v>525</v>
      </c>
      <c r="G113" s="283" t="s">
        <v>525</v>
      </c>
      <c r="H113" s="283"/>
      <c r="I113" s="283"/>
      <c r="J113" s="283"/>
      <c r="K113" s="283"/>
      <c r="L113" s="283"/>
      <c r="M113"/>
      <c r="N113" s="324"/>
      <c r="O113" s="324"/>
      <c r="P113" s="324"/>
      <c r="Q113" s="324"/>
      <c r="R113" s="324"/>
      <c r="S113" s="324"/>
      <c r="T113" s="324"/>
      <c r="U113" s="324"/>
      <c r="V113" s="324"/>
      <c r="W113" s="324"/>
      <c r="X113" s="324"/>
      <c r="Y113" s="324"/>
      <c r="Z113" s="324"/>
      <c r="AA113" s="324"/>
      <c r="AB113" s="324"/>
      <c r="AC113" s="324"/>
      <c r="AD113" s="324"/>
      <c r="AE113" s="324"/>
      <c r="AF113" s="324"/>
      <c r="AG113" s="324"/>
      <c r="AH113" s="324"/>
      <c r="AI113" s="324"/>
      <c r="AJ113" s="324"/>
      <c r="AK113" s="324"/>
      <c r="AL113" s="324"/>
      <c r="AM113" s="324"/>
      <c r="AN113" s="324"/>
      <c r="AO113" s="324"/>
      <c r="AP113" s="324"/>
      <c r="AQ113" s="324"/>
      <c r="AR113" s="324"/>
      <c r="AS113" s="324"/>
      <c r="AT113" s="324"/>
      <c r="AU113" s="324"/>
      <c r="AV113" s="324"/>
      <c r="AW113" s="324"/>
      <c r="AX113" s="324"/>
      <c r="AY113" s="324"/>
      <c r="AZ113" s="324"/>
      <c r="BA113" s="324"/>
      <c r="BB113" s="324"/>
      <c r="BC113" s="324"/>
      <c r="BD113" s="324"/>
      <c r="BE113" s="324"/>
      <c r="BF113" s="324"/>
      <c r="BG113" s="324"/>
      <c r="BH113" s="324"/>
      <c r="BI113" s="324"/>
      <c r="BJ113" s="324"/>
      <c r="BK113" s="324"/>
      <c r="BL113" s="324"/>
      <c r="BM113" s="324"/>
      <c r="BN113" s="324"/>
      <c r="BO113" s="324"/>
      <c r="BP113" s="324"/>
      <c r="BQ113" s="324"/>
      <c r="BR113" s="324"/>
      <c r="BS113" s="324"/>
      <c r="BT113" s="324"/>
      <c r="BU113" s="324"/>
      <c r="BV113" s="324"/>
      <c r="BW113" s="324"/>
      <c r="BX113" s="324"/>
      <c r="BY113" s="324"/>
      <c r="BZ113" s="324"/>
      <c r="CA113" s="324"/>
      <c r="CB113" s="324"/>
      <c r="CC113" s="324"/>
      <c r="CD113" s="324"/>
      <c r="CE113" s="324"/>
      <c r="CF113" s="324"/>
      <c r="CG113" s="324"/>
      <c r="CH113" s="324"/>
      <c r="CI113" s="324"/>
      <c r="CJ113" s="324"/>
      <c r="CK113" s="324"/>
      <c r="CL113" s="324"/>
    </row>
    <row r="114" spans="1:90" ht="16" customHeight="1">
      <c r="A114" s="297" t="s">
        <v>554</v>
      </c>
      <c r="B114" s="297"/>
      <c r="C114" s="293" t="s">
        <v>555</v>
      </c>
      <c r="D114" s="293"/>
      <c r="E114" s="293" t="s">
        <v>715</v>
      </c>
      <c r="F114" s="293"/>
      <c r="G114" s="293"/>
      <c r="H114" s="293"/>
      <c r="I114" s="298"/>
      <c r="J114"/>
      <c r="K114"/>
      <c r="L114"/>
      <c r="M114"/>
      <c r="N114" s="324"/>
      <c r="O114" s="324"/>
      <c r="P114" s="324"/>
      <c r="Q114" s="324"/>
      <c r="R114" s="324"/>
      <c r="S114" s="324"/>
      <c r="T114" s="324"/>
      <c r="U114" s="324"/>
      <c r="V114" s="324"/>
      <c r="W114" s="324"/>
      <c r="X114" s="324"/>
      <c r="Y114" s="324"/>
      <c r="Z114" s="324"/>
      <c r="AA114" s="324"/>
      <c r="AB114" s="324"/>
      <c r="AC114" s="324"/>
      <c r="AD114" s="324"/>
      <c r="AE114" s="324"/>
      <c r="AF114" s="324"/>
      <c r="AG114" s="324"/>
      <c r="AH114" s="324"/>
      <c r="AI114" s="324"/>
      <c r="AJ114" s="324"/>
      <c r="AK114" s="324"/>
      <c r="AL114" s="324"/>
      <c r="AM114" s="324"/>
      <c r="AN114" s="324"/>
      <c r="AO114" s="324"/>
      <c r="AP114" s="324"/>
      <c r="AQ114" s="324"/>
      <c r="AR114" s="324"/>
      <c r="AS114" s="324"/>
      <c r="AT114" s="324"/>
      <c r="AU114" s="324"/>
      <c r="AV114" s="324"/>
      <c r="AW114" s="324"/>
      <c r="AX114" s="324"/>
      <c r="AY114" s="324"/>
      <c r="AZ114" s="324"/>
      <c r="BA114" s="324"/>
      <c r="BB114" s="324"/>
      <c r="BC114" s="324"/>
      <c r="BD114" s="324"/>
      <c r="BE114" s="324"/>
      <c r="BF114" s="324"/>
      <c r="BG114" s="324"/>
      <c r="BH114" s="324"/>
      <c r="BI114" s="324"/>
      <c r="BJ114" s="324"/>
      <c r="BK114" s="324"/>
      <c r="BL114" s="324"/>
      <c r="BM114" s="324"/>
      <c r="BN114" s="324"/>
      <c r="BO114" s="324"/>
      <c r="BP114" s="324"/>
      <c r="BQ114" s="324"/>
      <c r="BR114" s="324"/>
      <c r="BS114" s="324"/>
      <c r="BT114" s="324"/>
      <c r="BU114" s="324"/>
      <c r="BV114" s="324"/>
      <c r="BW114" s="324"/>
      <c r="BX114" s="324"/>
      <c r="BY114" s="324"/>
      <c r="BZ114" s="324"/>
      <c r="CA114" s="324"/>
      <c r="CB114" s="324"/>
      <c r="CC114" s="324"/>
      <c r="CD114" s="324"/>
      <c r="CE114" s="324"/>
      <c r="CF114" s="324"/>
      <c r="CG114" s="324"/>
      <c r="CH114" s="324"/>
      <c r="CI114" s="324"/>
      <c r="CJ114" s="324"/>
      <c r="CK114" s="324"/>
      <c r="CL114" s="324"/>
    </row>
    <row r="115" spans="1:90" ht="16" customHeight="1">
      <c r="A115" s="297" t="s">
        <v>556</v>
      </c>
      <c r="B115" s="297"/>
      <c r="C115" s="293" t="s">
        <v>557</v>
      </c>
      <c r="D115" s="293"/>
      <c r="E115" s="293"/>
      <c r="F115" s="293"/>
      <c r="G115" s="293"/>
      <c r="H115" s="293"/>
      <c r="I115" s="298"/>
      <c r="J115"/>
      <c r="K115"/>
      <c r="L115"/>
      <c r="M115"/>
      <c r="N115" s="324"/>
      <c r="O115" s="324"/>
      <c r="P115" s="324"/>
      <c r="Q115" s="324"/>
      <c r="R115" s="324"/>
      <c r="S115" s="324"/>
      <c r="T115" s="324"/>
      <c r="U115" s="324"/>
      <c r="V115" s="324"/>
      <c r="W115" s="324"/>
      <c r="X115" s="324"/>
      <c r="Y115" s="324"/>
      <c r="Z115" s="324"/>
      <c r="AA115" s="324"/>
      <c r="AB115" s="324"/>
      <c r="AC115" s="324"/>
      <c r="AD115" s="324"/>
      <c r="AE115" s="324"/>
      <c r="AF115" s="324"/>
      <c r="AG115" s="324"/>
      <c r="AH115" s="324"/>
      <c r="AI115" s="324"/>
      <c r="AJ115" s="324"/>
      <c r="AK115" s="324"/>
      <c r="AL115" s="324"/>
      <c r="AM115" s="324"/>
      <c r="AN115" s="324"/>
      <c r="AO115" s="324"/>
      <c r="AP115" s="324"/>
      <c r="AQ115" s="324"/>
      <c r="AR115" s="324"/>
      <c r="AS115" s="324"/>
      <c r="AT115" s="324"/>
      <c r="AU115" s="324"/>
      <c r="AV115" s="324"/>
      <c r="AW115" s="324"/>
      <c r="AX115" s="324"/>
      <c r="AY115" s="324"/>
      <c r="AZ115" s="324"/>
      <c r="BA115" s="324"/>
      <c r="BB115" s="324"/>
      <c r="BC115" s="324"/>
      <c r="BD115" s="324"/>
      <c r="BE115" s="324"/>
      <c r="BF115" s="324"/>
      <c r="BG115" s="324"/>
      <c r="BH115" s="324"/>
      <c r="BI115" s="324"/>
      <c r="BJ115" s="324"/>
      <c r="BK115" s="324"/>
      <c r="BL115" s="324"/>
      <c r="BM115" s="324"/>
      <c r="BN115" s="324"/>
      <c r="BO115" s="324"/>
      <c r="BP115" s="324"/>
      <c r="BQ115" s="324"/>
      <c r="BR115" s="324"/>
      <c r="BS115" s="324"/>
      <c r="BT115" s="324"/>
      <c r="BU115" s="324"/>
      <c r="BV115" s="324"/>
      <c r="BW115" s="324"/>
      <c r="BX115" s="324"/>
      <c r="BY115" s="324"/>
      <c r="BZ115" s="324"/>
      <c r="CA115" s="324"/>
      <c r="CB115" s="324"/>
      <c r="CC115" s="324"/>
      <c r="CD115" s="324"/>
      <c r="CE115" s="324"/>
      <c r="CF115" s="324"/>
      <c r="CG115" s="324"/>
      <c r="CH115" s="324"/>
      <c r="CI115" s="324"/>
      <c r="CJ115" s="324"/>
      <c r="CK115" s="324"/>
      <c r="CL115" s="324"/>
    </row>
    <row r="116" spans="1:90" ht="16" customHeight="1">
      <c r="A116" s="296" t="s">
        <v>558</v>
      </c>
      <c r="B116" s="296"/>
      <c r="C116" s="293" t="s">
        <v>559</v>
      </c>
      <c r="D116" s="293"/>
      <c r="E116" s="293"/>
      <c r="F116" s="293"/>
      <c r="G116" s="293"/>
      <c r="H116" s="293"/>
      <c r="I116" s="298"/>
      <c r="J116"/>
      <c r="K116"/>
      <c r="L116"/>
      <c r="M116"/>
      <c r="N116" s="324"/>
      <c r="O116" s="324"/>
      <c r="P116" s="324"/>
      <c r="Q116" s="324"/>
      <c r="R116" s="324"/>
      <c r="S116" s="324"/>
      <c r="T116" s="324"/>
      <c r="U116" s="324"/>
      <c r="V116" s="324"/>
      <c r="W116" s="324"/>
      <c r="X116" s="324"/>
      <c r="Y116" s="324"/>
      <c r="Z116" s="324"/>
      <c r="AA116" s="324"/>
      <c r="AB116" s="324"/>
      <c r="AC116" s="324"/>
      <c r="AD116" s="324"/>
      <c r="AE116" s="324"/>
      <c r="AF116" s="324"/>
      <c r="AG116" s="324"/>
      <c r="AH116" s="324"/>
      <c r="AI116" s="324"/>
      <c r="AJ116" s="324"/>
      <c r="AK116" s="324"/>
      <c r="AL116" s="324"/>
      <c r="AM116" s="324"/>
      <c r="AN116" s="324"/>
      <c r="AO116" s="324"/>
      <c r="AP116" s="324"/>
      <c r="AQ116" s="324"/>
      <c r="AR116" s="324"/>
      <c r="AS116" s="324"/>
      <c r="AT116" s="324"/>
      <c r="AU116" s="324"/>
      <c r="AV116" s="324"/>
      <c r="AW116" s="324"/>
      <c r="AX116" s="324"/>
      <c r="AY116" s="324"/>
      <c r="AZ116" s="324"/>
      <c r="BA116" s="324"/>
      <c r="BB116" s="324"/>
      <c r="BC116" s="324"/>
      <c r="BD116" s="324"/>
      <c r="BE116" s="324"/>
      <c r="BF116" s="324"/>
      <c r="BG116" s="324"/>
      <c r="BH116" s="324"/>
      <c r="BI116" s="324"/>
      <c r="BJ116" s="324"/>
      <c r="BK116" s="324"/>
      <c r="BL116" s="324"/>
      <c r="BM116" s="324"/>
      <c r="BN116" s="324"/>
      <c r="BO116" s="324"/>
      <c r="BP116" s="324"/>
      <c r="BQ116" s="324"/>
      <c r="BR116" s="324"/>
      <c r="BS116" s="324"/>
      <c r="BT116" s="324"/>
      <c r="BU116" s="324"/>
      <c r="BV116" s="324"/>
      <c r="BW116" s="324"/>
      <c r="BX116" s="324"/>
      <c r="BY116" s="324"/>
      <c r="BZ116" s="324"/>
      <c r="CA116" s="324"/>
      <c r="CB116" s="324"/>
      <c r="CC116" s="324"/>
      <c r="CD116" s="324"/>
      <c r="CE116" s="324"/>
      <c r="CF116" s="324"/>
      <c r="CG116" s="324"/>
      <c r="CH116" s="324"/>
      <c r="CI116" s="324"/>
      <c r="CJ116" s="324"/>
      <c r="CK116" s="324"/>
      <c r="CL116" s="324"/>
    </row>
    <row r="117" spans="1:90">
      <c r="A117"/>
      <c r="B117"/>
      <c r="C117"/>
      <c r="D117"/>
      <c r="E117"/>
      <c r="F117"/>
      <c r="G117"/>
      <c r="H117"/>
      <c r="I117"/>
      <c r="J117"/>
      <c r="K117"/>
      <c r="L117"/>
      <c r="M117"/>
      <c r="N117" s="324"/>
      <c r="O117" s="324"/>
      <c r="P117" s="324"/>
      <c r="Q117" s="324"/>
      <c r="R117" s="324"/>
      <c r="S117" s="324"/>
      <c r="T117" s="324"/>
      <c r="U117" s="324"/>
      <c r="V117" s="324"/>
      <c r="W117" s="324"/>
      <c r="X117" s="324"/>
      <c r="Y117" s="324"/>
      <c r="Z117" s="324"/>
      <c r="AA117" s="324"/>
      <c r="AB117" s="324"/>
      <c r="AC117" s="324"/>
      <c r="AD117" s="324"/>
      <c r="AE117" s="324"/>
      <c r="AF117" s="324"/>
      <c r="AG117" s="324"/>
      <c r="AH117" s="324"/>
      <c r="AI117" s="324"/>
      <c r="AJ117" s="324"/>
      <c r="AK117" s="324"/>
      <c r="AL117" s="324"/>
      <c r="AM117" s="324"/>
      <c r="AN117" s="324"/>
      <c r="AO117" s="324"/>
      <c r="AP117" s="324"/>
      <c r="AQ117" s="324"/>
      <c r="AR117" s="324"/>
      <c r="AS117" s="324"/>
      <c r="AT117" s="324"/>
      <c r="AU117" s="324"/>
      <c r="AV117" s="324"/>
      <c r="AW117" s="324"/>
      <c r="AX117" s="324"/>
      <c r="AY117" s="324"/>
      <c r="AZ117" s="324"/>
      <c r="BA117" s="324"/>
      <c r="BB117" s="324"/>
      <c r="BC117" s="324"/>
      <c r="BD117" s="324"/>
      <c r="BE117" s="324"/>
      <c r="BF117" s="324"/>
      <c r="BG117" s="324"/>
      <c r="BH117" s="324"/>
      <c r="BI117" s="324"/>
      <c r="BJ117" s="324"/>
      <c r="BK117" s="324"/>
      <c r="BL117" s="324"/>
      <c r="BM117" s="324"/>
      <c r="BN117" s="324"/>
      <c r="BO117" s="324"/>
      <c r="BP117" s="324"/>
      <c r="BQ117" s="324"/>
      <c r="BR117" s="324"/>
      <c r="BS117" s="324"/>
      <c r="BT117" s="324"/>
      <c r="BU117" s="324"/>
      <c r="BV117" s="324"/>
      <c r="BW117" s="324"/>
      <c r="BX117" s="324"/>
      <c r="BY117" s="324"/>
      <c r="BZ117" s="324"/>
      <c r="CA117" s="324"/>
      <c r="CB117" s="324"/>
      <c r="CC117" s="324"/>
      <c r="CD117" s="324"/>
      <c r="CE117" s="324"/>
      <c r="CF117" s="324"/>
      <c r="CG117" s="324"/>
      <c r="CH117" s="324"/>
      <c r="CI117" s="324"/>
      <c r="CJ117" s="324"/>
      <c r="CK117" s="324"/>
      <c r="CL117" s="324"/>
    </row>
    <row r="118" spans="1:90">
      <c r="A118"/>
      <c r="B118"/>
      <c r="C118"/>
      <c r="D118"/>
      <c r="E118"/>
      <c r="F118"/>
      <c r="G118"/>
      <c r="H118"/>
      <c r="I118"/>
      <c r="J118"/>
      <c r="K118"/>
      <c r="L118"/>
      <c r="M118"/>
      <c r="N118" s="324"/>
      <c r="O118" s="324"/>
      <c r="P118" s="324"/>
      <c r="Q118" s="324"/>
      <c r="R118" s="324"/>
      <c r="S118" s="324"/>
      <c r="T118" s="324"/>
      <c r="U118" s="324"/>
      <c r="V118" s="324"/>
      <c r="W118" s="324"/>
      <c r="X118" s="324"/>
      <c r="Y118" s="324"/>
      <c r="Z118" s="324"/>
      <c r="AA118" s="324"/>
      <c r="AB118" s="324"/>
      <c r="AC118" s="324"/>
      <c r="AD118" s="324"/>
      <c r="AE118" s="324"/>
      <c r="AF118" s="324"/>
      <c r="AG118" s="324"/>
      <c r="AH118" s="324"/>
      <c r="AI118" s="324"/>
      <c r="AJ118" s="324"/>
      <c r="AK118" s="324"/>
      <c r="AL118" s="324"/>
      <c r="AM118" s="324"/>
      <c r="AN118" s="324"/>
      <c r="AO118" s="324"/>
      <c r="AP118" s="324"/>
      <c r="AQ118" s="324"/>
      <c r="AR118" s="324"/>
      <c r="AS118" s="324"/>
      <c r="AT118" s="324"/>
      <c r="AU118" s="324"/>
      <c r="AV118" s="324"/>
      <c r="AW118" s="324"/>
      <c r="AX118" s="324"/>
      <c r="AY118" s="324"/>
      <c r="AZ118" s="324"/>
      <c r="BA118" s="324"/>
      <c r="BB118" s="324"/>
      <c r="BC118" s="324"/>
      <c r="BD118" s="324"/>
      <c r="BE118" s="324"/>
      <c r="BF118" s="324"/>
      <c r="BG118" s="324"/>
      <c r="BH118" s="324"/>
      <c r="BI118" s="324"/>
      <c r="BJ118" s="324"/>
      <c r="BK118" s="324"/>
      <c r="BL118" s="324"/>
      <c r="BM118" s="324"/>
      <c r="BN118" s="324"/>
      <c r="BO118" s="324"/>
      <c r="BP118" s="324"/>
      <c r="BQ118" s="324"/>
      <c r="BR118" s="324"/>
      <c r="BS118" s="324"/>
      <c r="BT118" s="324"/>
      <c r="BU118" s="324"/>
      <c r="BV118" s="324"/>
      <c r="BW118" s="324"/>
      <c r="BX118" s="324"/>
      <c r="BY118" s="324"/>
      <c r="BZ118" s="324"/>
      <c r="CA118" s="324"/>
      <c r="CB118" s="324"/>
      <c r="CC118" s="324"/>
      <c r="CD118" s="324"/>
      <c r="CE118" s="324"/>
      <c r="CF118" s="324"/>
      <c r="CG118" s="324"/>
      <c r="CH118" s="324"/>
      <c r="CI118" s="324"/>
      <c r="CJ118" s="324"/>
      <c r="CK118" s="324"/>
      <c r="CL118" s="324"/>
    </row>
    <row r="119" spans="1:90">
      <c r="A119" s="245" t="s">
        <v>560</v>
      </c>
      <c r="B119"/>
      <c r="C119"/>
      <c r="D119"/>
      <c r="E119"/>
      <c r="F119"/>
      <c r="G119"/>
      <c r="H119"/>
      <c r="I119"/>
      <c r="J119"/>
      <c r="K119"/>
      <c r="L119"/>
      <c r="M119"/>
      <c r="N119" s="324"/>
      <c r="O119" s="324"/>
      <c r="P119" s="324"/>
      <c r="Q119" s="324"/>
      <c r="R119" s="324"/>
      <c r="S119" s="324"/>
      <c r="T119" s="324"/>
      <c r="U119" s="324"/>
      <c r="V119" s="324"/>
      <c r="W119" s="324"/>
      <c r="X119" s="324"/>
      <c r="Y119" s="324"/>
      <c r="Z119" s="324"/>
      <c r="AA119" s="324"/>
      <c r="AB119" s="324"/>
      <c r="AC119" s="324"/>
      <c r="AD119" s="324"/>
      <c r="AE119" s="324"/>
      <c r="AF119" s="324"/>
      <c r="AG119" s="324"/>
      <c r="AH119" s="324"/>
      <c r="AI119" s="324"/>
      <c r="AJ119" s="324"/>
      <c r="AK119" s="324"/>
      <c r="AL119" s="324"/>
      <c r="AM119" s="324"/>
      <c r="AN119" s="324"/>
      <c r="AO119" s="324"/>
      <c r="AP119" s="324"/>
      <c r="AQ119" s="324"/>
      <c r="AR119" s="324"/>
      <c r="AS119" s="324"/>
      <c r="AT119" s="324"/>
      <c r="AU119" s="324"/>
      <c r="AV119" s="324"/>
      <c r="AW119" s="324"/>
      <c r="AX119" s="324"/>
      <c r="AY119" s="324"/>
      <c r="AZ119" s="324"/>
      <c r="BA119" s="324"/>
      <c r="BB119" s="324"/>
      <c r="BC119" s="324"/>
      <c r="BD119" s="324"/>
      <c r="BE119" s="324"/>
      <c r="BF119" s="324"/>
      <c r="BG119" s="324"/>
      <c r="BH119" s="324"/>
      <c r="BI119" s="324"/>
      <c r="BJ119" s="324"/>
      <c r="BK119" s="324"/>
      <c r="BL119" s="324"/>
      <c r="BM119" s="324"/>
      <c r="BN119" s="324"/>
      <c r="BO119" s="324"/>
      <c r="BP119" s="324"/>
      <c r="BQ119" s="324"/>
      <c r="BR119" s="324"/>
      <c r="BS119" s="324"/>
      <c r="BT119" s="324"/>
      <c r="BU119" s="324"/>
      <c r="BV119" s="324"/>
      <c r="BW119" s="324"/>
      <c r="BX119" s="324"/>
      <c r="BY119" s="324"/>
      <c r="BZ119" s="324"/>
      <c r="CA119" s="324"/>
      <c r="CB119" s="324"/>
      <c r="CC119" s="324"/>
      <c r="CD119" s="324"/>
      <c r="CE119" s="324"/>
      <c r="CF119" s="324"/>
      <c r="CG119" s="324"/>
      <c r="CH119" s="324"/>
      <c r="CI119" s="324"/>
      <c r="CJ119" s="324"/>
      <c r="CK119" s="324"/>
      <c r="CL119" s="324"/>
    </row>
    <row r="120" spans="1:90">
      <c r="A120" s="286" t="s">
        <v>561</v>
      </c>
      <c r="B120" s="286"/>
      <c r="C120" s="286"/>
      <c r="D120" s="286"/>
      <c r="E120" s="286"/>
      <c r="F120" s="286"/>
      <c r="G120" s="286"/>
      <c r="H120"/>
      <c r="I120"/>
      <c r="J120"/>
      <c r="K120"/>
      <c r="L120"/>
      <c r="M120"/>
      <c r="N120" s="324"/>
      <c r="O120" s="324"/>
      <c r="P120" s="324"/>
      <c r="Q120" s="324"/>
      <c r="R120" s="324"/>
      <c r="S120" s="324"/>
      <c r="T120" s="324"/>
      <c r="U120" s="324"/>
      <c r="V120" s="324"/>
      <c r="W120" s="324"/>
      <c r="X120" s="324"/>
      <c r="Y120" s="324"/>
      <c r="Z120" s="324"/>
      <c r="AA120" s="324"/>
      <c r="AB120" s="324"/>
      <c r="AC120" s="324"/>
      <c r="AD120" s="324"/>
      <c r="AE120" s="324"/>
      <c r="AF120" s="324"/>
      <c r="AG120" s="324"/>
      <c r="AH120" s="324"/>
      <c r="AI120" s="324"/>
      <c r="AJ120" s="324"/>
      <c r="AK120" s="324"/>
      <c r="AL120" s="324"/>
      <c r="AM120" s="324"/>
      <c r="AN120" s="324"/>
      <c r="AO120" s="324"/>
      <c r="AP120" s="324"/>
      <c r="AQ120" s="324"/>
      <c r="AR120" s="324"/>
      <c r="AS120" s="324"/>
      <c r="AT120" s="324"/>
      <c r="AU120" s="324"/>
      <c r="AV120" s="324"/>
      <c r="AW120" s="324"/>
      <c r="AX120" s="324"/>
      <c r="AY120" s="324"/>
      <c r="AZ120" s="324"/>
      <c r="BA120" s="324"/>
      <c r="BB120" s="324"/>
      <c r="BC120" s="324"/>
      <c r="BD120" s="324"/>
      <c r="BE120" s="324"/>
      <c r="BF120" s="324"/>
      <c r="BG120" s="324"/>
      <c r="BH120" s="324"/>
      <c r="BI120" s="324"/>
      <c r="BJ120" s="324"/>
      <c r="BK120" s="324"/>
      <c r="BL120" s="324"/>
      <c r="BM120" s="324"/>
      <c r="BN120" s="324"/>
      <c r="BO120" s="324"/>
      <c r="BP120" s="324"/>
      <c r="BQ120" s="324"/>
      <c r="BR120" s="324"/>
      <c r="BS120" s="324"/>
      <c r="BT120" s="324"/>
      <c r="BU120" s="324"/>
      <c r="BV120" s="324"/>
      <c r="BW120" s="324"/>
      <c r="BX120" s="324"/>
      <c r="BY120" s="324"/>
      <c r="BZ120" s="324"/>
      <c r="CA120" s="324"/>
      <c r="CB120" s="324"/>
      <c r="CC120" s="324"/>
      <c r="CD120" s="324"/>
      <c r="CE120" s="324"/>
      <c r="CF120" s="324"/>
      <c r="CG120" s="324"/>
      <c r="CH120" s="324"/>
      <c r="CI120" s="324"/>
      <c r="CJ120" s="324"/>
      <c r="CK120" s="324"/>
      <c r="CL120" s="324"/>
    </row>
    <row r="121" spans="1:90">
      <c r="A121" s="286" t="s">
        <v>562</v>
      </c>
      <c r="B121" s="286"/>
      <c r="C121" s="286"/>
      <c r="D121" s="286"/>
      <c r="E121" s="286"/>
      <c r="F121" s="286"/>
      <c r="G121" s="286"/>
      <c r="H121"/>
      <c r="I121"/>
      <c r="J121"/>
      <c r="K121"/>
      <c r="L121"/>
      <c r="M121"/>
      <c r="N121" s="324"/>
      <c r="O121" s="324"/>
      <c r="P121" s="324"/>
      <c r="Q121" s="324"/>
      <c r="R121" s="324"/>
      <c r="S121" s="324"/>
      <c r="T121" s="324"/>
      <c r="U121" s="324"/>
      <c r="V121" s="324"/>
      <c r="W121" s="324"/>
      <c r="X121" s="324"/>
      <c r="Y121" s="324"/>
      <c r="Z121" s="324"/>
      <c r="AA121" s="324"/>
      <c r="AB121" s="324"/>
      <c r="AC121" s="324"/>
      <c r="AD121" s="324"/>
      <c r="AE121" s="324"/>
      <c r="AF121" s="324"/>
      <c r="AG121" s="324"/>
      <c r="AH121" s="324"/>
      <c r="AI121" s="324"/>
      <c r="AJ121" s="324"/>
      <c r="AK121" s="324"/>
      <c r="AL121" s="324"/>
      <c r="AM121" s="324"/>
      <c r="AN121" s="324"/>
      <c r="AO121" s="324"/>
      <c r="AP121" s="324"/>
      <c r="AQ121" s="324"/>
      <c r="AR121" s="324"/>
      <c r="AS121" s="324"/>
      <c r="AT121" s="324"/>
      <c r="AU121" s="324"/>
      <c r="AV121" s="324"/>
      <c r="AW121" s="324"/>
      <c r="AX121" s="324"/>
      <c r="AY121" s="324"/>
      <c r="AZ121" s="324"/>
      <c r="BA121" s="324"/>
      <c r="BB121" s="324"/>
      <c r="BC121" s="324"/>
      <c r="BD121" s="324"/>
      <c r="BE121" s="324"/>
      <c r="BF121" s="324"/>
      <c r="BG121" s="324"/>
      <c r="BH121" s="324"/>
      <c r="BI121" s="324"/>
      <c r="BJ121" s="324"/>
      <c r="BK121" s="324"/>
      <c r="BL121" s="324"/>
      <c r="BM121" s="324"/>
      <c r="BN121" s="324"/>
      <c r="BO121" s="324"/>
      <c r="BP121" s="324"/>
      <c r="BQ121" s="324"/>
      <c r="BR121" s="324"/>
      <c r="BS121" s="324"/>
      <c r="BT121" s="324"/>
      <c r="BU121" s="324"/>
      <c r="BV121" s="324"/>
      <c r="BW121" s="324"/>
      <c r="BX121" s="324"/>
      <c r="BY121" s="324"/>
      <c r="BZ121" s="324"/>
      <c r="CA121" s="324"/>
      <c r="CB121" s="324"/>
      <c r="CC121" s="324"/>
      <c r="CD121" s="324"/>
      <c r="CE121" s="324"/>
      <c r="CF121" s="324"/>
      <c r="CG121" s="324"/>
      <c r="CH121" s="324"/>
      <c r="CI121" s="324"/>
      <c r="CJ121" s="324"/>
      <c r="CK121" s="324"/>
      <c r="CL121" s="324"/>
    </row>
    <row r="122" spans="1:90">
      <c r="A122" s="286" t="s">
        <v>525</v>
      </c>
      <c r="B122" s="286"/>
      <c r="C122" s="286"/>
      <c r="D122" s="286"/>
      <c r="E122" s="286"/>
      <c r="F122" s="286"/>
      <c r="G122" s="286"/>
      <c r="H122"/>
      <c r="I122"/>
      <c r="J122"/>
      <c r="K122"/>
      <c r="L122"/>
      <c r="M122"/>
      <c r="N122" s="324"/>
      <c r="O122" s="324"/>
      <c r="P122" s="324"/>
      <c r="Q122" s="324"/>
      <c r="R122" s="324"/>
      <c r="S122" s="324"/>
      <c r="T122" s="324"/>
      <c r="U122" s="324"/>
      <c r="V122" s="324"/>
      <c r="W122" s="324"/>
      <c r="X122" s="324"/>
      <c r="Y122" s="324"/>
      <c r="Z122" s="324"/>
      <c r="AA122" s="324"/>
      <c r="AB122" s="324"/>
      <c r="AC122" s="324"/>
      <c r="AD122" s="324"/>
      <c r="AE122" s="324"/>
      <c r="AF122" s="324"/>
      <c r="AG122" s="324"/>
      <c r="AH122" s="324"/>
      <c r="AI122" s="324"/>
      <c r="AJ122" s="324"/>
      <c r="AK122" s="324"/>
      <c r="AL122" s="324"/>
      <c r="AM122" s="324"/>
      <c r="AN122" s="324"/>
      <c r="AO122" s="324"/>
      <c r="AP122" s="324"/>
      <c r="AQ122" s="324"/>
      <c r="AR122" s="324"/>
      <c r="AS122" s="324"/>
      <c r="AT122" s="324"/>
      <c r="AU122" s="324"/>
      <c r="AV122" s="324"/>
      <c r="AW122" s="324"/>
      <c r="AX122" s="324"/>
      <c r="AY122" s="324"/>
      <c r="AZ122" s="324"/>
      <c r="BA122" s="324"/>
      <c r="BB122" s="324"/>
      <c r="BC122" s="324"/>
      <c r="BD122" s="324"/>
      <c r="BE122" s="324"/>
      <c r="BF122" s="324"/>
      <c r="BG122" s="324"/>
      <c r="BH122" s="324"/>
      <c r="BI122" s="324"/>
      <c r="BJ122" s="324"/>
      <c r="BK122" s="324"/>
      <c r="BL122" s="324"/>
      <c r="BM122" s="324"/>
      <c r="BN122" s="324"/>
      <c r="BO122" s="324"/>
      <c r="BP122" s="324"/>
      <c r="BQ122" s="324"/>
      <c r="BR122" s="324"/>
      <c r="BS122" s="324"/>
      <c r="BT122" s="324"/>
      <c r="BU122" s="324"/>
      <c r="BV122" s="324"/>
      <c r="BW122" s="324"/>
      <c r="BX122" s="324"/>
      <c r="BY122" s="324"/>
      <c r="BZ122" s="324"/>
      <c r="CA122" s="324"/>
      <c r="CB122" s="324"/>
      <c r="CC122" s="324"/>
      <c r="CD122" s="324"/>
      <c r="CE122" s="324"/>
      <c r="CF122" s="324"/>
      <c r="CG122" s="324"/>
      <c r="CH122" s="324"/>
      <c r="CI122" s="324"/>
      <c r="CJ122" s="324"/>
      <c r="CK122" s="324"/>
      <c r="CL122" s="324"/>
    </row>
    <row r="123" spans="1:90">
      <c r="A123"/>
      <c r="B123"/>
      <c r="C123"/>
      <c r="D123"/>
      <c r="E123"/>
      <c r="F123"/>
      <c r="G123"/>
      <c r="H123"/>
      <c r="I123"/>
      <c r="J123"/>
      <c r="K123"/>
      <c r="L123"/>
      <c r="M123"/>
      <c r="N123" s="324"/>
      <c r="O123" s="324"/>
      <c r="P123" s="324"/>
      <c r="Q123" s="324"/>
      <c r="R123" s="324"/>
      <c r="S123" s="324"/>
      <c r="T123" s="324"/>
      <c r="U123" s="324"/>
      <c r="V123" s="324"/>
      <c r="W123" s="324"/>
      <c r="X123" s="324"/>
      <c r="Y123" s="324"/>
      <c r="Z123" s="324"/>
      <c r="AA123" s="324"/>
      <c r="AB123" s="324"/>
      <c r="AC123" s="324"/>
      <c r="AD123" s="324"/>
      <c r="AE123" s="324"/>
      <c r="AF123" s="324"/>
      <c r="AG123" s="324"/>
      <c r="AH123" s="324"/>
      <c r="AI123" s="324"/>
      <c r="AJ123" s="324"/>
      <c r="AK123" s="324"/>
      <c r="AL123" s="324"/>
      <c r="AM123" s="324"/>
      <c r="AN123" s="324"/>
      <c r="AO123" s="324"/>
      <c r="AP123" s="324"/>
      <c r="AQ123" s="324"/>
      <c r="AR123" s="324"/>
      <c r="AS123" s="324"/>
      <c r="AT123" s="324"/>
      <c r="AU123" s="324"/>
      <c r="AV123" s="324"/>
      <c r="AW123" s="324"/>
      <c r="AX123" s="324"/>
      <c r="AY123" s="324"/>
      <c r="AZ123" s="324"/>
      <c r="BA123" s="324"/>
      <c r="BB123" s="324"/>
      <c r="BC123" s="324"/>
      <c r="BD123" s="324"/>
      <c r="BE123" s="324"/>
      <c r="BF123" s="324"/>
      <c r="BG123" s="324"/>
      <c r="BH123" s="324"/>
      <c r="BI123" s="324"/>
      <c r="BJ123" s="324"/>
      <c r="BK123" s="324"/>
      <c r="BL123" s="324"/>
      <c r="BM123" s="324"/>
      <c r="BN123" s="324"/>
      <c r="BO123" s="324"/>
      <c r="BP123" s="324"/>
      <c r="BQ123" s="324"/>
      <c r="BR123" s="324"/>
      <c r="BS123" s="324"/>
      <c r="BT123" s="324"/>
      <c r="BU123" s="324"/>
      <c r="BV123" s="324"/>
      <c r="BW123" s="324"/>
      <c r="BX123" s="324"/>
      <c r="BY123" s="324"/>
      <c r="BZ123" s="324"/>
      <c r="CA123" s="324"/>
      <c r="CB123" s="324"/>
      <c r="CC123" s="324"/>
      <c r="CD123" s="324"/>
      <c r="CE123" s="324"/>
      <c r="CF123" s="324"/>
      <c r="CG123" s="324"/>
      <c r="CH123" s="324"/>
      <c r="CI123" s="324"/>
      <c r="CJ123" s="324"/>
      <c r="CK123" s="324"/>
      <c r="CL123" s="324"/>
    </row>
    <row r="124" spans="1:90">
      <c r="A124"/>
      <c r="B124"/>
      <c r="C124"/>
      <c r="D124"/>
      <c r="E124"/>
      <c r="F124"/>
      <c r="G124"/>
      <c r="H124"/>
      <c r="I124"/>
      <c r="J124"/>
      <c r="K124"/>
      <c r="L124"/>
      <c r="M124"/>
      <c r="N124" s="324"/>
      <c r="O124" s="324"/>
      <c r="P124" s="324"/>
      <c r="Q124" s="324"/>
      <c r="R124" s="324"/>
      <c r="S124" s="324"/>
      <c r="T124" s="324"/>
      <c r="U124" s="324"/>
      <c r="V124" s="324"/>
      <c r="W124" s="324"/>
      <c r="X124" s="324"/>
      <c r="Y124" s="324"/>
      <c r="Z124" s="324"/>
      <c r="AA124" s="324"/>
      <c r="AB124" s="324"/>
      <c r="AC124" s="324"/>
      <c r="AD124" s="324"/>
      <c r="AE124" s="324"/>
      <c r="AF124" s="324"/>
      <c r="AG124" s="324"/>
      <c r="AH124" s="324"/>
      <c r="AI124" s="324"/>
      <c r="AJ124" s="324"/>
      <c r="AK124" s="324"/>
      <c r="AL124" s="324"/>
      <c r="AM124" s="324"/>
      <c r="AN124" s="324"/>
      <c r="AO124" s="324"/>
      <c r="AP124" s="324"/>
      <c r="AQ124" s="324"/>
      <c r="AR124" s="324"/>
      <c r="AS124" s="324"/>
      <c r="AT124" s="324"/>
      <c r="AU124" s="324"/>
      <c r="AV124" s="324"/>
      <c r="AW124" s="324"/>
      <c r="AX124" s="324"/>
      <c r="AY124" s="324"/>
      <c r="AZ124" s="324"/>
      <c r="BA124" s="324"/>
      <c r="BB124" s="324"/>
      <c r="BC124" s="324"/>
      <c r="BD124" s="324"/>
      <c r="BE124" s="324"/>
      <c r="BF124" s="324"/>
      <c r="BG124" s="324"/>
      <c r="BH124" s="324"/>
      <c r="BI124" s="324"/>
      <c r="BJ124" s="324"/>
      <c r="BK124" s="324"/>
      <c r="BL124" s="324"/>
      <c r="BM124" s="324"/>
      <c r="BN124" s="324"/>
      <c r="BO124" s="324"/>
      <c r="BP124" s="324"/>
      <c r="BQ124" s="324"/>
      <c r="BR124" s="324"/>
      <c r="BS124" s="324"/>
      <c r="BT124" s="324"/>
      <c r="BU124" s="324"/>
      <c r="BV124" s="324"/>
      <c r="BW124" s="324"/>
      <c r="BX124" s="324"/>
      <c r="BY124" s="324"/>
      <c r="BZ124" s="324"/>
      <c r="CA124" s="324"/>
      <c r="CB124" s="324"/>
      <c r="CC124" s="324"/>
      <c r="CD124" s="324"/>
      <c r="CE124" s="324"/>
      <c r="CF124" s="324"/>
      <c r="CG124" s="324"/>
      <c r="CH124" s="324"/>
      <c r="CI124" s="324"/>
      <c r="CJ124" s="324"/>
      <c r="CK124" s="324"/>
      <c r="CL124" s="324"/>
    </row>
    <row r="125" spans="1:90">
      <c r="A125" s="299" t="s">
        <v>563</v>
      </c>
      <c r="B125"/>
      <c r="C125"/>
      <c r="D125"/>
      <c r="E125"/>
      <c r="F125"/>
      <c r="G125"/>
      <c r="H125"/>
      <c r="I125"/>
      <c r="J125"/>
      <c r="K125"/>
      <c r="L125"/>
      <c r="M125"/>
      <c r="N125" s="324"/>
      <c r="O125" s="324"/>
      <c r="P125" s="324"/>
      <c r="Q125" s="324"/>
      <c r="R125" s="324"/>
      <c r="S125" s="324"/>
      <c r="T125" s="324"/>
      <c r="U125" s="324"/>
      <c r="V125" s="324"/>
      <c r="W125" s="324"/>
      <c r="X125" s="324"/>
      <c r="Y125" s="324"/>
      <c r="Z125" s="324"/>
      <c r="AA125" s="324"/>
      <c r="AB125" s="324"/>
      <c r="AC125" s="324"/>
      <c r="AD125" s="324"/>
      <c r="AE125" s="324"/>
      <c r="AF125" s="324"/>
      <c r="AG125" s="324"/>
      <c r="AH125" s="324"/>
      <c r="AI125" s="324"/>
      <c r="AJ125" s="324"/>
      <c r="AK125" s="324"/>
      <c r="AL125" s="324"/>
      <c r="AM125" s="324"/>
      <c r="AN125" s="324"/>
      <c r="AO125" s="324"/>
      <c r="AP125" s="324"/>
      <c r="AQ125" s="324"/>
      <c r="AR125" s="324"/>
      <c r="AS125" s="324"/>
      <c r="AT125" s="324"/>
      <c r="AU125" s="324"/>
      <c r="AV125" s="324"/>
      <c r="AW125" s="324"/>
      <c r="AX125" s="324"/>
      <c r="AY125" s="324"/>
      <c r="AZ125" s="324"/>
      <c r="BA125" s="324"/>
      <c r="BB125" s="324"/>
      <c r="BC125" s="324"/>
      <c r="BD125" s="324"/>
      <c r="BE125" s="324"/>
      <c r="BF125" s="324"/>
      <c r="BG125" s="324"/>
      <c r="BH125" s="324"/>
      <c r="BI125" s="324"/>
      <c r="BJ125" s="324"/>
      <c r="BK125" s="324"/>
      <c r="BL125" s="324"/>
      <c r="BM125" s="324"/>
      <c r="BN125" s="324"/>
      <c r="BO125" s="324"/>
      <c r="BP125" s="324"/>
      <c r="BQ125" s="324"/>
      <c r="BR125" s="324"/>
      <c r="BS125" s="324"/>
      <c r="BT125" s="324"/>
      <c r="BU125" s="324"/>
      <c r="BV125" s="324"/>
      <c r="BW125" s="324"/>
      <c r="BX125" s="324"/>
      <c r="BY125" s="324"/>
      <c r="BZ125" s="324"/>
      <c r="CA125" s="324"/>
      <c r="CB125" s="324"/>
      <c r="CC125" s="324"/>
      <c r="CD125" s="324"/>
      <c r="CE125" s="324"/>
      <c r="CF125" s="324"/>
      <c r="CG125" s="324"/>
      <c r="CH125" s="324"/>
      <c r="CI125" s="324"/>
      <c r="CJ125" s="324"/>
      <c r="CK125" s="324"/>
      <c r="CL125" s="324"/>
    </row>
    <row r="126" spans="1:90" ht="17">
      <c r="A126" s="299" t="s">
        <v>564</v>
      </c>
      <c r="B126"/>
      <c r="C126" s="290" t="s">
        <v>565</v>
      </c>
      <c r="D126"/>
      <c r="E126" t="s">
        <v>566</v>
      </c>
      <c r="F126"/>
      <c r="G126"/>
      <c r="H126"/>
      <c r="I126"/>
      <c r="J126"/>
      <c r="K126"/>
      <c r="L126"/>
      <c r="M126"/>
      <c r="N126" s="324"/>
      <c r="O126" s="324"/>
      <c r="P126" s="324"/>
      <c r="Q126" s="324"/>
      <c r="R126" s="324"/>
      <c r="S126" s="324"/>
      <c r="T126" s="324"/>
      <c r="U126" s="324"/>
      <c r="V126" s="324"/>
      <c r="W126" s="324"/>
      <c r="X126" s="324"/>
      <c r="Y126" s="324"/>
      <c r="Z126" s="324"/>
      <c r="AA126" s="324"/>
      <c r="AB126" s="324"/>
      <c r="AC126" s="324"/>
      <c r="AD126" s="324"/>
      <c r="AE126" s="324"/>
      <c r="AF126" s="324"/>
      <c r="AG126" s="324"/>
      <c r="AH126" s="324"/>
      <c r="AI126" s="324"/>
      <c r="AJ126" s="324"/>
      <c r="AK126" s="324"/>
      <c r="AL126" s="324"/>
      <c r="AM126" s="324"/>
      <c r="AN126" s="324"/>
      <c r="AO126" s="324"/>
      <c r="AP126" s="324"/>
      <c r="AQ126" s="324"/>
      <c r="AR126" s="324"/>
      <c r="AS126" s="324"/>
      <c r="AT126" s="324"/>
      <c r="AU126" s="324"/>
      <c r="AV126" s="324"/>
      <c r="AW126" s="324"/>
      <c r="AX126" s="324"/>
      <c r="AY126" s="324"/>
      <c r="AZ126" s="324"/>
      <c r="BA126" s="324"/>
      <c r="BB126" s="324"/>
      <c r="BC126" s="324"/>
      <c r="BD126" s="324"/>
      <c r="BE126" s="324"/>
      <c r="BF126" s="324"/>
      <c r="BG126" s="324"/>
      <c r="BH126" s="324"/>
      <c r="BI126" s="324"/>
      <c r="BJ126" s="324"/>
      <c r="BK126" s="324"/>
      <c r="BL126" s="324"/>
      <c r="BM126" s="324"/>
      <c r="BN126" s="324"/>
      <c r="BO126" s="324"/>
      <c r="BP126" s="324"/>
      <c r="BQ126" s="324"/>
      <c r="BR126" s="324"/>
      <c r="BS126" s="324"/>
      <c r="BT126" s="324"/>
      <c r="BU126" s="324"/>
      <c r="BV126" s="324"/>
      <c r="BW126" s="324"/>
      <c r="BX126" s="324"/>
      <c r="BY126" s="324"/>
      <c r="BZ126" s="324"/>
      <c r="CA126" s="324"/>
      <c r="CB126" s="324"/>
      <c r="CC126" s="324"/>
      <c r="CD126" s="324"/>
      <c r="CE126" s="324"/>
      <c r="CF126" s="324"/>
      <c r="CG126" s="324"/>
      <c r="CH126" s="324"/>
      <c r="CI126" s="324"/>
      <c r="CJ126" s="324"/>
      <c r="CK126" s="324"/>
      <c r="CL126" s="324"/>
    </row>
    <row r="127" spans="1:90">
      <c r="A127" s="300" t="s">
        <v>8</v>
      </c>
      <c r="B127" s="300"/>
      <c r="C127" s="300" t="s">
        <v>545</v>
      </c>
      <c r="D127" s="300"/>
      <c r="E127" s="300" t="s">
        <v>567</v>
      </c>
      <c r="F127" s="300"/>
      <c r="G127" s="300"/>
      <c r="H127" s="300"/>
      <c r="I127" s="301"/>
      <c r="J127"/>
      <c r="K127"/>
      <c r="L127"/>
      <c r="M127"/>
      <c r="N127" s="324"/>
      <c r="O127" s="324"/>
      <c r="P127" s="324"/>
      <c r="Q127" s="324"/>
      <c r="R127" s="324"/>
      <c r="S127" s="324"/>
      <c r="T127" s="324"/>
      <c r="U127" s="324"/>
      <c r="V127" s="324"/>
      <c r="W127" s="324"/>
      <c r="X127" s="324"/>
      <c r="Y127" s="324"/>
      <c r="Z127" s="324"/>
      <c r="AA127" s="324"/>
      <c r="AB127" s="324"/>
      <c r="AC127" s="324"/>
      <c r="AD127" s="324"/>
      <c r="AE127" s="324"/>
      <c r="AF127" s="324"/>
      <c r="AG127" s="324"/>
      <c r="AH127" s="324"/>
      <c r="AI127" s="324"/>
      <c r="AJ127" s="324"/>
      <c r="AK127" s="324"/>
      <c r="AL127" s="324"/>
      <c r="AM127" s="324"/>
      <c r="AN127" s="324"/>
      <c r="AO127" s="324"/>
      <c r="AP127" s="324"/>
      <c r="AQ127" s="324"/>
      <c r="AR127" s="324"/>
      <c r="AS127" s="324"/>
      <c r="AT127" s="324"/>
      <c r="AU127" s="324"/>
      <c r="AV127" s="324"/>
      <c r="AW127" s="324"/>
      <c r="AX127" s="324"/>
      <c r="AY127" s="324"/>
      <c r="AZ127" s="324"/>
      <c r="BA127" s="324"/>
      <c r="BB127" s="324"/>
      <c r="BC127" s="324"/>
      <c r="BD127" s="324"/>
      <c r="BE127" s="324"/>
      <c r="BF127" s="324"/>
      <c r="BG127" s="324"/>
      <c r="BH127" s="324"/>
      <c r="BI127" s="324"/>
      <c r="BJ127" s="324"/>
      <c r="BK127" s="324"/>
      <c r="BL127" s="324"/>
      <c r="BM127" s="324"/>
      <c r="BN127" s="324"/>
      <c r="BO127" s="324"/>
      <c r="BP127" s="324"/>
      <c r="BQ127" s="324"/>
      <c r="BR127" s="324"/>
      <c r="BS127" s="324"/>
      <c r="BT127" s="324"/>
      <c r="BU127" s="324"/>
      <c r="BV127" s="324"/>
      <c r="BW127" s="324"/>
      <c r="BX127" s="324"/>
      <c r="BY127" s="324"/>
      <c r="BZ127" s="324"/>
      <c r="CA127" s="324"/>
      <c r="CB127" s="324"/>
      <c r="CC127" s="324"/>
      <c r="CD127" s="324"/>
      <c r="CE127" s="324"/>
      <c r="CF127" s="324"/>
      <c r="CG127" s="324"/>
      <c r="CH127" s="324"/>
      <c r="CI127" s="324"/>
      <c r="CJ127" s="324"/>
      <c r="CK127" s="324"/>
      <c r="CL127" s="324"/>
    </row>
    <row r="128" spans="1:90">
      <c r="A128" s="300" t="s">
        <v>568</v>
      </c>
      <c r="B128" s="300"/>
      <c r="C128" s="300" t="s">
        <v>425</v>
      </c>
      <c r="D128" s="300"/>
      <c r="E128" s="300" t="s">
        <v>569</v>
      </c>
      <c r="F128" s="300"/>
      <c r="G128" s="300"/>
      <c r="H128" s="300"/>
      <c r="I128" s="301"/>
      <c r="J128"/>
      <c r="K128"/>
      <c r="L128"/>
      <c r="M128"/>
      <c r="N128" s="324"/>
      <c r="O128" s="324"/>
      <c r="P128" s="324"/>
      <c r="Q128" s="324"/>
      <c r="R128" s="324"/>
      <c r="S128" s="324"/>
      <c r="T128" s="324"/>
      <c r="U128" s="324"/>
      <c r="V128" s="324"/>
      <c r="W128" s="324"/>
      <c r="X128" s="324"/>
      <c r="Y128" s="324"/>
      <c r="Z128" s="324"/>
      <c r="AA128" s="324"/>
      <c r="AB128" s="324"/>
      <c r="AC128" s="324"/>
      <c r="AD128" s="324"/>
      <c r="AE128" s="324"/>
      <c r="AF128" s="324"/>
      <c r="AG128" s="324"/>
      <c r="AH128" s="324"/>
      <c r="AI128" s="324"/>
      <c r="AJ128" s="324"/>
      <c r="AK128" s="324"/>
      <c r="AL128" s="324"/>
      <c r="AM128" s="324"/>
      <c r="AN128" s="324"/>
      <c r="AO128" s="324"/>
      <c r="AP128" s="324"/>
      <c r="AQ128" s="324"/>
      <c r="AR128" s="324"/>
      <c r="AS128" s="324"/>
      <c r="AT128" s="324"/>
      <c r="AU128" s="324"/>
      <c r="AV128" s="324"/>
      <c r="AW128" s="324"/>
      <c r="AX128" s="324"/>
      <c r="AY128" s="324"/>
      <c r="AZ128" s="324"/>
      <c r="BA128" s="324"/>
      <c r="BB128" s="324"/>
      <c r="BC128" s="324"/>
      <c r="BD128" s="324"/>
      <c r="BE128" s="324"/>
      <c r="BF128" s="324"/>
      <c r="BG128" s="324"/>
      <c r="BH128" s="324"/>
      <c r="BI128" s="324"/>
      <c r="BJ128" s="324"/>
      <c r="BK128" s="324"/>
      <c r="BL128" s="324"/>
      <c r="BM128" s="324"/>
      <c r="BN128" s="324"/>
      <c r="BO128" s="324"/>
      <c r="BP128" s="324"/>
      <c r="BQ128" s="324"/>
      <c r="BR128" s="324"/>
      <c r="BS128" s="324"/>
      <c r="BT128" s="324"/>
      <c r="BU128" s="324"/>
      <c r="BV128" s="324"/>
      <c r="BW128" s="324"/>
      <c r="BX128" s="324"/>
      <c r="BY128" s="324"/>
      <c r="BZ128" s="324"/>
      <c r="CA128" s="324"/>
      <c r="CB128" s="324"/>
      <c r="CC128" s="324"/>
      <c r="CD128" s="324"/>
      <c r="CE128" s="324"/>
      <c r="CF128" s="324"/>
      <c r="CG128" s="324"/>
      <c r="CH128" s="324"/>
      <c r="CI128" s="324"/>
      <c r="CJ128" s="324"/>
      <c r="CK128" s="324"/>
      <c r="CL128" s="324"/>
    </row>
    <row r="129" spans="1:90">
      <c r="A129" s="302" t="s">
        <v>570</v>
      </c>
      <c r="B129" s="302"/>
      <c r="C129" s="302" t="s">
        <v>553</v>
      </c>
      <c r="D129" s="302"/>
      <c r="E129" s="302"/>
      <c r="F129" s="302"/>
      <c r="G129" s="302"/>
      <c r="H129" s="302"/>
      <c r="I129" s="303"/>
      <c r="J129"/>
      <c r="K129"/>
      <c r="L129"/>
      <c r="M129"/>
      <c r="N129" s="324"/>
      <c r="O129" s="324"/>
      <c r="P129" s="324"/>
      <c r="Q129" s="324"/>
      <c r="R129" s="324"/>
      <c r="S129" s="324"/>
      <c r="T129" s="324"/>
      <c r="U129" s="324"/>
      <c r="V129" s="324"/>
      <c r="W129" s="324"/>
      <c r="X129" s="324"/>
      <c r="Y129" s="324"/>
      <c r="Z129" s="324"/>
      <c r="AA129" s="324"/>
      <c r="AB129" s="324"/>
      <c r="AC129" s="324"/>
      <c r="AD129" s="324"/>
      <c r="AE129" s="324"/>
      <c r="AF129" s="324"/>
      <c r="AG129" s="324"/>
      <c r="AH129" s="324"/>
      <c r="AI129" s="324"/>
      <c r="AJ129" s="324"/>
      <c r="AK129" s="324"/>
      <c r="AL129" s="324"/>
      <c r="AM129" s="324"/>
      <c r="AN129" s="324"/>
      <c r="AO129" s="324"/>
      <c r="AP129" s="324"/>
      <c r="AQ129" s="324"/>
      <c r="AR129" s="324"/>
      <c r="AS129" s="324"/>
      <c r="AT129" s="324"/>
      <c r="AU129" s="324"/>
      <c r="AV129" s="324"/>
      <c r="AW129" s="324"/>
      <c r="AX129" s="324"/>
      <c r="AY129" s="324"/>
      <c r="AZ129" s="324"/>
      <c r="BA129" s="324"/>
      <c r="BB129" s="324"/>
      <c r="BC129" s="324"/>
      <c r="BD129" s="324"/>
      <c r="BE129" s="324"/>
      <c r="BF129" s="324"/>
      <c r="BG129" s="324"/>
      <c r="BH129" s="324"/>
      <c r="BI129" s="324"/>
      <c r="BJ129" s="324"/>
      <c r="BK129" s="324"/>
      <c r="BL129" s="324"/>
      <c r="BM129" s="324"/>
      <c r="BN129" s="324"/>
      <c r="BO129" s="324"/>
      <c r="BP129" s="324"/>
      <c r="BQ129" s="324"/>
      <c r="BR129" s="324"/>
      <c r="BS129" s="324"/>
      <c r="BT129" s="324"/>
      <c r="BU129" s="324"/>
      <c r="BV129" s="324"/>
      <c r="BW129" s="324"/>
      <c r="BX129" s="324"/>
      <c r="BY129" s="324"/>
      <c r="BZ129" s="324"/>
      <c r="CA129" s="324"/>
      <c r="CB129" s="324"/>
      <c r="CC129" s="324"/>
      <c r="CD129" s="324"/>
      <c r="CE129" s="324"/>
      <c r="CF129" s="324"/>
      <c r="CG129" s="324"/>
      <c r="CH129" s="324"/>
      <c r="CI129" s="324"/>
      <c r="CJ129" s="324"/>
      <c r="CK129" s="324"/>
      <c r="CL129" s="324"/>
    </row>
    <row r="130" spans="1:90">
      <c r="A130"/>
      <c r="B130"/>
      <c r="C130"/>
      <c r="D130"/>
      <c r="E130"/>
      <c r="F130"/>
      <c r="G130"/>
      <c r="H130"/>
      <c r="I130"/>
      <c r="J130"/>
      <c r="K130"/>
      <c r="L130"/>
      <c r="M130"/>
      <c r="N130" s="324"/>
      <c r="O130" s="324"/>
      <c r="P130" s="324"/>
      <c r="Q130" s="324"/>
      <c r="R130" s="324"/>
      <c r="S130" s="324"/>
      <c r="T130" s="324"/>
      <c r="U130" s="324"/>
      <c r="V130" s="324"/>
      <c r="W130" s="324"/>
      <c r="X130" s="324"/>
      <c r="Y130" s="324"/>
      <c r="Z130" s="324"/>
      <c r="AA130" s="324"/>
      <c r="AB130" s="324"/>
      <c r="AC130" s="324"/>
      <c r="AD130" s="324"/>
      <c r="AE130" s="324"/>
      <c r="AF130" s="324"/>
      <c r="AG130" s="324"/>
      <c r="AH130" s="324"/>
      <c r="AI130" s="324"/>
      <c r="AJ130" s="324"/>
      <c r="AK130" s="324"/>
      <c r="AL130" s="324"/>
      <c r="AM130" s="324"/>
      <c r="AN130" s="324"/>
      <c r="AO130" s="324"/>
      <c r="AP130" s="324"/>
      <c r="AQ130" s="324"/>
      <c r="AR130" s="324"/>
      <c r="AS130" s="324"/>
      <c r="AT130" s="324"/>
      <c r="AU130" s="324"/>
      <c r="AV130" s="324"/>
      <c r="AW130" s="324"/>
      <c r="AX130" s="324"/>
      <c r="AY130" s="324"/>
      <c r="AZ130" s="324"/>
      <c r="BA130" s="324"/>
      <c r="BB130" s="324"/>
      <c r="BC130" s="324"/>
      <c r="BD130" s="324"/>
      <c r="BE130" s="324"/>
      <c r="BF130" s="324"/>
      <c r="BG130" s="324"/>
      <c r="BH130" s="324"/>
      <c r="BI130" s="324"/>
      <c r="BJ130" s="324"/>
      <c r="BK130" s="324"/>
      <c r="BL130" s="324"/>
      <c r="BM130" s="324"/>
      <c r="BN130" s="324"/>
      <c r="BO130" s="324"/>
      <c r="BP130" s="324"/>
      <c r="BQ130" s="324"/>
      <c r="BR130" s="324"/>
      <c r="BS130" s="324"/>
      <c r="BT130" s="324"/>
      <c r="BU130" s="324"/>
      <c r="BV130" s="324"/>
      <c r="BW130" s="324"/>
      <c r="BX130" s="324"/>
      <c r="BY130" s="324"/>
      <c r="BZ130" s="324"/>
      <c r="CA130" s="324"/>
      <c r="CB130" s="324"/>
      <c r="CC130" s="324"/>
      <c r="CD130" s="324"/>
      <c r="CE130" s="324"/>
      <c r="CF130" s="324"/>
      <c r="CG130" s="324"/>
      <c r="CH130" s="324"/>
      <c r="CI130" s="324"/>
      <c r="CJ130" s="324"/>
      <c r="CK130" s="324"/>
      <c r="CL130" s="324"/>
    </row>
    <row r="131" spans="1:90">
      <c r="A131"/>
      <c r="B131"/>
      <c r="C131"/>
      <c r="D131"/>
      <c r="E131"/>
      <c r="F131"/>
      <c r="G131"/>
      <c r="H131"/>
      <c r="I131"/>
      <c r="J131"/>
      <c r="K131"/>
      <c r="L131"/>
      <c r="M131"/>
      <c r="N131" s="324"/>
      <c r="O131" s="324"/>
      <c r="P131" s="324"/>
      <c r="Q131" s="324"/>
      <c r="R131" s="324"/>
      <c r="S131" s="324"/>
      <c r="T131" s="324"/>
      <c r="U131" s="324"/>
      <c r="V131" s="324"/>
      <c r="W131" s="324"/>
      <c r="X131" s="324"/>
      <c r="Y131" s="324"/>
      <c r="Z131" s="324"/>
      <c r="AA131" s="324"/>
      <c r="AB131" s="324"/>
      <c r="AC131" s="324"/>
      <c r="AD131" s="324"/>
      <c r="AE131" s="324"/>
      <c r="AF131" s="324"/>
      <c r="AG131" s="324"/>
      <c r="AH131" s="324"/>
      <c r="AI131" s="324"/>
      <c r="AJ131" s="324"/>
      <c r="AK131" s="324"/>
      <c r="AL131" s="324"/>
      <c r="AM131" s="324"/>
      <c r="AN131" s="324"/>
      <c r="AO131" s="324"/>
      <c r="AP131" s="324"/>
      <c r="AQ131" s="324"/>
      <c r="AR131" s="324"/>
      <c r="AS131" s="324"/>
      <c r="AT131" s="324"/>
      <c r="AU131" s="324"/>
      <c r="AV131" s="324"/>
      <c r="AW131" s="324"/>
      <c r="AX131" s="324"/>
      <c r="AY131" s="324"/>
      <c r="AZ131" s="324"/>
      <c r="BA131" s="324"/>
      <c r="BB131" s="324"/>
      <c r="BC131" s="324"/>
      <c r="BD131" s="324"/>
      <c r="BE131" s="324"/>
      <c r="BF131" s="324"/>
      <c r="BG131" s="324"/>
      <c r="BH131" s="324"/>
      <c r="BI131" s="324"/>
      <c r="BJ131" s="324"/>
      <c r="BK131" s="324"/>
      <c r="BL131" s="324"/>
      <c r="BM131" s="324"/>
      <c r="BN131" s="324"/>
      <c r="BO131" s="324"/>
      <c r="BP131" s="324"/>
      <c r="BQ131" s="324"/>
      <c r="BR131" s="324"/>
      <c r="BS131" s="324"/>
      <c r="BT131" s="324"/>
      <c r="BU131" s="324"/>
      <c r="BV131" s="324"/>
      <c r="BW131" s="324"/>
      <c r="BX131" s="324"/>
      <c r="BY131" s="324"/>
      <c r="BZ131" s="324"/>
      <c r="CA131" s="324"/>
      <c r="CB131" s="324"/>
      <c r="CC131" s="324"/>
      <c r="CD131" s="324"/>
      <c r="CE131" s="324"/>
      <c r="CF131" s="324"/>
      <c r="CG131" s="324"/>
      <c r="CH131" s="324"/>
      <c r="CI131" s="324"/>
      <c r="CJ131" s="324"/>
      <c r="CK131" s="324"/>
      <c r="CL131" s="324"/>
    </row>
    <row r="132" spans="1:90">
      <c r="A132" s="304" t="s">
        <v>571</v>
      </c>
      <c r="B132"/>
      <c r="C132"/>
      <c r="D132"/>
      <c r="E132"/>
      <c r="F132"/>
      <c r="G132"/>
      <c r="H132"/>
      <c r="I132"/>
      <c r="J132"/>
      <c r="K132"/>
      <c r="L132"/>
      <c r="M132"/>
      <c r="N132" s="324"/>
      <c r="O132" s="324"/>
      <c r="P132" s="324"/>
      <c r="Q132" s="324"/>
      <c r="R132" s="324"/>
      <c r="S132" s="324"/>
      <c r="T132" s="324"/>
      <c r="U132" s="324"/>
      <c r="V132" s="324"/>
      <c r="W132" s="324"/>
      <c r="X132" s="324"/>
      <c r="Y132" s="324"/>
      <c r="Z132" s="324"/>
      <c r="AA132" s="324"/>
      <c r="AB132" s="324"/>
      <c r="AC132" s="324"/>
      <c r="AD132" s="324"/>
      <c r="AE132" s="324"/>
      <c r="AF132" s="324"/>
      <c r="AG132" s="324"/>
      <c r="AH132" s="324"/>
      <c r="AI132" s="324"/>
      <c r="AJ132" s="324"/>
      <c r="AK132" s="324"/>
      <c r="AL132" s="324"/>
      <c r="AM132" s="324"/>
      <c r="AN132" s="324"/>
      <c r="AO132" s="324"/>
      <c r="AP132" s="324"/>
      <c r="AQ132" s="324"/>
      <c r="AR132" s="324"/>
      <c r="AS132" s="324"/>
      <c r="AT132" s="324"/>
      <c r="AU132" s="324"/>
      <c r="AV132" s="324"/>
      <c r="AW132" s="324"/>
      <c r="AX132" s="324"/>
      <c r="AY132" s="324"/>
      <c r="AZ132" s="324"/>
      <c r="BA132" s="324"/>
      <c r="BB132" s="324"/>
      <c r="BC132" s="324"/>
      <c r="BD132" s="324"/>
      <c r="BE132" s="324"/>
      <c r="BF132" s="324"/>
      <c r="BG132" s="324"/>
      <c r="BH132" s="324"/>
      <c r="BI132" s="324"/>
      <c r="BJ132" s="324"/>
      <c r="BK132" s="324"/>
      <c r="BL132" s="324"/>
      <c r="BM132" s="324"/>
      <c r="BN132" s="324"/>
      <c r="BO132" s="324"/>
      <c r="BP132" s="324"/>
      <c r="BQ132" s="324"/>
      <c r="BR132" s="324"/>
      <c r="BS132" s="324"/>
      <c r="BT132" s="324"/>
      <c r="BU132" s="324"/>
      <c r="BV132" s="324"/>
      <c r="BW132" s="324"/>
      <c r="BX132" s="324"/>
      <c r="BY132" s="324"/>
      <c r="BZ132" s="324"/>
      <c r="CA132" s="324"/>
      <c r="CB132" s="324"/>
      <c r="CC132" s="324"/>
      <c r="CD132" s="324"/>
      <c r="CE132" s="324"/>
      <c r="CF132" s="324"/>
      <c r="CG132" s="324"/>
      <c r="CH132" s="324"/>
      <c r="CI132" s="324"/>
      <c r="CJ132" s="324"/>
      <c r="CK132" s="324"/>
      <c r="CL132" s="324"/>
    </row>
    <row r="133" spans="1:90">
      <c r="A133"/>
      <c r="B133"/>
      <c r="C133"/>
      <c r="D133"/>
      <c r="E133"/>
      <c r="F133"/>
      <c r="G133"/>
      <c r="H133"/>
      <c r="I133"/>
      <c r="J133"/>
      <c r="K133"/>
      <c r="L133"/>
      <c r="M133"/>
      <c r="N133" s="324"/>
      <c r="O133" s="324"/>
      <c r="P133" s="324"/>
      <c r="Q133" s="324"/>
      <c r="R133" s="324"/>
      <c r="S133" s="324"/>
      <c r="T133" s="324"/>
      <c r="U133" s="324"/>
      <c r="V133" s="324"/>
      <c r="W133" s="324"/>
      <c r="X133" s="324"/>
      <c r="Y133" s="324"/>
      <c r="Z133" s="324"/>
      <c r="AA133" s="324"/>
      <c r="AB133" s="324"/>
      <c r="AC133" s="324"/>
      <c r="AD133" s="324"/>
      <c r="AE133" s="324"/>
      <c r="AF133" s="324"/>
      <c r="AG133" s="324"/>
      <c r="AH133" s="324"/>
      <c r="AI133" s="324"/>
      <c r="AJ133" s="324"/>
      <c r="AK133" s="324"/>
      <c r="AL133" s="324"/>
      <c r="AM133" s="324"/>
      <c r="AN133" s="324"/>
      <c r="AO133" s="324"/>
      <c r="AP133" s="324"/>
      <c r="AQ133" s="324"/>
      <c r="AR133" s="324"/>
      <c r="AS133" s="324"/>
      <c r="AT133" s="324"/>
      <c r="AU133" s="324"/>
      <c r="AV133" s="324"/>
      <c r="AW133" s="324"/>
      <c r="AX133" s="324"/>
      <c r="AY133" s="324"/>
      <c r="AZ133" s="324"/>
      <c r="BA133" s="324"/>
      <c r="BB133" s="324"/>
      <c r="BC133" s="324"/>
      <c r="BD133" s="324"/>
      <c r="BE133" s="324"/>
      <c r="BF133" s="324"/>
      <c r="BG133" s="324"/>
      <c r="BH133" s="324"/>
      <c r="BI133" s="324"/>
      <c r="BJ133" s="324"/>
      <c r="BK133" s="324"/>
      <c r="BL133" s="324"/>
      <c r="BM133" s="324"/>
      <c r="BN133" s="324"/>
      <c r="BO133" s="324"/>
      <c r="BP133" s="324"/>
      <c r="BQ133" s="324"/>
      <c r="BR133" s="324"/>
      <c r="BS133" s="324"/>
      <c r="BT133" s="324"/>
      <c r="BU133" s="324"/>
      <c r="BV133" s="324"/>
      <c r="BW133" s="324"/>
      <c r="BX133" s="324"/>
      <c r="BY133" s="324"/>
      <c r="BZ133" s="324"/>
      <c r="CA133" s="324"/>
      <c r="CB133" s="324"/>
      <c r="CC133" s="324"/>
      <c r="CD133" s="324"/>
      <c r="CE133" s="324"/>
      <c r="CF133" s="324"/>
      <c r="CG133" s="324"/>
      <c r="CH133" s="324"/>
      <c r="CI133" s="324"/>
      <c r="CJ133" s="324"/>
      <c r="CK133" s="324"/>
      <c r="CL133" s="324"/>
    </row>
    <row r="134" spans="1:90">
      <c r="A134" s="305" t="s">
        <v>572</v>
      </c>
      <c r="B134"/>
      <c r="C134" s="300" t="s">
        <v>522</v>
      </c>
      <c r="D134"/>
      <c r="E134"/>
      <c r="F134"/>
      <c r="G134"/>
      <c r="H134"/>
      <c r="I134"/>
      <c r="J134"/>
      <c r="K134"/>
      <c r="L134"/>
      <c r="M134"/>
      <c r="N134" s="324"/>
      <c r="O134" s="324"/>
      <c r="P134" s="324"/>
      <c r="Q134" s="324"/>
      <c r="R134" s="324"/>
      <c r="S134" s="324"/>
      <c r="T134" s="324"/>
      <c r="U134" s="324"/>
      <c r="V134" s="324"/>
      <c r="W134" s="324"/>
      <c r="X134" s="324"/>
      <c r="Y134" s="324"/>
      <c r="Z134" s="324"/>
      <c r="AA134" s="324"/>
      <c r="AB134" s="324"/>
      <c r="AC134" s="324"/>
      <c r="AD134" s="324"/>
      <c r="AE134" s="324"/>
      <c r="AF134" s="324"/>
      <c r="AG134" s="324"/>
      <c r="AH134" s="324"/>
      <c r="AI134" s="324"/>
      <c r="AJ134" s="324"/>
      <c r="AK134" s="324"/>
      <c r="AL134" s="324"/>
      <c r="AM134" s="324"/>
      <c r="AN134" s="324"/>
      <c r="AO134" s="324"/>
      <c r="AP134" s="324"/>
      <c r="AQ134" s="324"/>
      <c r="AR134" s="324"/>
      <c r="AS134" s="324"/>
      <c r="AT134" s="324"/>
      <c r="AU134" s="324"/>
      <c r="AV134" s="324"/>
      <c r="AW134" s="324"/>
      <c r="AX134" s="324"/>
      <c r="AY134" s="324"/>
      <c r="AZ134" s="324"/>
      <c r="BA134" s="324"/>
      <c r="BB134" s="324"/>
      <c r="BC134" s="324"/>
      <c r="BD134" s="324"/>
      <c r="BE134" s="324"/>
      <c r="BF134" s="324"/>
      <c r="BG134" s="324"/>
      <c r="BH134" s="324"/>
      <c r="BI134" s="324"/>
      <c r="BJ134" s="324"/>
      <c r="BK134" s="324"/>
      <c r="BL134" s="324"/>
      <c r="BM134" s="324"/>
      <c r="BN134" s="324"/>
      <c r="BO134" s="324"/>
      <c r="BP134" s="324"/>
      <c r="BQ134" s="324"/>
      <c r="BR134" s="324"/>
      <c r="BS134" s="324"/>
      <c r="BT134" s="324"/>
      <c r="BU134" s="324"/>
      <c r="BV134" s="324"/>
      <c r="BW134" s="324"/>
      <c r="BX134" s="324"/>
      <c r="BY134" s="324"/>
      <c r="BZ134" s="324"/>
      <c r="CA134" s="324"/>
      <c r="CB134" s="324"/>
      <c r="CC134" s="324"/>
      <c r="CD134" s="324"/>
      <c r="CE134" s="324"/>
      <c r="CF134" s="324"/>
      <c r="CG134" s="324"/>
      <c r="CH134" s="324"/>
      <c r="CI134" s="324"/>
      <c r="CJ134" s="324"/>
      <c r="CK134" s="324"/>
      <c r="CL134" s="324"/>
    </row>
    <row r="135" spans="1:90">
      <c r="A135" s="305" t="s">
        <v>573</v>
      </c>
      <c r="B135"/>
      <c r="C135" s="300" t="s">
        <v>524</v>
      </c>
      <c r="D135"/>
      <c r="E135"/>
      <c r="F135"/>
      <c r="G135"/>
      <c r="H135"/>
      <c r="I135"/>
      <c r="J135"/>
      <c r="K135"/>
      <c r="L135"/>
      <c r="M135"/>
      <c r="N135" s="324"/>
      <c r="O135" s="324"/>
      <c r="P135" s="324"/>
      <c r="Q135" s="324"/>
      <c r="R135" s="324"/>
      <c r="S135" s="324"/>
      <c r="T135" s="324"/>
      <c r="U135" s="324"/>
      <c r="V135" s="324"/>
      <c r="W135" s="324"/>
      <c r="X135" s="324"/>
      <c r="Y135" s="324"/>
      <c r="Z135" s="324"/>
      <c r="AA135" s="324"/>
      <c r="AB135" s="324"/>
      <c r="AC135" s="324"/>
      <c r="AD135" s="324"/>
      <c r="AE135" s="324"/>
      <c r="AF135" s="324"/>
      <c r="AG135" s="324"/>
      <c r="AH135" s="324"/>
      <c r="AI135" s="324"/>
      <c r="AJ135" s="324"/>
      <c r="AK135" s="324"/>
      <c r="AL135" s="324"/>
      <c r="AM135" s="324"/>
      <c r="AN135" s="324"/>
      <c r="AO135" s="324"/>
      <c r="AP135" s="324"/>
      <c r="AQ135" s="324"/>
      <c r="AR135" s="324"/>
      <c r="AS135" s="324"/>
      <c r="AT135" s="324"/>
      <c r="AU135" s="324"/>
      <c r="AV135" s="324"/>
      <c r="AW135" s="324"/>
      <c r="AX135" s="324"/>
      <c r="AY135" s="324"/>
      <c r="AZ135" s="324"/>
      <c r="BA135" s="324"/>
      <c r="BB135" s="324"/>
      <c r="BC135" s="324"/>
      <c r="BD135" s="324"/>
      <c r="BE135" s="324"/>
      <c r="BF135" s="324"/>
      <c r="BG135" s="324"/>
      <c r="BH135" s="324"/>
      <c r="BI135" s="324"/>
      <c r="BJ135" s="324"/>
      <c r="BK135" s="324"/>
      <c r="BL135" s="324"/>
      <c r="BM135" s="324"/>
      <c r="BN135" s="324"/>
      <c r="BO135" s="324"/>
      <c r="BP135" s="324"/>
      <c r="BQ135" s="324"/>
      <c r="BR135" s="324"/>
      <c r="BS135" s="324"/>
      <c r="BT135" s="324"/>
      <c r="BU135" s="324"/>
      <c r="BV135" s="324"/>
      <c r="BW135" s="324"/>
      <c r="BX135" s="324"/>
      <c r="BY135" s="324"/>
      <c r="BZ135" s="324"/>
      <c r="CA135" s="324"/>
      <c r="CB135" s="324"/>
      <c r="CC135" s="324"/>
      <c r="CD135" s="324"/>
      <c r="CE135" s="324"/>
      <c r="CF135" s="324"/>
      <c r="CG135" s="324"/>
      <c r="CH135" s="324"/>
      <c r="CI135" s="324"/>
      <c r="CJ135" s="324"/>
      <c r="CK135" s="324"/>
      <c r="CL135" s="324"/>
    </row>
    <row r="136" spans="1:90">
      <c r="A136" s="305" t="s">
        <v>574</v>
      </c>
      <c r="B136"/>
      <c r="C136"/>
      <c r="D136"/>
      <c r="E136"/>
      <c r="F136"/>
      <c r="G136"/>
      <c r="H136"/>
      <c r="I136"/>
      <c r="J136"/>
      <c r="K136"/>
      <c r="L136"/>
      <c r="M136"/>
      <c r="N136" s="324"/>
      <c r="O136" s="324"/>
      <c r="P136" s="324"/>
      <c r="Q136" s="324"/>
      <c r="R136" s="324"/>
      <c r="S136" s="324"/>
      <c r="T136" s="324"/>
      <c r="U136" s="324"/>
      <c r="V136" s="324"/>
      <c r="W136" s="324"/>
      <c r="X136" s="324"/>
      <c r="Y136" s="324"/>
      <c r="Z136" s="324"/>
      <c r="AA136" s="324"/>
      <c r="AB136" s="324"/>
      <c r="AC136" s="324"/>
      <c r="AD136" s="324"/>
      <c r="AE136" s="324"/>
      <c r="AF136" s="324"/>
      <c r="AG136" s="324"/>
      <c r="AH136" s="324"/>
      <c r="AI136" s="324"/>
      <c r="AJ136" s="324"/>
      <c r="AK136" s="324"/>
      <c r="AL136" s="324"/>
      <c r="AM136" s="324"/>
      <c r="AN136" s="324"/>
      <c r="AO136" s="324"/>
      <c r="AP136" s="324"/>
      <c r="AQ136" s="324"/>
      <c r="AR136" s="324"/>
      <c r="AS136" s="324"/>
      <c r="AT136" s="324"/>
      <c r="AU136" s="324"/>
      <c r="AV136" s="324"/>
      <c r="AW136" s="324"/>
      <c r="AX136" s="324"/>
      <c r="AY136" s="324"/>
      <c r="AZ136" s="324"/>
      <c r="BA136" s="324"/>
      <c r="BB136" s="324"/>
      <c r="BC136" s="324"/>
      <c r="BD136" s="324"/>
      <c r="BE136" s="324"/>
      <c r="BF136" s="324"/>
      <c r="BG136" s="324"/>
      <c r="BH136" s="324"/>
      <c r="BI136" s="324"/>
      <c r="BJ136" s="324"/>
      <c r="BK136" s="324"/>
      <c r="BL136" s="324"/>
      <c r="BM136" s="324"/>
      <c r="BN136" s="324"/>
      <c r="BO136" s="324"/>
      <c r="BP136" s="324"/>
      <c r="BQ136" s="324"/>
      <c r="BR136" s="324"/>
      <c r="BS136" s="324"/>
      <c r="BT136" s="324"/>
      <c r="BU136" s="324"/>
      <c r="BV136" s="324"/>
      <c r="BW136" s="324"/>
      <c r="BX136" s="324"/>
      <c r="BY136" s="324"/>
      <c r="BZ136" s="324"/>
      <c r="CA136" s="324"/>
      <c r="CB136" s="324"/>
      <c r="CC136" s="324"/>
      <c r="CD136" s="324"/>
      <c r="CE136" s="324"/>
      <c r="CF136" s="324"/>
      <c r="CG136" s="324"/>
      <c r="CH136" s="324"/>
      <c r="CI136" s="324"/>
      <c r="CJ136" s="324"/>
      <c r="CK136" s="324"/>
      <c r="CL136" s="324"/>
    </row>
    <row r="137" spans="1:90">
      <c r="A137" s="305" t="s">
        <v>8</v>
      </c>
      <c r="B137"/>
      <c r="C137"/>
      <c r="D137"/>
      <c r="E137"/>
      <c r="F137"/>
      <c r="G137"/>
      <c r="H137"/>
      <c r="I137"/>
      <c r="J137"/>
      <c r="K137"/>
      <c r="L137"/>
      <c r="M137"/>
      <c r="N137" s="324"/>
      <c r="O137" s="324"/>
      <c r="P137" s="324"/>
      <c r="Q137" s="324"/>
      <c r="R137" s="324"/>
      <c r="S137" s="324"/>
      <c r="T137" s="324"/>
      <c r="U137" s="324"/>
      <c r="V137" s="324"/>
      <c r="W137" s="324"/>
      <c r="X137" s="324"/>
      <c r="Y137" s="324"/>
      <c r="Z137" s="324"/>
      <c r="AA137" s="324"/>
      <c r="AB137" s="324"/>
      <c r="AC137" s="324"/>
      <c r="AD137" s="324"/>
      <c r="AE137" s="324"/>
      <c r="AF137" s="324"/>
      <c r="AG137" s="324"/>
      <c r="AH137" s="324"/>
      <c r="AI137" s="324"/>
      <c r="AJ137" s="324"/>
      <c r="AK137" s="324"/>
      <c r="AL137" s="324"/>
      <c r="AM137" s="324"/>
      <c r="AN137" s="324"/>
      <c r="AO137" s="324"/>
      <c r="AP137" s="324"/>
      <c r="AQ137" s="324"/>
      <c r="AR137" s="324"/>
      <c r="AS137" s="324"/>
      <c r="AT137" s="324"/>
      <c r="AU137" s="324"/>
      <c r="AV137" s="324"/>
      <c r="AW137" s="324"/>
      <c r="AX137" s="324"/>
      <c r="AY137" s="324"/>
      <c r="AZ137" s="324"/>
      <c r="BA137" s="324"/>
      <c r="BB137" s="324"/>
      <c r="BC137" s="324"/>
      <c r="BD137" s="324"/>
      <c r="BE137" s="324"/>
      <c r="BF137" s="324"/>
      <c r="BG137" s="324"/>
      <c r="BH137" s="324"/>
      <c r="BI137" s="324"/>
      <c r="BJ137" s="324"/>
      <c r="BK137" s="324"/>
      <c r="BL137" s="324"/>
      <c r="BM137" s="324"/>
      <c r="BN137" s="324"/>
      <c r="BO137" s="324"/>
      <c r="BP137" s="324"/>
      <c r="BQ137" s="324"/>
      <c r="BR137" s="324"/>
      <c r="BS137" s="324"/>
      <c r="BT137" s="324"/>
      <c r="BU137" s="324"/>
      <c r="BV137" s="324"/>
      <c r="BW137" s="324"/>
      <c r="BX137" s="324"/>
      <c r="BY137" s="324"/>
      <c r="BZ137" s="324"/>
      <c r="CA137" s="324"/>
      <c r="CB137" s="324"/>
      <c r="CC137" s="324"/>
      <c r="CD137" s="324"/>
      <c r="CE137" s="324"/>
      <c r="CF137" s="324"/>
      <c r="CG137" s="324"/>
      <c r="CH137" s="324"/>
      <c r="CI137" s="324"/>
      <c r="CJ137" s="324"/>
      <c r="CK137" s="324"/>
      <c r="CL137" s="324"/>
    </row>
    <row r="138" spans="1:90">
      <c r="A138"/>
      <c r="B138"/>
      <c r="C138"/>
      <c r="D138"/>
      <c r="E138"/>
      <c r="F138"/>
      <c r="G138"/>
      <c r="H138"/>
      <c r="I138"/>
      <c r="J138"/>
      <c r="K138"/>
      <c r="L138"/>
      <c r="M138"/>
      <c r="N138" s="324"/>
      <c r="O138" s="324"/>
      <c r="P138" s="324"/>
      <c r="Q138" s="324"/>
      <c r="R138" s="324"/>
      <c r="S138" s="324"/>
      <c r="T138" s="324"/>
      <c r="U138" s="324"/>
      <c r="V138" s="324"/>
      <c r="W138" s="324"/>
      <c r="X138" s="324"/>
      <c r="Y138" s="324"/>
      <c r="Z138" s="324"/>
      <c r="AA138" s="324"/>
      <c r="AB138" s="324"/>
      <c r="AC138" s="324"/>
      <c r="AD138" s="324"/>
      <c r="AE138" s="324"/>
      <c r="AF138" s="324"/>
      <c r="AG138" s="324"/>
      <c r="AH138" s="324"/>
      <c r="AI138" s="324"/>
      <c r="AJ138" s="324"/>
      <c r="AK138" s="324"/>
      <c r="AL138" s="324"/>
      <c r="AM138" s="324"/>
      <c r="AN138" s="324"/>
      <c r="AO138" s="324"/>
      <c r="AP138" s="324"/>
      <c r="AQ138" s="324"/>
      <c r="AR138" s="324"/>
      <c r="AS138" s="324"/>
      <c r="AT138" s="324"/>
      <c r="AU138" s="324"/>
      <c r="AV138" s="324"/>
      <c r="AW138" s="324"/>
      <c r="AX138" s="324"/>
      <c r="AY138" s="324"/>
      <c r="AZ138" s="324"/>
      <c r="BA138" s="324"/>
      <c r="BB138" s="324"/>
      <c r="BC138" s="324"/>
      <c r="BD138" s="324"/>
      <c r="BE138" s="324"/>
      <c r="BF138" s="324"/>
      <c r="BG138" s="324"/>
      <c r="BH138" s="324"/>
      <c r="BI138" s="324"/>
      <c r="BJ138" s="324"/>
      <c r="BK138" s="324"/>
      <c r="BL138" s="324"/>
      <c r="BM138" s="324"/>
      <c r="BN138" s="324"/>
      <c r="BO138" s="324"/>
      <c r="BP138" s="324"/>
      <c r="BQ138" s="324"/>
      <c r="BR138" s="324"/>
      <c r="BS138" s="324"/>
      <c r="BT138" s="324"/>
      <c r="BU138" s="324"/>
      <c r="BV138" s="324"/>
      <c r="BW138" s="324"/>
      <c r="BX138" s="324"/>
      <c r="BY138" s="324"/>
      <c r="BZ138" s="324"/>
      <c r="CA138" s="324"/>
      <c r="CB138" s="324"/>
      <c r="CC138" s="324"/>
      <c r="CD138" s="324"/>
      <c r="CE138" s="324"/>
      <c r="CF138" s="324"/>
      <c r="CG138" s="324"/>
      <c r="CH138" s="324"/>
      <c r="CI138" s="324"/>
      <c r="CJ138" s="324"/>
      <c r="CK138" s="324"/>
      <c r="CL138" s="324"/>
    </row>
    <row r="139" spans="1:90">
      <c r="A139"/>
      <c r="B139"/>
      <c r="C139"/>
      <c r="D139"/>
      <c r="E139"/>
      <c r="F139"/>
      <c r="G139"/>
      <c r="H139"/>
      <c r="I139"/>
      <c r="J139"/>
      <c r="K139"/>
      <c r="L139"/>
      <c r="M139"/>
      <c r="N139" s="324"/>
      <c r="O139" s="324"/>
      <c r="P139" s="324"/>
      <c r="Q139" s="324"/>
      <c r="R139" s="324"/>
      <c r="S139" s="324"/>
      <c r="T139" s="324"/>
      <c r="U139" s="324"/>
      <c r="V139" s="324"/>
      <c r="W139" s="324"/>
      <c r="X139" s="324"/>
      <c r="Y139" s="324"/>
      <c r="Z139" s="324"/>
      <c r="AA139" s="324"/>
      <c r="AB139" s="324"/>
      <c r="AC139" s="324"/>
      <c r="AD139" s="324"/>
      <c r="AE139" s="324"/>
      <c r="AF139" s="324"/>
      <c r="AG139" s="324"/>
      <c r="AH139" s="324"/>
      <c r="AI139" s="324"/>
      <c r="AJ139" s="324"/>
      <c r="AK139" s="324"/>
      <c r="AL139" s="324"/>
      <c r="AM139" s="324"/>
      <c r="AN139" s="324"/>
      <c r="AO139" s="324"/>
      <c r="AP139" s="324"/>
      <c r="AQ139" s="324"/>
      <c r="AR139" s="324"/>
      <c r="AS139" s="324"/>
      <c r="AT139" s="324"/>
      <c r="AU139" s="324"/>
      <c r="AV139" s="324"/>
      <c r="AW139" s="324"/>
      <c r="AX139" s="324"/>
      <c r="AY139" s="324"/>
      <c r="AZ139" s="324"/>
      <c r="BA139" s="324"/>
      <c r="BB139" s="324"/>
      <c r="BC139" s="324"/>
      <c r="BD139" s="324"/>
      <c r="BE139" s="324"/>
      <c r="BF139" s="324"/>
      <c r="BG139" s="324"/>
      <c r="BH139" s="324"/>
      <c r="BI139" s="324"/>
      <c r="BJ139" s="324"/>
      <c r="BK139" s="324"/>
      <c r="BL139" s="324"/>
      <c r="BM139" s="324"/>
      <c r="BN139" s="324"/>
      <c r="BO139" s="324"/>
      <c r="BP139" s="324"/>
      <c r="BQ139" s="324"/>
      <c r="BR139" s="324"/>
      <c r="BS139" s="324"/>
      <c r="BT139" s="324"/>
      <c r="BU139" s="324"/>
      <c r="BV139" s="324"/>
      <c r="BW139" s="324"/>
      <c r="BX139" s="324"/>
      <c r="BY139" s="324"/>
      <c r="BZ139" s="324"/>
      <c r="CA139" s="324"/>
      <c r="CB139" s="324"/>
      <c r="CC139" s="324"/>
      <c r="CD139" s="324"/>
      <c r="CE139" s="324"/>
      <c r="CF139" s="324"/>
      <c r="CG139" s="324"/>
      <c r="CH139" s="324"/>
      <c r="CI139" s="324"/>
      <c r="CJ139" s="324"/>
      <c r="CK139" s="324"/>
      <c r="CL139" s="324"/>
    </row>
    <row r="140" spans="1:90">
      <c r="A140"/>
      <c r="B140"/>
      <c r="C140"/>
      <c r="D140"/>
      <c r="E140"/>
      <c r="F140"/>
      <c r="G140"/>
      <c r="H140"/>
      <c r="I140"/>
      <c r="J140"/>
      <c r="K140"/>
      <c r="L140"/>
      <c r="M140"/>
      <c r="N140" s="324"/>
      <c r="O140" s="324"/>
      <c r="P140" s="324"/>
      <c r="Q140" s="324"/>
      <c r="R140" s="324"/>
      <c r="S140" s="324"/>
      <c r="T140" s="324"/>
      <c r="U140" s="324"/>
      <c r="V140" s="324"/>
      <c r="W140" s="324"/>
      <c r="X140" s="324"/>
      <c r="Y140" s="324"/>
      <c r="Z140" s="324"/>
      <c r="AA140" s="324"/>
      <c r="AB140" s="324"/>
      <c r="AC140" s="324"/>
      <c r="AD140" s="324"/>
      <c r="AE140" s="324"/>
      <c r="AF140" s="324"/>
      <c r="AG140" s="324"/>
      <c r="AH140" s="324"/>
      <c r="AI140" s="324"/>
      <c r="AJ140" s="324"/>
      <c r="AK140" s="324"/>
      <c r="AL140" s="324"/>
      <c r="AM140" s="324"/>
      <c r="AN140" s="324"/>
      <c r="AO140" s="324"/>
      <c r="AP140" s="324"/>
      <c r="AQ140" s="324"/>
      <c r="AR140" s="324"/>
      <c r="AS140" s="324"/>
      <c r="AT140" s="324"/>
      <c r="AU140" s="324"/>
      <c r="AV140" s="324"/>
      <c r="AW140" s="324"/>
      <c r="AX140" s="324"/>
      <c r="AY140" s="324"/>
      <c r="AZ140" s="324"/>
      <c r="BA140" s="324"/>
      <c r="BB140" s="324"/>
      <c r="BC140" s="324"/>
      <c r="BD140" s="324"/>
      <c r="BE140" s="324"/>
      <c r="BF140" s="324"/>
      <c r="BG140" s="324"/>
      <c r="BH140" s="324"/>
      <c r="BI140" s="324"/>
      <c r="BJ140" s="324"/>
      <c r="BK140" s="324"/>
      <c r="BL140" s="324"/>
      <c r="BM140" s="324"/>
      <c r="BN140" s="324"/>
      <c r="BO140" s="324"/>
      <c r="BP140" s="324"/>
      <c r="BQ140" s="324"/>
      <c r="BR140" s="324"/>
      <c r="BS140" s="324"/>
      <c r="BT140" s="324"/>
      <c r="BU140" s="324"/>
      <c r="BV140" s="324"/>
      <c r="BW140" s="324"/>
      <c r="BX140" s="324"/>
      <c r="BY140" s="324"/>
      <c r="BZ140" s="324"/>
      <c r="CA140" s="324"/>
      <c r="CB140" s="324"/>
      <c r="CC140" s="324"/>
      <c r="CD140" s="324"/>
      <c r="CE140" s="324"/>
      <c r="CF140" s="324"/>
      <c r="CG140" s="324"/>
      <c r="CH140" s="324"/>
      <c r="CI140" s="324"/>
      <c r="CJ140" s="324"/>
      <c r="CK140" s="324"/>
      <c r="CL140" s="324"/>
    </row>
    <row r="141" spans="1:90" ht="15" customHeight="1">
      <c r="A141" s="245" t="s">
        <v>575</v>
      </c>
      <c r="B141"/>
      <c r="C141"/>
      <c r="D141"/>
      <c r="E141"/>
      <c r="F141"/>
      <c r="G141"/>
      <c r="H141"/>
      <c r="I141"/>
      <c r="J141"/>
      <c r="K141"/>
      <c r="L141"/>
      <c r="M141"/>
      <c r="N141" s="324"/>
      <c r="O141" s="324"/>
      <c r="P141" s="324"/>
      <c r="Q141" s="324"/>
      <c r="R141" s="324"/>
      <c r="S141" s="324"/>
      <c r="T141" s="324"/>
      <c r="U141" s="324"/>
      <c r="V141" s="324"/>
      <c r="W141" s="324"/>
      <c r="X141" s="324"/>
      <c r="Y141" s="324"/>
      <c r="Z141" s="324"/>
      <c r="AA141" s="324"/>
      <c r="AB141" s="324"/>
      <c r="AC141" s="324"/>
      <c r="AD141" s="324"/>
      <c r="AE141" s="324"/>
      <c r="AF141" s="324"/>
      <c r="AG141" s="324"/>
      <c r="AH141" s="324"/>
      <c r="AI141" s="324"/>
      <c r="AJ141" s="324"/>
      <c r="AK141" s="324"/>
      <c r="AL141" s="324"/>
      <c r="AM141" s="324"/>
      <c r="AN141" s="324"/>
      <c r="AO141" s="324"/>
      <c r="AP141" s="324"/>
      <c r="AQ141" s="324"/>
      <c r="AR141" s="324"/>
      <c r="AS141" s="324"/>
      <c r="AT141" s="324"/>
      <c r="AU141" s="324"/>
      <c r="AV141" s="324"/>
      <c r="AW141" s="324"/>
      <c r="AX141" s="324"/>
      <c r="AY141" s="324"/>
      <c r="AZ141" s="324"/>
      <c r="BA141" s="324"/>
      <c r="BB141" s="324"/>
      <c r="BC141" s="324"/>
      <c r="BD141" s="324"/>
      <c r="BE141" s="324"/>
      <c r="BF141" s="324"/>
      <c r="BG141" s="324"/>
      <c r="BH141" s="324"/>
      <c r="BI141" s="324"/>
      <c r="BJ141" s="324"/>
      <c r="BK141" s="324"/>
      <c r="BL141" s="324"/>
      <c r="BM141" s="324"/>
      <c r="BN141" s="324"/>
      <c r="BO141" s="324"/>
      <c r="BP141" s="324"/>
      <c r="BQ141" s="324"/>
      <c r="BR141" s="324"/>
      <c r="BS141" s="324"/>
      <c r="BT141" s="324"/>
      <c r="BU141" s="324"/>
      <c r="BV141" s="324"/>
      <c r="BW141" s="324"/>
      <c r="BX141" s="324"/>
      <c r="BY141" s="324"/>
      <c r="BZ141" s="324"/>
      <c r="CA141" s="324"/>
      <c r="CB141" s="324"/>
      <c r="CC141" s="324"/>
      <c r="CD141" s="324"/>
      <c r="CE141" s="324"/>
      <c r="CF141" s="324"/>
      <c r="CG141" s="324"/>
      <c r="CH141" s="324"/>
      <c r="CI141" s="324"/>
      <c r="CJ141" s="324"/>
      <c r="CK141" s="324"/>
      <c r="CL141" s="324"/>
    </row>
    <row r="142" spans="1:90">
      <c r="A142"/>
      <c r="B142"/>
      <c r="C142"/>
      <c r="D142"/>
      <c r="E142"/>
      <c r="F142"/>
      <c r="G142"/>
      <c r="H142"/>
      <c r="I142"/>
      <c r="J142"/>
      <c r="K142"/>
      <c r="L142"/>
      <c r="M142"/>
      <c r="N142" s="324"/>
      <c r="O142" s="324"/>
      <c r="P142" s="324"/>
      <c r="Q142" s="324"/>
      <c r="R142" s="324"/>
      <c r="S142" s="324"/>
      <c r="T142" s="324"/>
      <c r="U142" s="324"/>
      <c r="V142" s="324"/>
      <c r="W142" s="324"/>
      <c r="X142" s="324"/>
      <c r="Y142" s="324"/>
      <c r="Z142" s="324"/>
      <c r="AA142" s="324"/>
      <c r="AB142" s="324"/>
      <c r="AC142" s="324"/>
      <c r="AD142" s="324"/>
      <c r="AE142" s="324"/>
      <c r="AF142" s="324"/>
      <c r="AG142" s="324"/>
      <c r="AH142" s="324"/>
      <c r="AI142" s="324"/>
      <c r="AJ142" s="324"/>
      <c r="AK142" s="324"/>
      <c r="AL142" s="324"/>
      <c r="AM142" s="324"/>
      <c r="AN142" s="324"/>
      <c r="AO142" s="324"/>
      <c r="AP142" s="324"/>
      <c r="AQ142" s="324"/>
      <c r="AR142" s="324"/>
      <c r="AS142" s="324"/>
      <c r="AT142" s="324"/>
      <c r="AU142" s="324"/>
      <c r="AV142" s="324"/>
      <c r="AW142" s="324"/>
      <c r="AX142" s="324"/>
      <c r="AY142" s="324"/>
      <c r="AZ142" s="324"/>
      <c r="BA142" s="324"/>
      <c r="BB142" s="324"/>
      <c r="BC142" s="324"/>
      <c r="BD142" s="324"/>
      <c r="BE142" s="324"/>
      <c r="BF142" s="324"/>
      <c r="BG142" s="324"/>
      <c r="BH142" s="324"/>
      <c r="BI142" s="324"/>
      <c r="BJ142" s="324"/>
      <c r="BK142" s="324"/>
      <c r="BL142" s="324"/>
      <c r="BM142" s="324"/>
      <c r="BN142" s="324"/>
      <c r="BO142" s="324"/>
      <c r="BP142" s="324"/>
      <c r="BQ142" s="324"/>
      <c r="BR142" s="324"/>
      <c r="BS142" s="324"/>
      <c r="BT142" s="324"/>
      <c r="BU142" s="324"/>
      <c r="BV142" s="324"/>
      <c r="BW142" s="324"/>
      <c r="BX142" s="324"/>
      <c r="BY142" s="324"/>
      <c r="BZ142" s="324"/>
      <c r="CA142" s="324"/>
      <c r="CB142" s="324"/>
      <c r="CC142" s="324"/>
      <c r="CD142" s="324"/>
      <c r="CE142" s="324"/>
      <c r="CF142" s="324"/>
      <c r="CG142" s="324"/>
      <c r="CH142" s="324"/>
      <c r="CI142" s="324"/>
      <c r="CJ142" s="324"/>
      <c r="CK142" s="324"/>
      <c r="CL142" s="324"/>
    </row>
    <row r="143" spans="1:90" ht="19">
      <c r="A143" s="245" t="s">
        <v>576</v>
      </c>
      <c r="B143"/>
      <c r="C143" s="245" t="s">
        <v>577</v>
      </c>
      <c r="D143"/>
      <c r="E143"/>
      <c r="F143" s="245" t="s">
        <v>578</v>
      </c>
      <c r="G143" s="245" t="s">
        <v>579</v>
      </c>
      <c r="H143" s="245" t="s">
        <v>580</v>
      </c>
      <c r="I143" s="245" t="s">
        <v>581</v>
      </c>
      <c r="J143" s="245" t="s">
        <v>582</v>
      </c>
      <c r="K143" s="245" t="s">
        <v>583</v>
      </c>
      <c r="L143" s="306" t="s">
        <v>584</v>
      </c>
      <c r="M143" s="245" t="s">
        <v>585</v>
      </c>
      <c r="N143" s="331" t="s">
        <v>586</v>
      </c>
      <c r="O143" s="331" t="s">
        <v>587</v>
      </c>
      <c r="P143" s="331" t="s">
        <v>588</v>
      </c>
      <c r="Q143" s="324"/>
      <c r="R143" s="331" t="s">
        <v>589</v>
      </c>
      <c r="S143" s="324"/>
      <c r="T143" s="331" t="s">
        <v>590</v>
      </c>
      <c r="U143" s="331" t="s">
        <v>591</v>
      </c>
      <c r="V143" s="324"/>
      <c r="W143" s="331" t="s">
        <v>592</v>
      </c>
      <c r="X143" s="324"/>
      <c r="Y143" s="331" t="s">
        <v>593</v>
      </c>
      <c r="Z143" s="324"/>
      <c r="AA143" s="324"/>
      <c r="AB143" s="331" t="s">
        <v>594</v>
      </c>
      <c r="AC143" s="324"/>
      <c r="AD143" s="324"/>
      <c r="AE143" s="331" t="s">
        <v>595</v>
      </c>
      <c r="AF143" s="324"/>
      <c r="AG143" s="324"/>
      <c r="AH143" s="331" t="s">
        <v>596</v>
      </c>
      <c r="AI143" s="324"/>
      <c r="AJ143" s="324"/>
      <c r="AK143" s="331" t="s">
        <v>597</v>
      </c>
      <c r="AL143" s="324"/>
      <c r="AM143" s="331" t="s">
        <v>598</v>
      </c>
      <c r="AN143" s="324"/>
      <c r="AO143" s="324"/>
      <c r="AP143" s="324"/>
      <c r="AQ143" s="324"/>
      <c r="AR143" s="338" t="s">
        <v>565</v>
      </c>
      <c r="AS143" s="324"/>
      <c r="AT143" s="331" t="s">
        <v>599</v>
      </c>
      <c r="AU143" s="324"/>
      <c r="AV143" s="324"/>
      <c r="AW143" s="324"/>
      <c r="AX143" s="324"/>
      <c r="AY143" s="324"/>
      <c r="AZ143" s="324"/>
      <c r="BA143" s="331" t="s">
        <v>600</v>
      </c>
      <c r="BB143" s="324"/>
      <c r="BC143" s="324"/>
      <c r="BD143" s="324"/>
      <c r="BE143" s="331" t="s">
        <v>601</v>
      </c>
      <c r="BF143" s="324"/>
      <c r="BG143" s="324"/>
      <c r="BH143" s="324"/>
      <c r="BI143" s="324"/>
      <c r="BJ143" s="324"/>
      <c r="BK143" s="331" t="s">
        <v>602</v>
      </c>
      <c r="BL143" s="324"/>
      <c r="BM143" s="324"/>
      <c r="BN143" s="324"/>
      <c r="BO143" s="324"/>
      <c r="BP143" s="324"/>
      <c r="BQ143" s="324"/>
      <c r="BR143" s="331" t="s">
        <v>603</v>
      </c>
      <c r="BS143" s="324"/>
      <c r="BT143" s="324"/>
      <c r="BU143" s="324"/>
      <c r="BV143" s="892" t="s">
        <v>604</v>
      </c>
      <c r="BW143" s="324"/>
      <c r="BX143" s="324"/>
      <c r="BY143" s="324"/>
      <c r="BZ143" s="324"/>
      <c r="CA143" s="324"/>
      <c r="CB143" s="324"/>
      <c r="CC143" s="324"/>
      <c r="CD143" s="324"/>
      <c r="CE143" s="324"/>
      <c r="CF143" s="324"/>
      <c r="CG143" s="324"/>
      <c r="CH143" s="324"/>
      <c r="CI143" s="324"/>
      <c r="CJ143" s="324"/>
      <c r="CK143" s="324"/>
      <c r="CL143" s="324"/>
    </row>
    <row r="144" spans="1:90" ht="15.5" customHeight="1">
      <c r="A144" t="s">
        <v>605</v>
      </c>
      <c r="B144"/>
      <c r="C144" s="307" t="s">
        <v>606</v>
      </c>
      <c r="D144"/>
      <c r="E144"/>
      <c r="F144" t="s">
        <v>4</v>
      </c>
      <c r="G144" s="308" t="s">
        <v>607</v>
      </c>
      <c r="H144" s="309" t="s">
        <v>608</v>
      </c>
      <c r="I144" s="309" t="s">
        <v>609</v>
      </c>
      <c r="J144" s="309" t="s">
        <v>610</v>
      </c>
      <c r="K144" s="310" t="s">
        <v>611</v>
      </c>
      <c r="L144" s="310" t="s">
        <v>612</v>
      </c>
      <c r="M144" s="309" t="s">
        <v>4</v>
      </c>
      <c r="N144" s="339" t="s">
        <v>8</v>
      </c>
      <c r="O144" s="340" t="s">
        <v>613</v>
      </c>
      <c r="P144" s="340" t="s">
        <v>613</v>
      </c>
      <c r="Q144" s="340"/>
      <c r="R144" s="340" t="s">
        <v>614</v>
      </c>
      <c r="S144" s="340"/>
      <c r="T144" s="341" t="s">
        <v>615</v>
      </c>
      <c r="U144" s="340" t="s">
        <v>616</v>
      </c>
      <c r="V144" s="340"/>
      <c r="W144" s="340" t="s">
        <v>617</v>
      </c>
      <c r="X144" s="340"/>
      <c r="Y144" s="340" t="s">
        <v>613</v>
      </c>
      <c r="Z144" s="340"/>
      <c r="AA144" s="340"/>
      <c r="AB144" s="340" t="s">
        <v>618</v>
      </c>
      <c r="AC144" s="340"/>
      <c r="AD144" s="340"/>
      <c r="AE144" s="341" t="s">
        <v>619</v>
      </c>
      <c r="AF144" s="340"/>
      <c r="AG144" s="340"/>
      <c r="AH144" s="342" t="s">
        <v>620</v>
      </c>
      <c r="AI144" s="342"/>
      <c r="AJ144" s="342"/>
      <c r="AK144" s="343" t="s">
        <v>4</v>
      </c>
      <c r="AL144" s="343"/>
      <c r="AM144" s="344" t="s">
        <v>621</v>
      </c>
      <c r="AN144" s="344"/>
      <c r="AO144" s="344"/>
      <c r="AP144" s="344"/>
      <c r="AQ144" s="344"/>
      <c r="AR144" s="345" t="s">
        <v>545</v>
      </c>
      <c r="AS144" s="344"/>
      <c r="AT144" s="346" t="s">
        <v>4</v>
      </c>
      <c r="AU144" s="346"/>
      <c r="AV144" s="346"/>
      <c r="AW144" s="346"/>
      <c r="AX144" s="346"/>
      <c r="AY144" s="346"/>
      <c r="AZ144" s="347"/>
      <c r="BA144" s="349" t="s">
        <v>622</v>
      </c>
      <c r="BB144" s="349"/>
      <c r="BC144" s="349"/>
      <c r="BD144" s="349"/>
      <c r="BE144" s="348" t="s">
        <v>623</v>
      </c>
      <c r="BF144" s="348"/>
      <c r="BG144" s="348"/>
      <c r="BH144" s="348"/>
      <c r="BI144" s="348"/>
      <c r="BJ144" s="348"/>
      <c r="BK144" s="340" t="s">
        <v>624</v>
      </c>
      <c r="BL144" s="324"/>
      <c r="BM144" s="324"/>
      <c r="BN144" s="324"/>
      <c r="BO144" s="324"/>
      <c r="BP144" s="324"/>
      <c r="BQ144" s="324"/>
      <c r="BR144" s="893" t="s">
        <v>451</v>
      </c>
      <c r="BS144" s="893"/>
      <c r="BT144" s="893"/>
      <c r="BU144" s="893"/>
      <c r="BV144" s="893" t="s">
        <v>420</v>
      </c>
      <c r="BW144" s="893"/>
      <c r="BX144" s="893"/>
      <c r="BY144" s="324"/>
      <c r="BZ144" s="324"/>
      <c r="CA144" s="324"/>
      <c r="CB144" s="324"/>
      <c r="CC144" s="324"/>
      <c r="CD144" s="324"/>
      <c r="CE144" s="324"/>
      <c r="CF144" s="324"/>
      <c r="CG144" s="324"/>
      <c r="CH144" s="324"/>
      <c r="CI144" s="324"/>
      <c r="CJ144" s="324"/>
      <c r="CK144" s="324"/>
      <c r="CL144" s="324"/>
    </row>
    <row r="145" spans="1:90" ht="15.5" customHeight="1">
      <c r="A145" t="s">
        <v>8</v>
      </c>
      <c r="B145"/>
      <c r="C145" s="307" t="s">
        <v>8</v>
      </c>
      <c r="D145"/>
      <c r="E145"/>
      <c r="F145" t="s">
        <v>625</v>
      </c>
      <c r="G145" s="308" t="s">
        <v>626</v>
      </c>
      <c r="H145" s="309" t="s">
        <v>627</v>
      </c>
      <c r="I145" s="309" t="s">
        <v>628</v>
      </c>
      <c r="J145" s="313" t="s">
        <v>629</v>
      </c>
      <c r="K145" s="310" t="s">
        <v>284</v>
      </c>
      <c r="L145" s="310" t="s">
        <v>630</v>
      </c>
      <c r="M145" s="309" t="s">
        <v>631</v>
      </c>
      <c r="N145" s="348" t="s">
        <v>632</v>
      </c>
      <c r="O145" s="340" t="s">
        <v>633</v>
      </c>
      <c r="P145" s="340" t="s">
        <v>634</v>
      </c>
      <c r="Q145" s="340"/>
      <c r="R145" s="340" t="s">
        <v>635</v>
      </c>
      <c r="S145" s="340"/>
      <c r="T145" s="341" t="s">
        <v>64</v>
      </c>
      <c r="U145" s="340" t="s">
        <v>64</v>
      </c>
      <c r="V145" s="340"/>
      <c r="W145" s="340" t="s">
        <v>636</v>
      </c>
      <c r="X145" s="340"/>
      <c r="Y145" s="340" t="s">
        <v>633</v>
      </c>
      <c r="Z145" s="340"/>
      <c r="AA145" s="340"/>
      <c r="AB145" s="340" t="s">
        <v>637</v>
      </c>
      <c r="AC145" s="340"/>
      <c r="AD145" s="340"/>
      <c r="AE145" s="341" t="s">
        <v>64</v>
      </c>
      <c r="AF145" s="340"/>
      <c r="AG145" s="340"/>
      <c r="AH145" s="342" t="s">
        <v>8</v>
      </c>
      <c r="AI145" s="342"/>
      <c r="AJ145" s="342"/>
      <c r="AK145" s="343" t="s">
        <v>638</v>
      </c>
      <c r="AL145" s="343"/>
      <c r="AM145" s="344" t="s">
        <v>639</v>
      </c>
      <c r="AN145" s="344"/>
      <c r="AO145" s="344"/>
      <c r="AP145" s="344"/>
      <c r="AQ145" s="344"/>
      <c r="AR145" s="345" t="s">
        <v>640</v>
      </c>
      <c r="AS145" s="344"/>
      <c r="AT145" s="349" t="s">
        <v>641</v>
      </c>
      <c r="AU145" s="349"/>
      <c r="AV145" s="349"/>
      <c r="AW145" s="349"/>
      <c r="AX145" s="349"/>
      <c r="AY145" s="349"/>
      <c r="AZ145" s="350"/>
      <c r="BA145" s="349" t="s">
        <v>642</v>
      </c>
      <c r="BB145" s="349"/>
      <c r="BC145" s="349"/>
      <c r="BD145" s="349"/>
      <c r="BE145" s="348" t="s">
        <v>643</v>
      </c>
      <c r="BF145" s="348"/>
      <c r="BG145" s="348"/>
      <c r="BH145" s="348"/>
      <c r="BI145" s="348"/>
      <c r="BJ145" s="348"/>
      <c r="BK145" s="340" t="s">
        <v>64</v>
      </c>
      <c r="BL145" s="324"/>
      <c r="BM145" s="324"/>
      <c r="BN145" s="324"/>
      <c r="BO145" s="324"/>
      <c r="BP145" s="324"/>
      <c r="BQ145" s="324"/>
      <c r="BR145" s="344" t="s">
        <v>536</v>
      </c>
      <c r="BS145" s="344"/>
      <c r="BT145" s="344"/>
      <c r="BU145" s="344"/>
      <c r="BV145" s="344" t="s">
        <v>426</v>
      </c>
      <c r="BW145" s="344"/>
      <c r="BX145" s="344"/>
      <c r="BY145" s="324"/>
      <c r="BZ145" s="324"/>
      <c r="CA145" s="324"/>
      <c r="CB145" s="324"/>
      <c r="CC145" s="324"/>
      <c r="CD145" s="324"/>
      <c r="CE145" s="324"/>
      <c r="CF145" s="324"/>
      <c r="CG145" s="324"/>
      <c r="CH145" s="324"/>
      <c r="CI145" s="324"/>
      <c r="CJ145" s="324"/>
      <c r="CK145" s="324"/>
      <c r="CL145" s="324"/>
    </row>
    <row r="146" spans="1:90" ht="15.5" customHeight="1">
      <c r="A146"/>
      <c r="B146"/>
      <c r="C146"/>
      <c r="D146"/>
      <c r="E146"/>
      <c r="F146"/>
      <c r="G146" s="314" t="s">
        <v>525</v>
      </c>
      <c r="H146" s="309" t="s">
        <v>644</v>
      </c>
      <c r="I146" s="309" t="s">
        <v>645</v>
      </c>
      <c r="J146" s="311" t="s">
        <v>525</v>
      </c>
      <c r="K146" s="310" t="s">
        <v>96</v>
      </c>
      <c r="L146" s="310" t="s">
        <v>646</v>
      </c>
      <c r="M146" s="309" t="s">
        <v>647</v>
      </c>
      <c r="N146" s="348" t="s">
        <v>648</v>
      </c>
      <c r="O146" s="340" t="s">
        <v>649</v>
      </c>
      <c r="P146" s="348" t="s">
        <v>650</v>
      </c>
      <c r="Q146" s="348"/>
      <c r="R146" s="348" t="s">
        <v>651</v>
      </c>
      <c r="S146" s="348"/>
      <c r="T146" s="339" t="s">
        <v>8</v>
      </c>
      <c r="U146" s="348" t="s">
        <v>8</v>
      </c>
      <c r="V146" s="348"/>
      <c r="W146" s="340" t="s">
        <v>652</v>
      </c>
      <c r="X146" s="340"/>
      <c r="Y146" s="340" t="s">
        <v>649</v>
      </c>
      <c r="Z146" s="340"/>
      <c r="AA146" s="340"/>
      <c r="AB146" s="348" t="s">
        <v>653</v>
      </c>
      <c r="AC146" s="348"/>
      <c r="AD146" s="348"/>
      <c r="AE146" s="339" t="s">
        <v>8</v>
      </c>
      <c r="AF146" s="348"/>
      <c r="AG146" s="348"/>
      <c r="AH146" s="351"/>
      <c r="AI146" s="324"/>
      <c r="AJ146" s="324"/>
      <c r="AK146" s="324"/>
      <c r="AL146" s="324"/>
      <c r="AM146" s="344" t="s">
        <v>654</v>
      </c>
      <c r="AN146" s="344"/>
      <c r="AO146" s="344"/>
      <c r="AP146" s="344"/>
      <c r="AQ146" s="344"/>
      <c r="AR146" s="352" t="s">
        <v>655</v>
      </c>
      <c r="AS146" s="344"/>
      <c r="AT146" s="349" t="s">
        <v>656</v>
      </c>
      <c r="AU146" s="349"/>
      <c r="AV146" s="349"/>
      <c r="AW146" s="349"/>
      <c r="AX146" s="349"/>
      <c r="AY146" s="349"/>
      <c r="AZ146" s="350"/>
      <c r="BA146" s="894" t="s">
        <v>657</v>
      </c>
      <c r="BB146" s="894"/>
      <c r="BC146" s="894"/>
      <c r="BD146" s="894"/>
      <c r="BE146" s="348" t="s">
        <v>658</v>
      </c>
      <c r="BF146" s="348"/>
      <c r="BG146" s="348"/>
      <c r="BH146" s="348"/>
      <c r="BI146" s="348"/>
      <c r="BJ146" s="348"/>
      <c r="BK146" s="348" t="s">
        <v>8</v>
      </c>
      <c r="BL146" s="324"/>
      <c r="BM146" s="324"/>
      <c r="BN146" s="324"/>
      <c r="BO146" s="324"/>
      <c r="BP146" s="324"/>
      <c r="BQ146" s="324"/>
      <c r="BR146" s="344" t="s">
        <v>538</v>
      </c>
      <c r="BS146" s="344"/>
      <c r="BT146" s="344"/>
      <c r="BU146" s="344"/>
      <c r="BV146" s="344"/>
      <c r="BW146" s="344"/>
      <c r="BX146" s="344"/>
      <c r="BY146" s="324"/>
      <c r="BZ146" s="324"/>
      <c r="CA146" s="324"/>
      <c r="CB146" s="324"/>
      <c r="CC146" s="324"/>
      <c r="CD146" s="324"/>
      <c r="CE146" s="324"/>
      <c r="CF146" s="324"/>
      <c r="CG146" s="324"/>
      <c r="CH146" s="324"/>
      <c r="CI146" s="324"/>
      <c r="CJ146" s="324"/>
      <c r="CK146" s="324"/>
      <c r="CL146" s="324"/>
    </row>
    <row r="147" spans="1:90" ht="15.5" customHeight="1">
      <c r="A147"/>
      <c r="B147"/>
      <c r="C147"/>
      <c r="D147"/>
      <c r="E147"/>
      <c r="F147"/>
      <c r="G147" s="315"/>
      <c r="H147" s="309" t="s">
        <v>659</v>
      </c>
      <c r="I147" s="309" t="s">
        <v>660</v>
      </c>
      <c r="J147" s="309"/>
      <c r="K147" s="309"/>
      <c r="L147" s="309"/>
      <c r="M147" s="309" t="s">
        <v>661</v>
      </c>
      <c r="N147" s="348"/>
      <c r="O147" s="348" t="s">
        <v>662</v>
      </c>
      <c r="P147" s="353" t="s">
        <v>663</v>
      </c>
      <c r="Q147" s="353"/>
      <c r="R147" s="354" t="s">
        <v>664</v>
      </c>
      <c r="S147" s="348"/>
      <c r="T147" s="348"/>
      <c r="U147" s="348"/>
      <c r="V147" s="348"/>
      <c r="W147" s="348"/>
      <c r="X147" s="348"/>
      <c r="Y147" s="348" t="s">
        <v>662</v>
      </c>
      <c r="Z147" s="348"/>
      <c r="AA147" s="348"/>
      <c r="AB147" s="354" t="s">
        <v>665</v>
      </c>
      <c r="AC147" s="348"/>
      <c r="AD147" s="348"/>
      <c r="AE147" s="348"/>
      <c r="AF147" s="348"/>
      <c r="AG147" s="348"/>
      <c r="AH147" s="348"/>
      <c r="AI147" s="324"/>
      <c r="AJ147" s="324"/>
      <c r="AK147" s="324"/>
      <c r="AL147" s="324"/>
      <c r="AM147" s="324"/>
      <c r="AN147" s="324"/>
      <c r="AO147" s="324"/>
      <c r="AP147" s="324"/>
      <c r="AQ147" s="324"/>
      <c r="AR147" s="355" t="s">
        <v>553</v>
      </c>
      <c r="AS147" s="324"/>
      <c r="AT147" s="346" t="s">
        <v>666</v>
      </c>
      <c r="AU147" s="346"/>
      <c r="AV147" s="346"/>
      <c r="AW147" s="346"/>
      <c r="AX147" s="346"/>
      <c r="AY147" s="346"/>
      <c r="AZ147" s="347"/>
      <c r="BA147" s="324"/>
      <c r="BB147" s="324"/>
      <c r="BC147" s="324"/>
      <c r="BD147" s="324"/>
      <c r="BE147" s="348" t="s">
        <v>667</v>
      </c>
      <c r="BF147" s="348"/>
      <c r="BG147" s="348"/>
      <c r="BH147" s="348"/>
      <c r="BI147" s="348"/>
      <c r="BJ147" s="348"/>
      <c r="BK147" s="351"/>
      <c r="BL147" s="324"/>
      <c r="BM147" s="324"/>
      <c r="BN147" s="324"/>
      <c r="BO147" s="324"/>
      <c r="BP147" s="324"/>
      <c r="BQ147" s="324"/>
      <c r="BR147" s="344" t="s">
        <v>244</v>
      </c>
      <c r="BS147" s="344"/>
      <c r="BT147" s="344"/>
      <c r="BU147" s="344"/>
      <c r="BV147" s="344"/>
      <c r="BW147" s="344"/>
      <c r="BX147" s="344"/>
      <c r="BY147" s="324"/>
      <c r="BZ147" s="324"/>
      <c r="CA147" s="324"/>
      <c r="CB147" s="324"/>
      <c r="CC147" s="324"/>
      <c r="CD147" s="324"/>
      <c r="CE147" s="324"/>
      <c r="CF147" s="324"/>
      <c r="CG147" s="324"/>
      <c r="CH147" s="324"/>
      <c r="CI147" s="324"/>
      <c r="CJ147" s="324"/>
      <c r="CK147" s="324"/>
      <c r="CL147" s="324"/>
    </row>
    <row r="148" spans="1:90" ht="15.5" customHeight="1">
      <c r="A148"/>
      <c r="B148"/>
      <c r="C148"/>
      <c r="D148"/>
      <c r="E148"/>
      <c r="F148"/>
      <c r="G148" s="315"/>
      <c r="H148" s="308"/>
      <c r="I148"/>
      <c r="J148"/>
      <c r="K148"/>
      <c r="L148"/>
      <c r="M148" s="309" t="s">
        <v>8</v>
      </c>
      <c r="N148" s="348"/>
      <c r="O148" s="348"/>
      <c r="P148" s="348"/>
      <c r="Q148" s="348"/>
      <c r="R148" s="348"/>
      <c r="S148" s="348"/>
      <c r="T148" s="324"/>
      <c r="U148" s="324"/>
      <c r="V148" s="324"/>
      <c r="W148" s="324"/>
      <c r="X148" s="324"/>
      <c r="Y148" s="324"/>
      <c r="Z148" s="324"/>
      <c r="AA148" s="324"/>
      <c r="AB148" s="324"/>
      <c r="AC148" s="324"/>
      <c r="AD148" s="324"/>
      <c r="AE148" s="324"/>
      <c r="AF148" s="324"/>
      <c r="AG148" s="324"/>
      <c r="AH148" s="324"/>
      <c r="AI148" s="324"/>
      <c r="AJ148" s="324"/>
      <c r="AK148" s="324"/>
      <c r="AL148" s="324"/>
      <c r="AM148" s="324"/>
      <c r="AN148" s="324"/>
      <c r="AO148" s="324"/>
      <c r="AP148" s="324"/>
      <c r="AQ148" s="324"/>
      <c r="AR148" s="324"/>
      <c r="AS148" s="324"/>
      <c r="AT148" s="324"/>
      <c r="AU148" s="324"/>
      <c r="AV148" s="324"/>
      <c r="AW148" s="324"/>
      <c r="AX148" s="324"/>
      <c r="AY148" s="324"/>
      <c r="AZ148" s="324"/>
      <c r="BA148" s="324"/>
      <c r="BB148" s="324"/>
      <c r="BC148" s="324"/>
      <c r="BD148" s="324"/>
      <c r="BE148" s="324"/>
      <c r="BF148" s="324"/>
      <c r="BG148" s="324"/>
      <c r="BH148" s="324"/>
      <c r="BI148" s="324"/>
      <c r="BJ148" s="324"/>
      <c r="BK148" s="324"/>
      <c r="BL148" s="324"/>
      <c r="BM148" s="324"/>
      <c r="BN148" s="324"/>
      <c r="BO148" s="324"/>
      <c r="BP148" s="324"/>
      <c r="BQ148" s="324"/>
      <c r="BR148" s="324"/>
      <c r="BS148" s="324"/>
      <c r="BT148" s="324"/>
      <c r="BU148" s="324"/>
      <c r="BV148" s="324"/>
      <c r="BW148" s="324"/>
      <c r="BX148" s="324"/>
      <c r="BY148" s="324"/>
      <c r="BZ148" s="324"/>
      <c r="CA148" s="324"/>
      <c r="CB148" s="324"/>
      <c r="CC148" s="324"/>
      <c r="CD148" s="324"/>
      <c r="CE148" s="324"/>
      <c r="CF148" s="324"/>
      <c r="CG148" s="324"/>
      <c r="CH148" s="324"/>
      <c r="CI148" s="324"/>
      <c r="CJ148" s="324"/>
      <c r="CK148" s="324"/>
      <c r="CL148" s="324"/>
    </row>
    <row r="149" spans="1:90">
      <c r="A149" s="245" t="s">
        <v>668</v>
      </c>
      <c r="B149"/>
      <c r="C149" s="245" t="s">
        <v>669</v>
      </c>
      <c r="D149"/>
      <c r="E149" t="s">
        <v>670</v>
      </c>
      <c r="F149" t="s">
        <v>671</v>
      </c>
      <c r="G149" s="315"/>
      <c r="H149" s="316"/>
      <c r="I149"/>
      <c r="J149"/>
      <c r="K149"/>
      <c r="L149"/>
      <c r="M149"/>
      <c r="N149" s="324"/>
      <c r="O149" s="324"/>
      <c r="P149" s="324"/>
      <c r="Q149" s="324"/>
      <c r="R149" s="324"/>
      <c r="S149" s="324"/>
      <c r="T149" s="324"/>
      <c r="U149" s="324"/>
      <c r="V149" s="324"/>
      <c r="W149" s="324"/>
      <c r="X149" s="324"/>
      <c r="Y149" s="324"/>
      <c r="Z149" s="324"/>
      <c r="AA149" s="324"/>
      <c r="AB149" s="324"/>
      <c r="AC149" s="324"/>
      <c r="AD149" s="324"/>
      <c r="AE149" s="324"/>
      <c r="AF149" s="324"/>
      <c r="AG149" s="324"/>
      <c r="AH149" s="324"/>
      <c r="AI149" s="324"/>
      <c r="AJ149" s="324"/>
      <c r="AK149" s="324"/>
      <c r="AL149" s="324"/>
      <c r="AM149" s="324"/>
      <c r="AN149" s="324"/>
      <c r="AO149" s="324"/>
      <c r="AP149" s="324"/>
      <c r="AQ149" s="324"/>
      <c r="AR149" s="324"/>
      <c r="AS149" s="324"/>
      <c r="AT149" s="324"/>
      <c r="AU149" s="324"/>
      <c r="AV149" s="324"/>
      <c r="AW149" s="324"/>
      <c r="AX149" s="324"/>
      <c r="AY149" s="324"/>
      <c r="AZ149" s="324"/>
      <c r="BA149" s="324"/>
      <c r="BB149" s="324"/>
      <c r="BC149" s="324"/>
      <c r="BD149" s="324"/>
      <c r="BE149" s="324"/>
      <c r="BF149" s="324"/>
      <c r="BG149" s="324"/>
      <c r="BH149" s="324"/>
      <c r="BI149" s="324"/>
      <c r="BJ149" s="324"/>
      <c r="BK149" s="324"/>
      <c r="BL149" s="324"/>
      <c r="BM149" s="324"/>
      <c r="BN149" s="324"/>
      <c r="BO149" s="324"/>
      <c r="BP149" s="324"/>
      <c r="BQ149" s="324"/>
      <c r="BR149" s="324"/>
      <c r="BS149" s="324"/>
      <c r="BT149" s="324"/>
      <c r="BU149" s="324"/>
      <c r="BV149" s="324"/>
      <c r="BW149" s="324"/>
      <c r="BX149" s="324"/>
      <c r="BY149" s="324"/>
      <c r="BZ149" s="324"/>
      <c r="CA149" s="324"/>
      <c r="CB149" s="324"/>
      <c r="CC149" s="324"/>
      <c r="CD149" s="324"/>
      <c r="CE149" s="324"/>
      <c r="CF149" s="324"/>
      <c r="CG149" s="324"/>
      <c r="CH149" s="324"/>
      <c r="CI149" s="324"/>
      <c r="CJ149" s="324"/>
      <c r="CK149" s="324"/>
      <c r="CL149" s="324"/>
    </row>
    <row r="150" spans="1:90" ht="15" customHeight="1">
      <c r="A150" t="s">
        <v>672</v>
      </c>
      <c r="B150"/>
      <c r="C150" t="s">
        <v>673</v>
      </c>
      <c r="D150"/>
      <c r="E150" s="317" t="s">
        <v>674</v>
      </c>
      <c r="F150" s="318" t="s">
        <v>675</v>
      </c>
      <c r="G150"/>
      <c r="H150"/>
      <c r="I150"/>
      <c r="J150"/>
      <c r="K150"/>
      <c r="L150"/>
      <c r="M150"/>
      <c r="N150" s="324"/>
      <c r="O150" s="324"/>
      <c r="P150" s="324"/>
      <c r="Q150" s="324"/>
      <c r="R150" s="324"/>
      <c r="S150" s="324"/>
      <c r="T150" s="324"/>
      <c r="U150" s="324"/>
      <c r="V150" s="324"/>
      <c r="W150" s="324"/>
      <c r="X150" s="324"/>
      <c r="Y150" s="324"/>
      <c r="Z150" s="324"/>
      <c r="AA150" s="324"/>
      <c r="AB150" s="324"/>
      <c r="AC150" s="324"/>
      <c r="AD150" s="324"/>
      <c r="AE150" s="324"/>
      <c r="AF150" s="324"/>
      <c r="AG150" s="324"/>
      <c r="AH150" s="324"/>
      <c r="AI150" s="324"/>
      <c r="AJ150" s="324"/>
      <c r="AK150" s="324"/>
      <c r="AL150" s="324"/>
      <c r="AM150" s="324"/>
      <c r="AN150" s="324"/>
      <c r="AO150" s="324"/>
      <c r="AP150" s="324"/>
      <c r="AQ150" s="324"/>
      <c r="AR150" s="324"/>
      <c r="AS150" s="324"/>
      <c r="AT150" s="324"/>
      <c r="AU150" s="324"/>
      <c r="AV150" s="324"/>
      <c r="AW150" s="324"/>
      <c r="AX150" s="324"/>
      <c r="AY150" s="324"/>
      <c r="AZ150" s="324"/>
      <c r="BA150" s="324"/>
      <c r="BB150" s="324"/>
      <c r="BC150" s="324"/>
      <c r="BD150" s="324"/>
      <c r="BE150" s="324"/>
      <c r="BF150" s="324"/>
      <c r="BG150" s="324"/>
      <c r="BH150" s="324"/>
      <c r="BI150" s="324"/>
      <c r="BJ150" s="324"/>
      <c r="BK150" s="324"/>
      <c r="BL150" s="324"/>
      <c r="BM150" s="324"/>
      <c r="BN150" s="324"/>
      <c r="BO150" s="324"/>
      <c r="BP150" s="324"/>
      <c r="BQ150" s="324"/>
      <c r="BR150" s="324"/>
      <c r="BS150" s="324"/>
      <c r="BT150" s="324"/>
      <c r="BU150" s="324"/>
      <c r="BV150" s="324"/>
      <c r="BW150" s="324"/>
      <c r="BX150" s="324"/>
      <c r="BY150" s="324"/>
      <c r="BZ150" s="324"/>
      <c r="CA150" s="324"/>
      <c r="CB150" s="324"/>
      <c r="CC150" s="324"/>
      <c r="CD150" s="324"/>
      <c r="CE150" s="324"/>
      <c r="CF150" s="324"/>
      <c r="CG150" s="324"/>
      <c r="CH150" s="324"/>
      <c r="CI150" s="324"/>
      <c r="CJ150" s="324"/>
      <c r="CK150" s="324"/>
      <c r="CL150" s="324"/>
    </row>
    <row r="151" spans="1:90">
      <c r="A151" t="s">
        <v>676</v>
      </c>
      <c r="B151"/>
      <c r="C151" t="s">
        <v>677</v>
      </c>
      <c r="D151"/>
      <c r="E151" s="319" t="s">
        <v>678</v>
      </c>
      <c r="F151" t="s">
        <v>679</v>
      </c>
      <c r="G151"/>
      <c r="H151"/>
      <c r="I151"/>
      <c r="J151"/>
      <c r="K151"/>
      <c r="L151"/>
      <c r="M151"/>
      <c r="N151" s="324"/>
      <c r="O151" s="324"/>
      <c r="P151" s="324"/>
      <c r="Q151" s="324"/>
      <c r="R151" s="324"/>
      <c r="S151" s="324"/>
      <c r="T151" s="324"/>
      <c r="U151" s="324"/>
      <c r="V151" s="324"/>
      <c r="W151" s="324"/>
      <c r="X151" s="324"/>
      <c r="Y151" s="324"/>
      <c r="Z151" s="324"/>
      <c r="AA151" s="324"/>
      <c r="AB151" s="324"/>
      <c r="AC151" s="324"/>
      <c r="AD151" s="324"/>
      <c r="AE151" s="324"/>
      <c r="AF151" s="324"/>
      <c r="AG151" s="324"/>
      <c r="AH151" s="324"/>
      <c r="AI151" s="324"/>
      <c r="AJ151" s="324"/>
      <c r="AK151" s="324"/>
      <c r="AL151" s="324"/>
      <c r="AM151" s="324"/>
      <c r="AN151" s="324"/>
      <c r="AO151" s="324"/>
      <c r="AP151" s="324"/>
      <c r="AQ151" s="324"/>
      <c r="AR151" s="324"/>
      <c r="AS151" s="324"/>
      <c r="AT151" s="324"/>
      <c r="AU151" s="324"/>
      <c r="AV151" s="324"/>
      <c r="AW151" s="324"/>
      <c r="AX151" s="324"/>
      <c r="AY151" s="324"/>
      <c r="AZ151" s="324"/>
      <c r="BA151" s="324"/>
      <c r="BB151" s="324"/>
      <c r="BC151" s="324"/>
      <c r="BD151" s="324"/>
      <c r="BE151" s="324"/>
      <c r="BF151" s="324"/>
      <c r="BG151" s="324"/>
      <c r="BH151" s="324"/>
      <c r="BI151" s="324"/>
      <c r="BJ151" s="324"/>
      <c r="BK151" s="324"/>
      <c r="BL151" s="324"/>
      <c r="BM151" s="324"/>
      <c r="BN151" s="324"/>
      <c r="BO151" s="324"/>
      <c r="BP151" s="324"/>
      <c r="BQ151" s="324"/>
      <c r="BR151" s="324"/>
      <c r="BS151" s="324"/>
      <c r="BT151" s="324"/>
      <c r="BU151" s="324"/>
      <c r="BV151" s="324"/>
      <c r="BW151" s="324"/>
      <c r="BX151" s="324"/>
      <c r="BY151" s="324"/>
      <c r="BZ151" s="324"/>
      <c r="CA151" s="324"/>
      <c r="CB151" s="324"/>
      <c r="CC151" s="324"/>
      <c r="CD151" s="324"/>
      <c r="CE151" s="324"/>
      <c r="CF151" s="324"/>
      <c r="CG151" s="324"/>
      <c r="CH151" s="324"/>
      <c r="CI151" s="324"/>
      <c r="CJ151" s="324"/>
      <c r="CK151" s="324"/>
      <c r="CL151" s="324"/>
    </row>
    <row r="152" spans="1:90">
      <c r="A152" t="s">
        <v>680</v>
      </c>
      <c r="B152"/>
      <c r="C152" t="s">
        <v>681</v>
      </c>
      <c r="D152"/>
      <c r="E152" s="319"/>
      <c r="F152" s="320"/>
      <c r="G152"/>
      <c r="H152"/>
      <c r="I152"/>
      <c r="J152"/>
      <c r="K152"/>
      <c r="L152"/>
      <c r="M152"/>
      <c r="N152" s="324"/>
      <c r="O152" s="324"/>
      <c r="P152" s="324"/>
      <c r="Q152" s="324"/>
      <c r="R152" s="324"/>
      <c r="S152" s="324"/>
      <c r="T152" s="324"/>
      <c r="U152" s="324"/>
      <c r="V152" s="324"/>
      <c r="W152" s="324"/>
      <c r="X152" s="324"/>
      <c r="Y152" s="324"/>
      <c r="Z152" s="324"/>
      <c r="AA152" s="324"/>
      <c r="AB152" s="324"/>
      <c r="AC152" s="324"/>
      <c r="AD152" s="324"/>
      <c r="AE152" s="324"/>
      <c r="AF152" s="324"/>
      <c r="AG152" s="324"/>
      <c r="AH152" s="324"/>
      <c r="AI152" s="324"/>
      <c r="AJ152" s="324"/>
      <c r="AK152" s="324"/>
      <c r="AL152" s="324"/>
      <c r="AM152" s="324"/>
      <c r="AN152" s="324"/>
      <c r="AO152" s="324"/>
      <c r="AP152" s="324"/>
      <c r="AQ152" s="324"/>
      <c r="AR152" s="324"/>
      <c r="AS152" s="324"/>
      <c r="AT152" s="324"/>
      <c r="AU152" s="324"/>
      <c r="AV152" s="324"/>
      <c r="AW152" s="324"/>
      <c r="AX152" s="324"/>
      <c r="AY152" s="324"/>
      <c r="AZ152" s="324"/>
      <c r="BA152" s="324"/>
      <c r="BB152" s="324"/>
      <c r="BC152" s="324"/>
      <c r="BD152" s="324"/>
      <c r="BE152" s="324"/>
      <c r="BF152" s="324"/>
      <c r="BG152" s="324"/>
      <c r="BH152" s="324"/>
      <c r="BI152" s="324"/>
      <c r="BJ152" s="324"/>
      <c r="BK152" s="324"/>
      <c r="BL152" s="324"/>
      <c r="BM152" s="324"/>
      <c r="BN152" s="324"/>
      <c r="BO152" s="324"/>
      <c r="BP152" s="324"/>
      <c r="BQ152" s="324"/>
      <c r="BR152" s="324"/>
      <c r="BS152" s="324"/>
      <c r="BT152" s="324"/>
      <c r="BU152" s="324"/>
      <c r="BV152" s="324"/>
      <c r="BW152" s="324"/>
      <c r="BX152" s="324"/>
      <c r="BY152" s="324"/>
      <c r="BZ152" s="324"/>
      <c r="CA152" s="324"/>
      <c r="CB152" s="324"/>
      <c r="CC152" s="324"/>
      <c r="CD152" s="324"/>
      <c r="CE152" s="324"/>
      <c r="CF152" s="324"/>
      <c r="CG152" s="324"/>
      <c r="CH152" s="324"/>
      <c r="CI152" s="324"/>
      <c r="CJ152" s="324"/>
      <c r="CK152" s="324"/>
      <c r="CL152" s="324"/>
    </row>
    <row r="153" spans="1:90">
      <c r="A153" t="s">
        <v>682</v>
      </c>
      <c r="B153"/>
      <c r="C153" t="s">
        <v>683</v>
      </c>
      <c r="D153"/>
      <c r="E153" s="319"/>
      <c r="F153" s="320"/>
      <c r="G153"/>
      <c r="H153"/>
      <c r="I153"/>
      <c r="J153"/>
      <c r="K153"/>
      <c r="L153"/>
      <c r="M153"/>
      <c r="N153" s="324"/>
      <c r="O153" s="324"/>
      <c r="P153" s="324"/>
      <c r="Q153" s="324"/>
      <c r="R153" s="324"/>
      <c r="S153" s="324"/>
      <c r="T153" s="324"/>
      <c r="U153" s="324"/>
      <c r="V153" s="324"/>
      <c r="W153" s="324"/>
      <c r="X153" s="324"/>
      <c r="Y153" s="324"/>
      <c r="Z153" s="324"/>
      <c r="AA153" s="324"/>
      <c r="AB153" s="324"/>
      <c r="AC153" s="324"/>
      <c r="AD153" s="324"/>
      <c r="AE153" s="324"/>
      <c r="AF153" s="324"/>
      <c r="AG153" s="324"/>
      <c r="AH153" s="324"/>
      <c r="AI153" s="324"/>
      <c r="AJ153" s="324"/>
      <c r="AK153" s="324"/>
      <c r="AL153" s="324"/>
      <c r="AM153" s="324"/>
      <c r="AN153" s="324"/>
      <c r="AO153" s="324"/>
      <c r="AP153" s="324"/>
      <c r="AQ153" s="324"/>
      <c r="AR153" s="324"/>
      <c r="AS153" s="324"/>
      <c r="AT153" s="324"/>
      <c r="AU153" s="324"/>
      <c r="AV153" s="324"/>
      <c r="AW153" s="324"/>
      <c r="AX153" s="324"/>
      <c r="AY153" s="324"/>
      <c r="AZ153" s="324"/>
      <c r="BA153" s="324"/>
      <c r="BB153" s="324"/>
      <c r="BC153" s="324"/>
      <c r="BD153" s="324"/>
      <c r="BE153" s="324"/>
      <c r="BF153" s="324"/>
      <c r="BG153" s="324"/>
      <c r="BH153" s="324"/>
      <c r="BI153" s="324"/>
      <c r="BJ153" s="324"/>
      <c r="BK153" s="324"/>
      <c r="BL153" s="324"/>
      <c r="BM153" s="324"/>
      <c r="BN153" s="324"/>
      <c r="BO153" s="324"/>
      <c r="BP153" s="324"/>
      <c r="BQ153" s="324"/>
      <c r="BR153" s="324"/>
      <c r="BS153" s="324"/>
      <c r="BT153" s="324"/>
      <c r="BU153" s="324"/>
      <c r="BV153" s="324"/>
      <c r="BW153" s="324"/>
      <c r="BX153" s="324"/>
      <c r="BY153" s="324"/>
      <c r="BZ153" s="324"/>
      <c r="CA153" s="324"/>
      <c r="CB153" s="324"/>
      <c r="CC153" s="324"/>
      <c r="CD153" s="324"/>
      <c r="CE153" s="324"/>
      <c r="CF153" s="324"/>
      <c r="CG153" s="324"/>
      <c r="CH153" s="324"/>
      <c r="CI153" s="324"/>
      <c r="CJ153" s="324"/>
      <c r="CK153" s="324"/>
      <c r="CL153" s="324"/>
    </row>
    <row r="154" spans="1:90">
      <c r="A154"/>
      <c r="B154"/>
      <c r="C154" t="s">
        <v>204</v>
      </c>
      <c r="D154"/>
      <c r="E154" s="319"/>
      <c r="F154" s="320"/>
      <c r="G154"/>
      <c r="H154"/>
      <c r="I154"/>
      <c r="J154"/>
      <c r="K154"/>
      <c r="L154"/>
      <c r="M154"/>
      <c r="N154" s="324"/>
      <c r="O154" s="324"/>
      <c r="P154" s="324"/>
      <c r="Q154" s="324"/>
      <c r="R154" s="324"/>
      <c r="S154" s="324"/>
      <c r="T154" s="324"/>
      <c r="U154" s="324"/>
      <c r="V154" s="324"/>
      <c r="W154" s="324"/>
      <c r="X154" s="324"/>
      <c r="Y154" s="324"/>
      <c r="Z154" s="324"/>
      <c r="AA154" s="324"/>
      <c r="AB154" s="324"/>
      <c r="AC154" s="324"/>
      <c r="AD154" s="324"/>
      <c r="AE154" s="324"/>
      <c r="AF154" s="324"/>
      <c r="AG154" s="324"/>
      <c r="AH154" s="324"/>
      <c r="AI154" s="324"/>
      <c r="AJ154" s="324"/>
      <c r="AK154" s="324"/>
      <c r="AL154" s="324"/>
      <c r="AM154" s="324"/>
      <c r="AN154" s="324"/>
      <c r="AO154" s="324"/>
      <c r="AP154" s="324"/>
      <c r="AQ154" s="324"/>
      <c r="AR154" s="324"/>
      <c r="AS154" s="324"/>
      <c r="AT154" s="324"/>
      <c r="AU154" s="324"/>
      <c r="AV154" s="324"/>
      <c r="AW154" s="324"/>
      <c r="AX154" s="324"/>
      <c r="AY154" s="324"/>
      <c r="AZ154" s="324"/>
      <c r="BA154" s="324"/>
      <c r="BB154" s="324"/>
      <c r="BC154" s="324"/>
      <c r="BD154" s="324"/>
      <c r="BE154" s="324"/>
      <c r="BF154" s="324"/>
      <c r="BG154" s="324"/>
      <c r="BH154" s="324"/>
      <c r="BI154" s="324"/>
      <c r="BJ154" s="324"/>
      <c r="BK154" s="324"/>
      <c r="BL154" s="324"/>
      <c r="BM154" s="324"/>
      <c r="BN154" s="324"/>
      <c r="BO154" s="324"/>
      <c r="BP154" s="324"/>
      <c r="BQ154" s="324"/>
      <c r="BR154" s="324"/>
      <c r="BS154" s="324"/>
      <c r="BT154" s="324"/>
      <c r="BU154" s="324"/>
      <c r="BV154" s="324"/>
      <c r="BW154" s="324"/>
      <c r="BX154" s="324"/>
      <c r="BY154" s="324"/>
      <c r="BZ154" s="324"/>
      <c r="CA154" s="324"/>
      <c r="CB154" s="324"/>
      <c r="CC154" s="324"/>
      <c r="CD154" s="324"/>
      <c r="CE154" s="324"/>
      <c r="CF154" s="324"/>
      <c r="CG154" s="324"/>
      <c r="CH154" s="324"/>
      <c r="CI154" s="324"/>
      <c r="CJ154" s="324"/>
      <c r="CK154" s="324"/>
      <c r="CL154" s="324"/>
    </row>
    <row r="155" spans="1:90">
      <c r="A155"/>
      <c r="B155"/>
      <c r="C155"/>
      <c r="D155"/>
      <c r="E155" s="319"/>
      <c r="F155" s="320"/>
      <c r="G155"/>
      <c r="H155"/>
      <c r="I155"/>
      <c r="J155"/>
      <c r="K155"/>
      <c r="L155"/>
      <c r="M155"/>
      <c r="N155" s="324"/>
      <c r="O155" s="324"/>
      <c r="P155" s="324"/>
      <c r="Q155" s="324"/>
      <c r="R155" s="324"/>
      <c r="S155" s="324"/>
      <c r="T155" s="324"/>
      <c r="U155" s="324"/>
      <c r="V155" s="324"/>
      <c r="W155" s="324"/>
      <c r="X155" s="324"/>
      <c r="Y155" s="324"/>
      <c r="Z155" s="324"/>
      <c r="AA155" s="324"/>
      <c r="AB155" s="324"/>
      <c r="AC155" s="324"/>
      <c r="AD155" s="324"/>
      <c r="AE155" s="324"/>
      <c r="AF155" s="324"/>
      <c r="AG155" s="324"/>
      <c r="AH155" s="324"/>
      <c r="AI155" s="324"/>
      <c r="AJ155" s="324"/>
      <c r="AK155" s="324"/>
      <c r="AL155" s="324"/>
      <c r="AM155" s="324"/>
      <c r="AN155" s="324"/>
      <c r="AO155" s="324"/>
      <c r="AP155" s="324"/>
      <c r="AQ155" s="324"/>
      <c r="AR155" s="324"/>
      <c r="AS155" s="324"/>
      <c r="AT155" s="324"/>
      <c r="AU155" s="324"/>
      <c r="AV155" s="324"/>
      <c r="AW155" s="324"/>
      <c r="AX155" s="324"/>
      <c r="AY155" s="324"/>
      <c r="AZ155" s="324"/>
      <c r="BA155" s="324"/>
      <c r="BB155" s="324"/>
      <c r="BC155" s="324"/>
      <c r="BD155" s="324"/>
      <c r="BE155" s="324"/>
      <c r="BF155" s="324"/>
      <c r="BG155" s="324"/>
      <c r="BH155" s="324"/>
      <c r="BI155" s="324"/>
      <c r="BJ155" s="324"/>
      <c r="BK155" s="324"/>
      <c r="BL155" s="324"/>
      <c r="BM155" s="324"/>
      <c r="BN155" s="324"/>
      <c r="BO155" s="324"/>
      <c r="BP155" s="324"/>
      <c r="BQ155" s="324"/>
      <c r="BR155" s="324"/>
      <c r="BS155" s="324"/>
      <c r="BT155" s="324"/>
      <c r="BU155" s="324"/>
      <c r="BV155" s="324"/>
      <c r="BW155" s="324"/>
      <c r="BX155" s="324"/>
      <c r="BY155" s="324"/>
      <c r="BZ155" s="324"/>
      <c r="CA155" s="324"/>
      <c r="CB155" s="324"/>
      <c r="CC155" s="324"/>
      <c r="CD155" s="324"/>
      <c r="CE155" s="324"/>
      <c r="CF155" s="324"/>
      <c r="CG155" s="324"/>
      <c r="CH155" s="324"/>
      <c r="CI155" s="324"/>
      <c r="CJ155" s="324"/>
      <c r="CK155" s="324"/>
      <c r="CL155" s="324"/>
    </row>
    <row r="156" spans="1:90">
      <c r="A156"/>
      <c r="B156"/>
      <c r="C156"/>
      <c r="D156"/>
      <c r="E156" s="321"/>
      <c r="F156" s="322"/>
      <c r="G156"/>
      <c r="H156"/>
      <c r="I156"/>
      <c r="J156"/>
      <c r="K156"/>
      <c r="L156"/>
      <c r="M156"/>
      <c r="N156" s="324"/>
      <c r="O156" s="324"/>
      <c r="P156" s="324"/>
      <c r="Q156" s="324"/>
      <c r="R156" s="324"/>
      <c r="S156" s="324"/>
      <c r="T156" s="324"/>
      <c r="U156" s="324"/>
      <c r="V156" s="324"/>
      <c r="W156" s="324"/>
      <c r="X156" s="324"/>
      <c r="Y156" s="324"/>
      <c r="Z156" s="324"/>
      <c r="AA156" s="324"/>
      <c r="AB156" s="324"/>
      <c r="AC156" s="324"/>
      <c r="AD156" s="324"/>
      <c r="AE156" s="324"/>
      <c r="AF156" s="324"/>
      <c r="AG156" s="324"/>
      <c r="AH156" s="324"/>
      <c r="AI156" s="324"/>
      <c r="AJ156" s="324"/>
      <c r="AK156" s="324"/>
      <c r="AL156" s="324"/>
      <c r="AM156" s="324"/>
      <c r="AN156" s="324"/>
      <c r="AO156" s="324"/>
      <c r="AP156" s="324"/>
      <c r="AQ156" s="324"/>
      <c r="AR156" s="324"/>
      <c r="AS156" s="324"/>
      <c r="AT156" s="324"/>
      <c r="AU156" s="324"/>
      <c r="AV156" s="324"/>
      <c r="AW156" s="324"/>
      <c r="AX156" s="324"/>
      <c r="AY156" s="324"/>
      <c r="AZ156" s="324"/>
      <c r="BA156" s="324"/>
      <c r="BB156" s="324"/>
      <c r="BC156" s="324"/>
      <c r="BD156" s="324"/>
      <c r="BE156" s="324"/>
      <c r="BF156" s="324"/>
      <c r="BG156" s="324"/>
      <c r="BH156" s="324"/>
      <c r="BI156" s="324"/>
      <c r="BJ156" s="324"/>
      <c r="BK156" s="324"/>
      <c r="BL156" s="324"/>
      <c r="BM156" s="324"/>
      <c r="BN156" s="324"/>
      <c r="BO156" s="324"/>
      <c r="BP156" s="324"/>
      <c r="BQ156" s="324"/>
      <c r="BR156" s="324"/>
      <c r="BS156" s="324"/>
      <c r="BT156" s="324"/>
      <c r="BU156" s="324"/>
      <c r="BV156" s="324"/>
      <c r="BW156" s="324"/>
      <c r="BX156" s="324"/>
      <c r="BY156" s="324"/>
      <c r="BZ156" s="324"/>
      <c r="CA156" s="324"/>
      <c r="CB156" s="324"/>
      <c r="CC156" s="324"/>
      <c r="CD156" s="324"/>
      <c r="CE156" s="324"/>
      <c r="CF156" s="324"/>
      <c r="CG156" s="324"/>
      <c r="CH156" s="324"/>
      <c r="CI156" s="324"/>
      <c r="CJ156" s="324"/>
      <c r="CK156" s="324"/>
      <c r="CL156" s="324"/>
    </row>
    <row r="157" spans="1:90">
      <c r="A157"/>
      <c r="B157"/>
      <c r="C157"/>
      <c r="D157"/>
      <c r="E157"/>
      <c r="F157"/>
      <c r="G157"/>
      <c r="H157"/>
      <c r="I157"/>
      <c r="J157"/>
      <c r="K157"/>
      <c r="L157"/>
      <c r="M157"/>
      <c r="N157" s="324"/>
      <c r="O157" s="324"/>
      <c r="P157" s="324"/>
      <c r="Q157" s="324"/>
      <c r="R157" s="324"/>
      <c r="S157" s="324"/>
      <c r="T157" s="324"/>
      <c r="U157" s="324"/>
      <c r="V157" s="324"/>
      <c r="W157" s="324"/>
      <c r="X157" s="324"/>
      <c r="Y157" s="324"/>
      <c r="Z157" s="324"/>
      <c r="AA157" s="324"/>
      <c r="AB157" s="324"/>
      <c r="AC157" s="324"/>
      <c r="AD157" s="324"/>
      <c r="AE157" s="324"/>
      <c r="AF157" s="324"/>
      <c r="AG157" s="324"/>
      <c r="AH157" s="324"/>
      <c r="AI157" s="324"/>
      <c r="AJ157" s="324"/>
      <c r="AK157" s="324"/>
      <c r="AL157" s="324"/>
      <c r="AM157" s="324"/>
      <c r="AN157" s="324"/>
      <c r="AO157" s="324"/>
      <c r="AP157" s="324"/>
      <c r="AQ157" s="324"/>
      <c r="AR157" s="324"/>
      <c r="AS157" s="324"/>
      <c r="AT157" s="324"/>
      <c r="AU157" s="324"/>
      <c r="AV157" s="324"/>
      <c r="AW157" s="324"/>
      <c r="AX157" s="324"/>
      <c r="AY157" s="324"/>
      <c r="AZ157" s="324"/>
      <c r="BA157" s="324"/>
      <c r="BB157" s="324"/>
      <c r="BC157" s="324"/>
      <c r="BD157" s="324"/>
      <c r="BE157" s="324"/>
      <c r="BF157" s="324"/>
      <c r="BG157" s="324"/>
      <c r="BH157" s="324"/>
      <c r="BI157" s="324"/>
      <c r="BJ157" s="324"/>
      <c r="BK157" s="324"/>
      <c r="BL157" s="324"/>
      <c r="BM157" s="324"/>
      <c r="BN157" s="324"/>
      <c r="BO157" s="324"/>
      <c r="BP157" s="324"/>
      <c r="BQ157" s="324"/>
      <c r="BR157" s="324"/>
      <c r="BS157" s="324"/>
      <c r="BT157" s="324"/>
      <c r="BU157" s="324"/>
      <c r="BV157" s="324"/>
      <c r="BW157" s="324"/>
      <c r="BX157" s="324"/>
      <c r="BY157" s="324"/>
      <c r="BZ157" s="324"/>
      <c r="CA157" s="324"/>
      <c r="CB157" s="324"/>
      <c r="CC157" s="324"/>
      <c r="CD157" s="324"/>
      <c r="CE157" s="324"/>
      <c r="CF157" s="324"/>
      <c r="CG157" s="324"/>
      <c r="CH157" s="324"/>
      <c r="CI157" s="324"/>
      <c r="CJ157" s="324"/>
      <c r="CK157" s="324"/>
      <c r="CL157" s="324"/>
    </row>
    <row r="158" spans="1:90">
      <c r="A158" s="245" t="s">
        <v>745</v>
      </c>
      <c r="B158"/>
      <c r="C158" s="245" t="s">
        <v>761</v>
      </c>
      <c r="D158"/>
      <c r="E158"/>
      <c r="F158"/>
      <c r="G158" s="245" t="s">
        <v>1088</v>
      </c>
      <c r="H158"/>
      <c r="I158"/>
      <c r="J158"/>
      <c r="K158"/>
      <c r="L158"/>
      <c r="M158"/>
      <c r="N158" s="324"/>
      <c r="O158" s="324"/>
      <c r="P158" s="324"/>
      <c r="Q158" s="324"/>
      <c r="R158" s="324"/>
      <c r="S158" s="324"/>
      <c r="T158" s="324"/>
      <c r="U158" s="324"/>
      <c r="V158" s="324"/>
      <c r="W158" s="324"/>
      <c r="X158" s="324"/>
      <c r="Y158" s="324"/>
      <c r="Z158" s="324"/>
      <c r="AA158" s="324"/>
      <c r="AB158" s="324"/>
      <c r="AC158" s="324"/>
      <c r="AD158" s="324"/>
      <c r="AE158" s="324"/>
      <c r="AF158" s="324"/>
      <c r="AG158" s="324"/>
      <c r="AH158" s="324"/>
      <c r="AI158" s="324"/>
      <c r="AJ158" s="324"/>
      <c r="AK158" s="324"/>
      <c r="AL158" s="324"/>
      <c r="AM158" s="324"/>
      <c r="AN158" s="324"/>
      <c r="AO158" s="324"/>
      <c r="AP158" s="324"/>
      <c r="AQ158" s="324"/>
      <c r="AR158" s="324"/>
      <c r="AS158" s="324"/>
      <c r="AT158" s="324"/>
      <c r="AU158" s="324"/>
      <c r="AV158" s="324"/>
      <c r="AW158" s="324"/>
      <c r="AX158" s="324"/>
      <c r="AY158" s="324"/>
      <c r="AZ158" s="324"/>
      <c r="BA158" s="324"/>
      <c r="BB158" s="324"/>
      <c r="BC158" s="324"/>
      <c r="BD158" s="324"/>
      <c r="BE158" s="324"/>
      <c r="BF158" s="324"/>
      <c r="BG158" s="324"/>
      <c r="BH158" s="324"/>
      <c r="BI158" s="324"/>
      <c r="BJ158" s="324"/>
      <c r="BK158" s="324"/>
      <c r="BL158" s="324"/>
      <c r="BM158" s="324"/>
      <c r="BN158" s="324"/>
      <c r="BO158" s="324"/>
      <c r="BP158" s="324"/>
      <c r="BQ158" s="324"/>
      <c r="BR158" s="324"/>
      <c r="BS158" s="324"/>
      <c r="BT158" s="324"/>
      <c r="BU158" s="324"/>
      <c r="BV158" s="324"/>
      <c r="BW158" s="324"/>
      <c r="BX158" s="324"/>
      <c r="BY158" s="324"/>
      <c r="BZ158" s="324"/>
      <c r="CA158" s="324"/>
      <c r="CB158" s="324"/>
      <c r="CC158" s="324"/>
      <c r="CD158" s="324"/>
      <c r="CE158" s="324"/>
      <c r="CF158" s="324"/>
      <c r="CG158" s="324"/>
      <c r="CH158" s="324"/>
      <c r="CI158" s="324"/>
      <c r="CJ158" s="324"/>
      <c r="CK158" s="324"/>
      <c r="CL158" s="324"/>
    </row>
    <row r="159" spans="1:90" ht="17">
      <c r="A159" s="394" t="s">
        <v>746</v>
      </c>
      <c r="B159" s="394"/>
      <c r="C159" s="402" t="s">
        <v>765</v>
      </c>
      <c r="D159" s="402"/>
      <c r="E159" s="402"/>
      <c r="F159" s="402"/>
      <c r="G159" s="402" t="s">
        <v>1087</v>
      </c>
      <c r="H159" s="402"/>
      <c r="I159" s="402"/>
      <c r="J159"/>
      <c r="K159"/>
      <c r="L159"/>
      <c r="M159"/>
      <c r="N159" s="324"/>
      <c r="O159" s="324"/>
      <c r="P159" s="324"/>
      <c r="Q159" s="324"/>
      <c r="R159" s="324"/>
      <c r="S159" s="324"/>
      <c r="T159" s="324"/>
      <c r="U159" s="324"/>
      <c r="V159" s="324"/>
      <c r="W159" s="324"/>
      <c r="X159" s="324"/>
      <c r="Y159" s="324"/>
      <c r="Z159" s="324"/>
      <c r="AA159" s="324"/>
      <c r="AB159" s="324"/>
      <c r="AC159" s="324"/>
      <c r="AD159" s="324"/>
      <c r="AE159" s="324"/>
      <c r="AF159" s="324"/>
      <c r="AG159" s="324"/>
      <c r="AH159" s="324"/>
      <c r="AI159" s="324"/>
      <c r="AJ159" s="324"/>
      <c r="AK159" s="324"/>
      <c r="AL159" s="324"/>
      <c r="AM159" s="324"/>
      <c r="AN159" s="324"/>
      <c r="AO159" s="324"/>
      <c r="AP159" s="324"/>
      <c r="AQ159" s="324"/>
      <c r="AR159" s="324"/>
      <c r="AS159" s="324"/>
      <c r="AT159" s="324"/>
      <c r="AU159" s="324"/>
      <c r="AV159" s="324"/>
      <c r="AW159" s="324"/>
      <c r="AX159" s="324"/>
      <c r="AY159" s="324"/>
      <c r="AZ159" s="324"/>
      <c r="BA159" s="324"/>
      <c r="BB159" s="324"/>
      <c r="BC159" s="324"/>
      <c r="BD159" s="324"/>
      <c r="BE159" s="324"/>
      <c r="BF159" s="324"/>
      <c r="BG159" s="324"/>
      <c r="BH159" s="324"/>
      <c r="BI159" s="324"/>
      <c r="BJ159" s="324"/>
      <c r="BK159" s="324"/>
      <c r="BL159" s="324"/>
      <c r="BM159" s="324"/>
      <c r="BN159" s="324"/>
      <c r="BO159" s="324"/>
      <c r="BP159" s="324"/>
      <c r="BQ159" s="324"/>
      <c r="BR159" s="324"/>
      <c r="BS159" s="324"/>
      <c r="BT159" s="324"/>
      <c r="BU159" s="324"/>
      <c r="BV159" s="324"/>
      <c r="BW159" s="324"/>
      <c r="BX159" s="324"/>
      <c r="BY159" s="324"/>
      <c r="BZ159" s="324"/>
      <c r="CA159" s="324"/>
      <c r="CB159" s="324"/>
      <c r="CC159" s="324"/>
      <c r="CD159" s="324"/>
      <c r="CE159" s="324"/>
      <c r="CF159" s="324"/>
      <c r="CG159" s="324"/>
      <c r="CH159" s="324"/>
      <c r="CI159" s="324"/>
      <c r="CJ159" s="324"/>
      <c r="CK159" s="324"/>
      <c r="CL159" s="324"/>
    </row>
    <row r="160" spans="1:90" ht="17">
      <c r="A160" s="395" t="s">
        <v>747</v>
      </c>
      <c r="B160" s="395"/>
      <c r="C160" s="401" t="s">
        <v>766</v>
      </c>
      <c r="D160" s="401"/>
      <c r="E160" s="401"/>
      <c r="F160" s="401"/>
      <c r="G160" s="401" t="s">
        <v>8</v>
      </c>
      <c r="H160" s="401"/>
      <c r="I160" s="401"/>
      <c r="J160"/>
      <c r="K160"/>
      <c r="L160"/>
      <c r="M160"/>
      <c r="N160" s="324"/>
      <c r="O160" s="324"/>
      <c r="P160" s="324"/>
      <c r="Q160" s="324"/>
      <c r="R160" s="324"/>
      <c r="S160" s="324"/>
      <c r="T160" s="324"/>
      <c r="U160" s="324"/>
      <c r="V160" s="324"/>
      <c r="W160" s="324"/>
      <c r="X160" s="324"/>
      <c r="Y160" s="324"/>
      <c r="Z160" s="324"/>
      <c r="AA160" s="324"/>
      <c r="AB160" s="324"/>
      <c r="AC160" s="324"/>
      <c r="AD160" s="324"/>
      <c r="AE160" s="324"/>
      <c r="AF160" s="324"/>
      <c r="AG160" s="324"/>
      <c r="AH160" s="324"/>
      <c r="AI160" s="324"/>
      <c r="AJ160" s="324"/>
      <c r="AK160" s="324"/>
      <c r="AL160" s="324"/>
      <c r="AM160" s="324"/>
      <c r="AN160" s="324"/>
      <c r="AO160" s="324"/>
      <c r="AP160" s="324"/>
      <c r="AQ160" s="324"/>
      <c r="AR160" s="324"/>
      <c r="AS160" s="324"/>
      <c r="AT160" s="324"/>
      <c r="AU160" s="324"/>
      <c r="AV160" s="324"/>
      <c r="AW160" s="324"/>
      <c r="AX160" s="324"/>
      <c r="AY160" s="324"/>
      <c r="AZ160" s="324"/>
      <c r="BA160" s="324"/>
      <c r="BB160" s="324"/>
      <c r="BC160" s="324"/>
      <c r="BD160" s="324"/>
      <c r="BE160" s="324"/>
      <c r="BF160" s="324"/>
      <c r="BG160" s="324"/>
      <c r="BH160" s="324"/>
      <c r="BI160" s="324"/>
      <c r="BJ160" s="324"/>
      <c r="BK160" s="324"/>
      <c r="BL160" s="324"/>
      <c r="BM160" s="324"/>
      <c r="BN160" s="324"/>
      <c r="BO160" s="324"/>
      <c r="BP160" s="324"/>
      <c r="BQ160" s="324"/>
      <c r="BR160" s="324"/>
      <c r="BS160" s="324"/>
      <c r="BT160" s="324"/>
      <c r="BU160" s="324"/>
      <c r="BV160" s="324"/>
      <c r="BW160" s="324"/>
      <c r="BX160" s="324"/>
      <c r="BY160" s="324"/>
      <c r="BZ160" s="324"/>
      <c r="CA160" s="324"/>
      <c r="CB160" s="324"/>
      <c r="CC160" s="324"/>
      <c r="CD160" s="324"/>
      <c r="CE160" s="324"/>
      <c r="CF160" s="324"/>
      <c r="CG160" s="324"/>
      <c r="CH160" s="324"/>
      <c r="CI160" s="324"/>
      <c r="CJ160" s="324"/>
      <c r="CK160" s="324"/>
      <c r="CL160" s="324"/>
    </row>
    <row r="161" spans="1:90" ht="17">
      <c r="A161" s="393" t="s">
        <v>748</v>
      </c>
      <c r="B161" s="393"/>
      <c r="C161" s="401" t="s">
        <v>1128</v>
      </c>
      <c r="D161" s="401"/>
      <c r="E161" s="401"/>
      <c r="F161" s="401"/>
      <c r="G161" s="401"/>
      <c r="H161" s="401"/>
      <c r="I161" s="401"/>
      <c r="J161"/>
      <c r="K161"/>
      <c r="L161"/>
      <c r="M161"/>
      <c r="N161" s="324"/>
      <c r="O161" s="324"/>
      <c r="P161" s="324"/>
      <c r="Q161" s="324"/>
      <c r="R161" s="324"/>
      <c r="S161" s="324"/>
      <c r="T161" s="324"/>
      <c r="U161" s="324"/>
      <c r="V161" s="324"/>
      <c r="W161" s="324"/>
      <c r="X161" s="324"/>
      <c r="Y161" s="324"/>
      <c r="Z161" s="324"/>
      <c r="AA161" s="324"/>
      <c r="AB161" s="324"/>
      <c r="AC161" s="324"/>
      <c r="AD161" s="324"/>
      <c r="AE161" s="324"/>
      <c r="AF161" s="324"/>
      <c r="AG161" s="324"/>
      <c r="AH161" s="324"/>
      <c r="AI161" s="324"/>
      <c r="AJ161" s="324"/>
      <c r="AK161" s="324"/>
      <c r="AL161" s="324"/>
      <c r="AM161" s="324"/>
      <c r="AN161" s="324"/>
      <c r="AO161" s="324"/>
      <c r="AP161" s="324"/>
      <c r="AQ161" s="324"/>
      <c r="AR161" s="324"/>
      <c r="AS161" s="324"/>
      <c r="AT161" s="324"/>
      <c r="AU161" s="324"/>
      <c r="AV161" s="324"/>
      <c r="AW161" s="324"/>
      <c r="AX161" s="324"/>
      <c r="AY161" s="324"/>
      <c r="AZ161" s="324"/>
      <c r="BA161" s="324"/>
      <c r="BB161" s="324"/>
      <c r="BC161" s="324"/>
      <c r="BD161" s="324"/>
      <c r="BE161" s="324"/>
      <c r="BF161" s="324"/>
      <c r="BG161" s="324"/>
      <c r="BH161" s="324"/>
      <c r="BI161" s="324"/>
      <c r="BJ161" s="324"/>
      <c r="BK161" s="324"/>
      <c r="BL161" s="324"/>
      <c r="BM161" s="324"/>
      <c r="BN161" s="324"/>
      <c r="BO161" s="324"/>
      <c r="BP161" s="324"/>
      <c r="BQ161" s="324"/>
      <c r="BR161" s="324"/>
      <c r="BS161" s="324"/>
      <c r="BT161" s="324"/>
      <c r="BU161" s="324"/>
      <c r="BV161" s="324"/>
      <c r="BW161" s="324"/>
      <c r="BX161" s="324"/>
      <c r="BY161" s="324"/>
      <c r="BZ161" s="324"/>
      <c r="CA161" s="324"/>
      <c r="CB161" s="324"/>
      <c r="CC161" s="324"/>
      <c r="CD161" s="324"/>
      <c r="CE161" s="324"/>
      <c r="CF161" s="324"/>
      <c r="CG161" s="324"/>
      <c r="CH161" s="324"/>
      <c r="CI161" s="324"/>
      <c r="CJ161" s="324"/>
      <c r="CK161" s="324"/>
      <c r="CL161" s="324"/>
    </row>
    <row r="162" spans="1:90">
      <c r="A162"/>
      <c r="B162"/>
      <c r="C162" s="401" t="s">
        <v>767</v>
      </c>
      <c r="D162" s="401"/>
      <c r="E162" s="401"/>
      <c r="F162" s="401"/>
      <c r="G162" s="401"/>
      <c r="H162" s="401"/>
      <c r="I162" s="401"/>
      <c r="J162"/>
      <c r="K162"/>
      <c r="L162"/>
      <c r="M162"/>
      <c r="N162" s="324"/>
      <c r="O162" s="324"/>
      <c r="P162" s="324"/>
      <c r="Q162" s="324"/>
      <c r="R162" s="324"/>
      <c r="S162" s="324"/>
      <c r="T162" s="324"/>
      <c r="U162" s="324"/>
      <c r="V162" s="324"/>
      <c r="W162" s="324"/>
      <c r="X162" s="324"/>
      <c r="Y162" s="324"/>
      <c r="Z162" s="324"/>
      <c r="AA162" s="324"/>
      <c r="AB162" s="324"/>
      <c r="AC162" s="324"/>
      <c r="AD162" s="324"/>
      <c r="AE162" s="324"/>
      <c r="AF162" s="324"/>
      <c r="AG162" s="324"/>
      <c r="AH162" s="324"/>
      <c r="AI162" s="324"/>
      <c r="AJ162" s="324"/>
      <c r="AK162" s="324"/>
      <c r="AL162" s="324"/>
      <c r="AM162" s="324"/>
      <c r="AN162" s="324"/>
      <c r="AO162" s="324"/>
      <c r="AP162" s="324"/>
      <c r="AQ162" s="324"/>
      <c r="AR162" s="324"/>
      <c r="AS162" s="324"/>
      <c r="AT162" s="324"/>
      <c r="AU162" s="324"/>
      <c r="AV162" s="324"/>
      <c r="AW162" s="324"/>
      <c r="AX162" s="324"/>
      <c r="AY162" s="324"/>
      <c r="AZ162" s="324"/>
      <c r="BA162" s="324"/>
      <c r="BB162" s="324"/>
      <c r="BC162" s="324"/>
      <c r="BD162" s="324"/>
      <c r="BE162" s="324"/>
      <c r="BF162" s="324"/>
      <c r="BG162" s="324"/>
      <c r="BH162" s="324"/>
      <c r="BI162" s="324"/>
      <c r="BJ162" s="324"/>
      <c r="BK162" s="324"/>
      <c r="BL162" s="324"/>
      <c r="BM162" s="324"/>
      <c r="BN162" s="324"/>
      <c r="BO162" s="324"/>
      <c r="BP162" s="324"/>
      <c r="BQ162" s="324"/>
      <c r="BR162" s="324"/>
      <c r="BS162" s="324"/>
      <c r="BT162" s="324"/>
      <c r="BU162" s="324"/>
      <c r="BV162" s="324"/>
      <c r="BW162" s="324"/>
      <c r="BX162" s="324"/>
      <c r="BY162" s="324"/>
      <c r="BZ162" s="324"/>
      <c r="CA162" s="324"/>
      <c r="CB162" s="324"/>
      <c r="CC162" s="324"/>
      <c r="CD162" s="324"/>
      <c r="CE162" s="324"/>
      <c r="CF162" s="324"/>
      <c r="CG162" s="324"/>
      <c r="CH162" s="324"/>
      <c r="CI162" s="324"/>
      <c r="CJ162" s="324"/>
      <c r="CK162" s="324"/>
      <c r="CL162" s="324"/>
    </row>
    <row r="163" spans="1:90">
      <c r="A163"/>
      <c r="B163"/>
      <c r="C163"/>
      <c r="D163"/>
      <c r="E163"/>
      <c r="F163"/>
      <c r="G163"/>
      <c r="H163"/>
      <c r="I163"/>
      <c r="J163"/>
      <c r="K163"/>
      <c r="L163"/>
      <c r="M163"/>
      <c r="N163" s="324"/>
      <c r="O163" s="324"/>
      <c r="P163" s="324"/>
      <c r="Q163" s="324"/>
      <c r="R163" s="324"/>
      <c r="S163" s="324"/>
      <c r="T163" s="324"/>
      <c r="U163" s="324"/>
      <c r="V163" s="324"/>
      <c r="W163" s="324"/>
      <c r="X163" s="324"/>
      <c r="Y163" s="324"/>
      <c r="Z163" s="324"/>
      <c r="AA163" s="324"/>
      <c r="AB163" s="324"/>
      <c r="AC163" s="324"/>
      <c r="AD163" s="324"/>
      <c r="AE163" s="324"/>
      <c r="AF163" s="324"/>
      <c r="AG163" s="324"/>
      <c r="AH163" s="324"/>
      <c r="AI163" s="324"/>
      <c r="AJ163" s="324"/>
      <c r="AK163" s="324"/>
      <c r="AL163" s="324"/>
      <c r="AM163" s="324"/>
      <c r="AN163" s="324"/>
      <c r="AO163" s="324"/>
      <c r="AP163" s="324"/>
      <c r="AQ163" s="324"/>
      <c r="AR163" s="324"/>
      <c r="AS163" s="324"/>
      <c r="AT163" s="324"/>
      <c r="AU163" s="324"/>
      <c r="AV163" s="324"/>
      <c r="AW163" s="324"/>
      <c r="AX163" s="324"/>
      <c r="AY163" s="324"/>
      <c r="AZ163" s="324"/>
      <c r="BA163" s="324"/>
      <c r="BB163" s="324"/>
      <c r="BC163" s="324"/>
      <c r="BD163" s="324"/>
      <c r="BE163" s="324"/>
      <c r="BF163" s="324"/>
      <c r="BG163" s="324"/>
      <c r="BH163" s="324"/>
      <c r="BI163" s="324"/>
      <c r="BJ163" s="324"/>
      <c r="BK163" s="324"/>
      <c r="BL163" s="324"/>
      <c r="BM163" s="324"/>
      <c r="BN163" s="324"/>
      <c r="BO163" s="324"/>
      <c r="BP163" s="324"/>
      <c r="BQ163" s="324"/>
      <c r="BR163" s="324"/>
      <c r="BS163" s="324"/>
      <c r="BT163" s="324"/>
      <c r="BU163" s="324"/>
      <c r="BV163" s="324"/>
      <c r="BW163" s="324"/>
      <c r="BX163" s="324"/>
      <c r="BY163" s="324"/>
      <c r="BZ163" s="324"/>
      <c r="CA163" s="324"/>
      <c r="CB163" s="324"/>
      <c r="CC163" s="324"/>
      <c r="CD163" s="324"/>
      <c r="CE163" s="324"/>
      <c r="CF163" s="324"/>
      <c r="CG163" s="324"/>
      <c r="CH163" s="324"/>
      <c r="CI163" s="324"/>
      <c r="CJ163" s="324"/>
      <c r="CK163" s="324"/>
      <c r="CL163" s="324"/>
    </row>
    <row r="164" spans="1:90">
      <c r="A164"/>
      <c r="B164"/>
      <c r="C164"/>
      <c r="D164"/>
      <c r="E164"/>
      <c r="F164"/>
      <c r="G164"/>
      <c r="H164"/>
      <c r="I164"/>
      <c r="J164"/>
      <c r="K164"/>
      <c r="L164"/>
      <c r="M164"/>
      <c r="N164" s="324"/>
      <c r="O164" s="324"/>
      <c r="P164" s="324"/>
      <c r="Q164" s="324"/>
      <c r="R164" s="324"/>
      <c r="S164" s="324"/>
      <c r="T164" s="324"/>
      <c r="U164" s="324"/>
      <c r="V164" s="324"/>
      <c r="W164" s="324"/>
      <c r="X164" s="324"/>
      <c r="Y164" s="324"/>
      <c r="Z164" s="324"/>
      <c r="AA164" s="324"/>
      <c r="AB164" s="324"/>
      <c r="AC164" s="324"/>
      <c r="AD164" s="324"/>
      <c r="AE164" s="324"/>
      <c r="AF164" s="324"/>
      <c r="AG164" s="324"/>
      <c r="AH164" s="324"/>
      <c r="AI164" s="324"/>
      <c r="AJ164" s="324"/>
      <c r="AK164" s="324"/>
      <c r="AL164" s="324"/>
      <c r="AM164" s="324"/>
      <c r="AN164" s="324"/>
      <c r="AO164" s="324"/>
      <c r="AP164" s="324"/>
      <c r="AQ164" s="324"/>
      <c r="AR164" s="324"/>
      <c r="AS164" s="324"/>
      <c r="AT164" s="324"/>
      <c r="AU164" s="324"/>
      <c r="AV164" s="324"/>
      <c r="AW164" s="324"/>
      <c r="AX164" s="324"/>
      <c r="AY164" s="324"/>
      <c r="AZ164" s="324"/>
      <c r="BA164" s="324"/>
      <c r="BB164" s="324"/>
      <c r="BC164" s="324"/>
      <c r="BD164" s="324"/>
      <c r="BE164" s="324"/>
      <c r="BF164" s="324"/>
      <c r="BG164" s="324"/>
      <c r="BH164" s="324"/>
      <c r="BI164" s="324"/>
      <c r="BJ164" s="324"/>
      <c r="BK164" s="324"/>
      <c r="BL164" s="324"/>
      <c r="BM164" s="324"/>
      <c r="BN164" s="324"/>
      <c r="BO164" s="324"/>
      <c r="BP164" s="324"/>
      <c r="BQ164" s="324"/>
      <c r="BR164" s="324"/>
      <c r="BS164" s="324"/>
      <c r="BT164" s="324"/>
      <c r="BU164" s="324"/>
      <c r="BV164" s="324"/>
      <c r="BW164" s="324"/>
      <c r="BX164" s="324"/>
      <c r="BY164" s="324"/>
      <c r="BZ164" s="324"/>
      <c r="CA164" s="324"/>
      <c r="CB164" s="324"/>
      <c r="CC164" s="324"/>
      <c r="CD164" s="324"/>
      <c r="CE164" s="324"/>
      <c r="CF164" s="324"/>
      <c r="CG164" s="324"/>
      <c r="CH164" s="324"/>
      <c r="CI164" s="324"/>
      <c r="CJ164" s="324"/>
      <c r="CK164" s="324"/>
      <c r="CL164" s="324"/>
    </row>
    <row r="165" spans="1:90">
      <c r="A165"/>
      <c r="B165"/>
      <c r="C165"/>
      <c r="D165"/>
      <c r="E165"/>
      <c r="F165"/>
      <c r="G165"/>
      <c r="H165"/>
      <c r="I165"/>
      <c r="J165"/>
      <c r="K165"/>
      <c r="L165"/>
      <c r="M165"/>
      <c r="N165" s="324"/>
      <c r="O165" s="324"/>
      <c r="P165" s="324"/>
      <c r="Q165" s="324"/>
      <c r="R165" s="324"/>
      <c r="S165" s="324"/>
      <c r="T165" s="324"/>
      <c r="U165" s="324"/>
      <c r="V165" s="324"/>
      <c r="W165" s="324"/>
      <c r="X165" s="324"/>
      <c r="Y165" s="324"/>
      <c r="Z165" s="324"/>
      <c r="AA165" s="324"/>
      <c r="AB165" s="324"/>
      <c r="AC165" s="324"/>
      <c r="AD165" s="324"/>
      <c r="AE165" s="324"/>
      <c r="AF165" s="324"/>
      <c r="AG165" s="324"/>
      <c r="AH165" s="324"/>
      <c r="AI165" s="324"/>
      <c r="AJ165" s="324"/>
      <c r="AK165" s="324"/>
      <c r="AL165" s="324"/>
      <c r="AM165" s="324"/>
      <c r="AN165" s="324"/>
      <c r="AO165" s="324"/>
      <c r="AP165" s="324"/>
      <c r="AQ165" s="324"/>
      <c r="AR165" s="324"/>
      <c r="AS165" s="324"/>
      <c r="AT165" s="324"/>
      <c r="AU165" s="324"/>
      <c r="AV165" s="324"/>
      <c r="AW165" s="324"/>
      <c r="AX165" s="324"/>
      <c r="AY165" s="324"/>
      <c r="AZ165" s="324"/>
      <c r="BA165" s="324"/>
      <c r="BB165" s="324"/>
      <c r="BC165" s="324"/>
      <c r="BD165" s="324"/>
      <c r="BE165" s="324"/>
      <c r="BF165" s="324"/>
      <c r="BG165" s="324"/>
      <c r="BH165" s="324"/>
      <c r="BI165" s="324"/>
      <c r="BJ165" s="324"/>
      <c r="BK165" s="324"/>
      <c r="BL165" s="324"/>
      <c r="BM165" s="324"/>
      <c r="BN165" s="324"/>
      <c r="BO165" s="324"/>
      <c r="BP165" s="324"/>
      <c r="BQ165" s="324"/>
      <c r="BR165" s="324"/>
      <c r="BS165" s="324"/>
      <c r="BT165" s="324"/>
      <c r="BU165" s="324"/>
      <c r="BV165" s="324"/>
      <c r="BW165" s="324"/>
      <c r="BX165" s="324"/>
      <c r="BY165" s="324"/>
      <c r="BZ165" s="324"/>
      <c r="CA165" s="324"/>
      <c r="CB165" s="324"/>
      <c r="CC165" s="324"/>
      <c r="CD165" s="324"/>
      <c r="CE165" s="324"/>
      <c r="CF165" s="324"/>
      <c r="CG165" s="324"/>
      <c r="CH165" s="324"/>
      <c r="CI165" s="324"/>
      <c r="CJ165" s="324"/>
      <c r="CK165" s="324"/>
      <c r="CL165" s="324"/>
    </row>
    <row r="166" spans="1:90">
      <c r="A166"/>
      <c r="B166"/>
      <c r="C166"/>
      <c r="D166"/>
      <c r="E166"/>
      <c r="F166"/>
      <c r="G166"/>
      <c r="H166"/>
      <c r="I166"/>
      <c r="J166"/>
      <c r="K166"/>
      <c r="L166"/>
      <c r="M166"/>
      <c r="N166" s="324"/>
      <c r="O166" s="324"/>
      <c r="P166" s="324"/>
      <c r="Q166" s="324"/>
      <c r="R166" s="324"/>
      <c r="S166" s="324"/>
      <c r="T166" s="324"/>
      <c r="U166" s="324"/>
      <c r="V166" s="324"/>
      <c r="W166" s="324"/>
      <c r="X166" s="324"/>
      <c r="Y166" s="324"/>
      <c r="Z166" s="324"/>
      <c r="AA166" s="324"/>
      <c r="AB166" s="324"/>
      <c r="AC166" s="324"/>
      <c r="AD166" s="324"/>
      <c r="AE166" s="324"/>
      <c r="AF166" s="324"/>
      <c r="AG166" s="324"/>
      <c r="AH166" s="324"/>
      <c r="AI166" s="324"/>
      <c r="AJ166" s="324"/>
      <c r="AK166" s="324"/>
      <c r="AL166" s="324"/>
      <c r="AM166" s="324"/>
      <c r="AN166" s="324"/>
      <c r="AO166" s="324"/>
      <c r="AP166" s="324"/>
      <c r="AQ166" s="324"/>
      <c r="AR166" s="324"/>
      <c r="AS166" s="324"/>
      <c r="AT166" s="324"/>
      <c r="AU166" s="324"/>
      <c r="AV166" s="324"/>
      <c r="AW166" s="324"/>
      <c r="AX166" s="324"/>
      <c r="AY166" s="324"/>
      <c r="AZ166" s="324"/>
      <c r="BA166" s="324"/>
      <c r="BB166" s="324"/>
      <c r="BC166" s="324"/>
      <c r="BD166" s="324"/>
      <c r="BE166" s="324"/>
      <c r="BF166" s="324"/>
      <c r="BG166" s="324"/>
      <c r="BH166" s="324"/>
      <c r="BI166" s="324"/>
      <c r="BJ166" s="324"/>
      <c r="BK166" s="324"/>
      <c r="BL166" s="324"/>
      <c r="BM166" s="324"/>
      <c r="BN166" s="324"/>
      <c r="BO166" s="324"/>
      <c r="BP166" s="324"/>
      <c r="BQ166" s="324"/>
      <c r="BR166" s="324"/>
      <c r="BS166" s="324"/>
      <c r="BT166" s="324"/>
      <c r="BU166" s="324"/>
      <c r="BV166" s="324"/>
      <c r="BW166" s="324"/>
      <c r="BX166" s="324"/>
      <c r="BY166" s="324"/>
      <c r="BZ166" s="324"/>
      <c r="CA166" s="324"/>
      <c r="CB166" s="324"/>
      <c r="CC166" s="324"/>
      <c r="CD166" s="324"/>
      <c r="CE166" s="324"/>
      <c r="CF166" s="324"/>
      <c r="CG166" s="324"/>
      <c r="CH166" s="324"/>
      <c r="CI166" s="324"/>
      <c r="CJ166" s="324"/>
      <c r="CK166" s="324"/>
      <c r="CL166" s="324"/>
    </row>
    <row r="167" spans="1:90">
      <c r="A167"/>
      <c r="B167"/>
      <c r="C167"/>
      <c r="D167"/>
      <c r="E167"/>
      <c r="F167"/>
      <c r="G167"/>
      <c r="H167"/>
      <c r="I167"/>
      <c r="J167"/>
      <c r="K167"/>
      <c r="L167"/>
      <c r="M167"/>
      <c r="N167" s="324"/>
      <c r="O167" s="324"/>
      <c r="P167" s="324"/>
      <c r="Q167" s="324"/>
      <c r="R167" s="324"/>
      <c r="S167" s="324"/>
      <c r="T167" s="324"/>
      <c r="U167" s="324"/>
      <c r="V167" s="324"/>
      <c r="W167" s="324"/>
      <c r="X167" s="324"/>
      <c r="Y167" s="324"/>
      <c r="Z167" s="324"/>
      <c r="AA167" s="324"/>
      <c r="AB167" s="324"/>
      <c r="AC167" s="324"/>
      <c r="AD167" s="324"/>
      <c r="AE167" s="324"/>
      <c r="AF167" s="324"/>
      <c r="AG167" s="324"/>
      <c r="AH167" s="324"/>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c r="CC167" s="324"/>
      <c r="CD167" s="324"/>
      <c r="CE167" s="324"/>
      <c r="CF167" s="324"/>
      <c r="CG167" s="324"/>
      <c r="CH167" s="324"/>
      <c r="CI167" s="324"/>
      <c r="CJ167" s="324"/>
      <c r="CK167" s="324"/>
      <c r="CL167" s="324"/>
    </row>
    <row r="168" spans="1:90">
      <c r="A168"/>
      <c r="B168"/>
      <c r="C168"/>
      <c r="D168"/>
      <c r="E168"/>
      <c r="F168"/>
      <c r="G168"/>
      <c r="H168"/>
      <c r="I168"/>
      <c r="J168"/>
      <c r="K168"/>
      <c r="L168"/>
      <c r="M168"/>
      <c r="N168" s="324"/>
      <c r="O168" s="324"/>
      <c r="P168" s="324"/>
      <c r="Q168" s="324"/>
      <c r="R168" s="324"/>
      <c r="S168" s="324"/>
      <c r="T168" s="324"/>
      <c r="U168" s="324"/>
      <c r="V168" s="324"/>
      <c r="W168" s="324"/>
      <c r="X168" s="324"/>
      <c r="Y168" s="324"/>
      <c r="Z168" s="324"/>
      <c r="AA168" s="324"/>
      <c r="AB168" s="324"/>
      <c r="AC168" s="324"/>
      <c r="AD168" s="324"/>
      <c r="AE168" s="324"/>
      <c r="AF168" s="324"/>
      <c r="AG168" s="324"/>
      <c r="AH168" s="324"/>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c r="CC168" s="324"/>
      <c r="CD168" s="324"/>
      <c r="CE168" s="324"/>
      <c r="CF168" s="324"/>
      <c r="CG168" s="324"/>
      <c r="CH168" s="324"/>
      <c r="CI168" s="324"/>
      <c r="CJ168" s="324"/>
      <c r="CK168" s="324"/>
      <c r="CL168" s="324"/>
    </row>
    <row r="169" spans="1:90">
      <c r="A169"/>
      <c r="B169"/>
      <c r="C169"/>
      <c r="D169"/>
      <c r="E169"/>
      <c r="F169"/>
      <c r="G169"/>
      <c r="H169"/>
      <c r="I169"/>
      <c r="J169"/>
      <c r="K169"/>
      <c r="L169"/>
      <c r="M169"/>
      <c r="N169" s="324"/>
      <c r="O169" s="324"/>
      <c r="P169" s="324"/>
      <c r="Q169" s="324"/>
      <c r="R169" s="324"/>
      <c r="S169" s="324"/>
      <c r="T169" s="324"/>
      <c r="U169" s="324"/>
      <c r="V169" s="324"/>
      <c r="W169" s="324"/>
      <c r="X169" s="324"/>
      <c r="Y169" s="324"/>
      <c r="Z169" s="324"/>
      <c r="AA169" s="324"/>
      <c r="AB169" s="324"/>
      <c r="AC169" s="324"/>
      <c r="AD169" s="324"/>
      <c r="AE169" s="324"/>
      <c r="AF169" s="324"/>
      <c r="AG169" s="324"/>
      <c r="AH169" s="324"/>
      <c r="AI169" s="324"/>
      <c r="AJ169" s="324"/>
      <c r="AK169" s="324"/>
      <c r="AL169" s="324"/>
      <c r="AM169" s="324"/>
      <c r="AN169" s="324"/>
      <c r="AO169" s="324"/>
      <c r="AP169" s="324"/>
      <c r="AQ169" s="324"/>
      <c r="AR169" s="324"/>
      <c r="AS169" s="324"/>
      <c r="AT169" s="324"/>
      <c r="AU169" s="324"/>
      <c r="AV169" s="324"/>
      <c r="AW169" s="324"/>
      <c r="AX169" s="324"/>
      <c r="AY169" s="324"/>
      <c r="AZ169" s="324"/>
      <c r="BA169" s="324"/>
      <c r="BB169" s="324"/>
      <c r="BC169" s="324"/>
      <c r="BD169" s="324"/>
      <c r="BE169" s="324"/>
      <c r="BF169" s="324"/>
      <c r="BG169" s="324"/>
      <c r="BH169" s="324"/>
      <c r="BI169" s="324"/>
      <c r="BJ169" s="324"/>
      <c r="BK169" s="324"/>
      <c r="BL169" s="324"/>
      <c r="BM169" s="324"/>
      <c r="BN169" s="324"/>
      <c r="BO169" s="324"/>
      <c r="BP169" s="324"/>
      <c r="BQ169" s="324"/>
      <c r="BR169" s="324"/>
      <c r="BS169" s="324"/>
      <c r="BT169" s="324"/>
      <c r="BU169" s="324"/>
      <c r="BV169" s="324"/>
      <c r="BW169" s="324"/>
      <c r="BX169" s="324"/>
      <c r="BY169" s="324"/>
      <c r="BZ169" s="324"/>
      <c r="CA169" s="324"/>
      <c r="CB169" s="324"/>
      <c r="CC169" s="324"/>
      <c r="CD169" s="324"/>
      <c r="CE169" s="324"/>
      <c r="CF169" s="324"/>
      <c r="CG169" s="324"/>
      <c r="CH169" s="324"/>
      <c r="CI169" s="324"/>
      <c r="CJ169" s="324"/>
      <c r="CK169" s="324"/>
      <c r="CL169" s="324"/>
    </row>
    <row r="170" spans="1:90">
      <c r="A170"/>
      <c r="B170"/>
      <c r="C170"/>
      <c r="D170"/>
      <c r="E170"/>
      <c r="F170"/>
      <c r="G170"/>
      <c r="H170"/>
      <c r="I170"/>
      <c r="J170"/>
      <c r="K170"/>
      <c r="L170"/>
      <c r="M170"/>
      <c r="N170" s="324"/>
      <c r="O170" s="324"/>
      <c r="P170" s="324"/>
      <c r="Q170" s="324"/>
      <c r="R170" s="324"/>
      <c r="S170" s="324"/>
      <c r="T170" s="324"/>
      <c r="U170" s="324"/>
      <c r="V170" s="324"/>
      <c r="W170" s="324"/>
      <c r="X170" s="324"/>
      <c r="Y170" s="324"/>
      <c r="Z170" s="324"/>
      <c r="AA170" s="324"/>
      <c r="AB170" s="324"/>
      <c r="AC170" s="324"/>
      <c r="AD170" s="324"/>
      <c r="AE170" s="324"/>
      <c r="AF170" s="324"/>
      <c r="AG170" s="324"/>
      <c r="AH170" s="324"/>
      <c r="AI170" s="324"/>
      <c r="AJ170" s="324"/>
      <c r="AK170" s="324"/>
      <c r="AL170" s="324"/>
      <c r="AM170" s="324"/>
      <c r="AN170" s="324"/>
      <c r="AO170" s="324"/>
      <c r="AP170" s="324"/>
      <c r="AQ170" s="324"/>
      <c r="AR170" s="324"/>
      <c r="AS170" s="324"/>
      <c r="AT170" s="324"/>
      <c r="AU170" s="324"/>
      <c r="AV170" s="324"/>
      <c r="AW170" s="324"/>
      <c r="AX170" s="324"/>
      <c r="AY170" s="324"/>
      <c r="AZ170" s="324"/>
      <c r="BA170" s="324"/>
      <c r="BB170" s="324"/>
      <c r="BC170" s="324"/>
      <c r="BD170" s="324"/>
      <c r="BE170" s="324"/>
      <c r="BF170" s="324"/>
      <c r="BG170" s="324"/>
      <c r="BH170" s="324"/>
      <c r="BI170" s="324"/>
      <c r="BJ170" s="324"/>
      <c r="BK170" s="324"/>
      <c r="BL170" s="324"/>
      <c r="BM170" s="324"/>
      <c r="BN170" s="324"/>
      <c r="BO170" s="324"/>
      <c r="BP170" s="324"/>
      <c r="BQ170" s="324"/>
      <c r="BR170" s="324"/>
      <c r="BS170" s="324"/>
      <c r="BT170" s="324"/>
      <c r="BU170" s="324"/>
      <c r="BV170" s="324"/>
      <c r="BW170" s="324"/>
      <c r="BX170" s="324"/>
      <c r="BY170" s="324"/>
      <c r="BZ170" s="324"/>
      <c r="CA170" s="324"/>
      <c r="CB170" s="324"/>
      <c r="CC170" s="324"/>
      <c r="CD170" s="324"/>
      <c r="CE170" s="324"/>
      <c r="CF170" s="324"/>
      <c r="CG170" s="324"/>
      <c r="CH170" s="324"/>
      <c r="CI170" s="324"/>
      <c r="CJ170" s="324"/>
      <c r="CK170" s="324"/>
      <c r="CL170" s="324"/>
    </row>
    <row r="171" spans="1:90">
      <c r="A171"/>
      <c r="B171"/>
      <c r="C171"/>
      <c r="D171"/>
      <c r="E171"/>
      <c r="F171"/>
      <c r="G171"/>
      <c r="H171"/>
      <c r="I171"/>
      <c r="J171"/>
      <c r="K171"/>
      <c r="L171"/>
      <c r="M171"/>
      <c r="N171" s="324"/>
      <c r="O171" s="324"/>
      <c r="P171" s="324"/>
      <c r="Q171" s="324"/>
      <c r="R171" s="324"/>
      <c r="S171" s="324"/>
      <c r="T171" s="324"/>
      <c r="U171" s="324"/>
      <c r="V171" s="324"/>
      <c r="W171" s="324"/>
      <c r="X171" s="324"/>
      <c r="Y171" s="324"/>
      <c r="Z171" s="324"/>
      <c r="AA171" s="324"/>
      <c r="AB171" s="324"/>
      <c r="AC171" s="324"/>
      <c r="AD171" s="324"/>
      <c r="AE171" s="324"/>
      <c r="AF171" s="324"/>
      <c r="AG171" s="324"/>
      <c r="AH171" s="324"/>
      <c r="AI171" s="324"/>
      <c r="AJ171" s="324"/>
      <c r="AK171" s="324"/>
      <c r="AL171" s="324"/>
      <c r="AM171" s="324"/>
      <c r="AN171" s="324"/>
      <c r="AO171" s="324"/>
      <c r="AP171" s="324"/>
      <c r="AQ171" s="324"/>
      <c r="AR171" s="324"/>
      <c r="AS171" s="324"/>
      <c r="AT171" s="324"/>
      <c r="AU171" s="324"/>
      <c r="AV171" s="324"/>
      <c r="AW171" s="324"/>
      <c r="AX171" s="324"/>
      <c r="AY171" s="324"/>
      <c r="AZ171" s="324"/>
      <c r="BA171" s="324"/>
      <c r="BB171" s="324"/>
      <c r="BC171" s="324"/>
      <c r="BD171" s="324"/>
      <c r="BE171" s="324"/>
      <c r="BF171" s="324"/>
      <c r="BG171" s="324"/>
      <c r="BH171" s="324"/>
      <c r="BI171" s="324"/>
      <c r="BJ171" s="324"/>
      <c r="BK171" s="324"/>
      <c r="BL171" s="324"/>
      <c r="BM171" s="324"/>
      <c r="BN171" s="324"/>
      <c r="BO171" s="324"/>
      <c r="BP171" s="324"/>
      <c r="BQ171" s="324"/>
      <c r="BR171" s="324"/>
      <c r="BS171" s="324"/>
      <c r="BT171" s="324"/>
      <c r="BU171" s="324"/>
      <c r="BV171" s="324"/>
      <c r="BW171" s="324"/>
      <c r="BX171" s="324"/>
      <c r="BY171" s="324"/>
      <c r="BZ171" s="324"/>
      <c r="CA171" s="324"/>
      <c r="CB171" s="324"/>
      <c r="CC171" s="324"/>
      <c r="CD171" s="324"/>
      <c r="CE171" s="324"/>
      <c r="CF171" s="324"/>
      <c r="CG171" s="324"/>
      <c r="CH171" s="324"/>
      <c r="CI171" s="324"/>
      <c r="CJ171" s="324"/>
      <c r="CK171" s="324"/>
      <c r="CL171" s="324"/>
    </row>
    <row r="172" spans="1:90">
      <c r="A172"/>
      <c r="B172"/>
      <c r="C172"/>
      <c r="D172"/>
      <c r="E172"/>
      <c r="F172"/>
      <c r="G172"/>
      <c r="H172"/>
      <c r="I172"/>
      <c r="J172"/>
      <c r="K172"/>
      <c r="L172"/>
      <c r="M172"/>
      <c r="N172" s="324"/>
      <c r="O172" s="324"/>
      <c r="P172" s="324"/>
      <c r="Q172" s="324"/>
      <c r="R172" s="324"/>
      <c r="S172" s="324"/>
      <c r="T172" s="324"/>
      <c r="U172" s="324"/>
      <c r="V172" s="324"/>
      <c r="W172" s="324"/>
      <c r="X172" s="324"/>
      <c r="Y172" s="324"/>
      <c r="Z172" s="324"/>
      <c r="AA172" s="324"/>
      <c r="AB172" s="324"/>
      <c r="AC172" s="324"/>
      <c r="AD172" s="324"/>
      <c r="AE172" s="324"/>
      <c r="AF172" s="324"/>
      <c r="AG172" s="324"/>
      <c r="AH172" s="324"/>
      <c r="AI172" s="324"/>
      <c r="AJ172" s="324"/>
      <c r="AK172" s="324"/>
      <c r="AL172" s="324"/>
      <c r="AM172" s="324"/>
      <c r="AN172" s="324"/>
      <c r="AO172" s="324"/>
      <c r="AP172" s="324"/>
      <c r="AQ172" s="324"/>
      <c r="AR172" s="324"/>
      <c r="AS172" s="324"/>
      <c r="AT172" s="324"/>
      <c r="AU172" s="324"/>
      <c r="AV172" s="324"/>
      <c r="AW172" s="324"/>
      <c r="AX172" s="324"/>
      <c r="AY172" s="324"/>
      <c r="AZ172" s="324"/>
      <c r="BA172" s="324"/>
      <c r="BB172" s="324"/>
      <c r="BC172" s="324"/>
      <c r="BD172" s="324"/>
      <c r="BE172" s="324"/>
      <c r="BF172" s="324"/>
      <c r="BG172" s="324"/>
      <c r="BH172" s="324"/>
      <c r="BI172" s="324"/>
      <c r="BJ172" s="324"/>
      <c r="BK172" s="324"/>
      <c r="BL172" s="324"/>
      <c r="BM172" s="324"/>
      <c r="BN172" s="324"/>
      <c r="BO172" s="324"/>
      <c r="BP172" s="324"/>
      <c r="BQ172" s="324"/>
      <c r="BR172" s="324"/>
      <c r="BS172" s="324"/>
      <c r="BT172" s="324"/>
      <c r="BU172" s="324"/>
      <c r="BV172" s="324"/>
      <c r="BW172" s="324"/>
      <c r="BX172" s="324"/>
      <c r="BY172" s="324"/>
      <c r="BZ172" s="324"/>
      <c r="CA172" s="324"/>
      <c r="CB172" s="324"/>
      <c r="CC172" s="324"/>
      <c r="CD172" s="324"/>
      <c r="CE172" s="324"/>
      <c r="CF172" s="324"/>
      <c r="CG172" s="324"/>
      <c r="CH172" s="324"/>
      <c r="CI172" s="324"/>
      <c r="CJ172" s="324"/>
      <c r="CK172" s="324"/>
      <c r="CL172" s="324"/>
    </row>
    <row r="173" spans="1:90">
      <c r="A173"/>
      <c r="B173"/>
      <c r="C173"/>
      <c r="D173"/>
      <c r="E173"/>
      <c r="F173"/>
      <c r="G173"/>
      <c r="H173"/>
      <c r="I173"/>
      <c r="J173"/>
      <c r="K173"/>
      <c r="L173"/>
      <c r="M173"/>
      <c r="N173" s="324"/>
      <c r="O173" s="324"/>
      <c r="P173" s="324"/>
      <c r="Q173" s="324"/>
      <c r="R173" s="324"/>
      <c r="S173" s="324"/>
      <c r="T173" s="324"/>
      <c r="U173" s="324"/>
      <c r="V173" s="324"/>
      <c r="W173" s="324"/>
      <c r="X173" s="324"/>
      <c r="Y173" s="324"/>
      <c r="Z173" s="324"/>
      <c r="AA173" s="324"/>
      <c r="AB173" s="324"/>
      <c r="AC173" s="324"/>
      <c r="AD173" s="324"/>
      <c r="AE173" s="324"/>
      <c r="AF173" s="324"/>
      <c r="AG173" s="324"/>
      <c r="AH173" s="324"/>
      <c r="AI173" s="324"/>
      <c r="AJ173" s="324"/>
      <c r="AK173" s="324"/>
      <c r="AL173" s="324"/>
      <c r="AM173" s="324"/>
      <c r="AN173" s="324"/>
      <c r="AO173" s="324"/>
      <c r="AP173" s="324"/>
      <c r="AQ173" s="324"/>
      <c r="AR173" s="324"/>
      <c r="AS173" s="324"/>
      <c r="AT173" s="324"/>
      <c r="AU173" s="324"/>
      <c r="AV173" s="324"/>
      <c r="AW173" s="324"/>
      <c r="AX173" s="324"/>
      <c r="AY173" s="324"/>
      <c r="AZ173" s="324"/>
      <c r="BA173" s="324"/>
      <c r="BB173" s="324"/>
      <c r="BC173" s="324"/>
      <c r="BD173" s="324"/>
      <c r="BE173" s="324"/>
      <c r="BF173" s="324"/>
      <c r="BG173" s="324"/>
      <c r="BH173" s="324"/>
      <c r="BI173" s="324"/>
      <c r="BJ173" s="324"/>
      <c r="BK173" s="324"/>
      <c r="BL173" s="324"/>
      <c r="BM173" s="324"/>
      <c r="BN173" s="324"/>
      <c r="BO173" s="324"/>
      <c r="BP173" s="324"/>
      <c r="BQ173" s="324"/>
      <c r="BR173" s="324"/>
      <c r="BS173" s="324"/>
      <c r="BT173" s="324"/>
      <c r="BU173" s="324"/>
      <c r="BV173" s="324"/>
      <c r="BW173" s="324"/>
      <c r="BX173" s="324"/>
      <c r="BY173" s="324"/>
      <c r="BZ173" s="324"/>
      <c r="CA173" s="324"/>
      <c r="CB173" s="324"/>
      <c r="CC173" s="324"/>
      <c r="CD173" s="324"/>
      <c r="CE173" s="324"/>
      <c r="CF173" s="324"/>
      <c r="CG173" s="324"/>
      <c r="CH173" s="324"/>
      <c r="CI173" s="324"/>
      <c r="CJ173" s="324"/>
      <c r="CK173" s="324"/>
      <c r="CL173" s="324"/>
    </row>
    <row r="174" spans="1:90">
      <c r="A174"/>
      <c r="B174"/>
      <c r="C174"/>
      <c r="D174"/>
      <c r="E174"/>
      <c r="F174"/>
      <c r="G174"/>
      <c r="H174"/>
      <c r="I174"/>
      <c r="J174"/>
      <c r="K174"/>
      <c r="L174"/>
      <c r="M174"/>
      <c r="N174" s="324"/>
      <c r="O174" s="324"/>
      <c r="P174" s="324"/>
      <c r="Q174" s="324"/>
      <c r="R174" s="324"/>
      <c r="S174" s="324"/>
      <c r="T174" s="324"/>
      <c r="U174" s="324"/>
      <c r="V174" s="324"/>
      <c r="W174" s="324"/>
      <c r="X174" s="324"/>
      <c r="Y174" s="324"/>
      <c r="Z174" s="324"/>
      <c r="AA174" s="324"/>
      <c r="AB174" s="324"/>
      <c r="AC174" s="324"/>
      <c r="AD174" s="324"/>
      <c r="AE174" s="324"/>
      <c r="AF174" s="324"/>
      <c r="AG174" s="324"/>
      <c r="AH174" s="324"/>
      <c r="AI174" s="324"/>
      <c r="AJ174" s="324"/>
      <c r="AK174" s="324"/>
      <c r="AL174" s="324"/>
      <c r="AM174" s="324"/>
      <c r="AN174" s="324"/>
      <c r="AO174" s="324"/>
      <c r="AP174" s="324"/>
      <c r="AQ174" s="324"/>
      <c r="AR174" s="324"/>
      <c r="AS174" s="324"/>
      <c r="AT174" s="324"/>
      <c r="AU174" s="324"/>
      <c r="AV174" s="324"/>
      <c r="AW174" s="324"/>
      <c r="AX174" s="324"/>
      <c r="AY174" s="324"/>
      <c r="AZ174" s="324"/>
      <c r="BA174" s="324"/>
      <c r="BB174" s="324"/>
      <c r="BC174" s="324"/>
      <c r="BD174" s="324"/>
      <c r="BE174" s="324"/>
      <c r="BF174" s="324"/>
      <c r="BG174" s="324"/>
      <c r="BH174" s="324"/>
      <c r="BI174" s="324"/>
      <c r="BJ174" s="324"/>
      <c r="BK174" s="324"/>
      <c r="BL174" s="324"/>
      <c r="BM174" s="324"/>
      <c r="BN174" s="324"/>
      <c r="BO174" s="324"/>
      <c r="BP174" s="324"/>
      <c r="BQ174" s="324"/>
      <c r="BR174" s="324"/>
      <c r="BS174" s="324"/>
      <c r="BT174" s="324"/>
      <c r="BU174" s="324"/>
      <c r="BV174" s="324"/>
      <c r="BW174" s="324"/>
      <c r="BX174" s="324"/>
      <c r="BY174" s="324"/>
      <c r="BZ174" s="324"/>
      <c r="CA174" s="324"/>
      <c r="CB174" s="324"/>
      <c r="CC174" s="324"/>
      <c r="CD174" s="324"/>
      <c r="CE174" s="324"/>
      <c r="CF174" s="324"/>
      <c r="CG174" s="324"/>
      <c r="CH174" s="324"/>
      <c r="CI174" s="324"/>
      <c r="CJ174" s="324"/>
      <c r="CK174" s="324"/>
      <c r="CL174" s="324"/>
    </row>
    <row r="175" spans="1:90">
      <c r="A175"/>
      <c r="B175"/>
      <c r="C175"/>
      <c r="D175"/>
      <c r="E175"/>
      <c r="F175"/>
      <c r="G175"/>
      <c r="H175"/>
      <c r="I175"/>
      <c r="J175"/>
      <c r="K175"/>
      <c r="L175"/>
      <c r="M175"/>
      <c r="N175" s="324"/>
      <c r="O175" s="324"/>
      <c r="P175" s="324"/>
      <c r="Q175" s="324"/>
      <c r="R175" s="324"/>
      <c r="S175" s="324"/>
      <c r="T175" s="324"/>
      <c r="U175" s="324"/>
      <c r="V175" s="324"/>
      <c r="W175" s="324"/>
      <c r="X175" s="324"/>
      <c r="Y175" s="324"/>
      <c r="Z175" s="324"/>
      <c r="AA175" s="324"/>
      <c r="AB175" s="324"/>
      <c r="AC175" s="324"/>
      <c r="AD175" s="324"/>
      <c r="AE175" s="324"/>
      <c r="AF175" s="324"/>
      <c r="AG175" s="324"/>
      <c r="AH175" s="324"/>
      <c r="AI175" s="324"/>
      <c r="AJ175" s="324"/>
      <c r="AK175" s="324"/>
      <c r="AL175" s="324"/>
      <c r="AM175" s="324"/>
      <c r="AN175" s="324"/>
      <c r="AO175" s="324"/>
      <c r="AP175" s="324"/>
      <c r="AQ175" s="324"/>
      <c r="AR175" s="324"/>
      <c r="AS175" s="324"/>
      <c r="AT175" s="324"/>
      <c r="AU175" s="324"/>
      <c r="AV175" s="324"/>
      <c r="AW175" s="324"/>
      <c r="AX175" s="324"/>
      <c r="AY175" s="324"/>
      <c r="AZ175" s="324"/>
      <c r="BA175" s="324"/>
      <c r="BB175" s="324"/>
      <c r="BC175" s="324"/>
      <c r="BD175" s="324"/>
      <c r="BE175" s="324"/>
      <c r="BF175" s="324"/>
      <c r="BG175" s="324"/>
      <c r="BH175" s="324"/>
      <c r="BI175" s="324"/>
      <c r="BJ175" s="324"/>
      <c r="BK175" s="324"/>
      <c r="BL175" s="324"/>
      <c r="BM175" s="324"/>
      <c r="BN175" s="324"/>
      <c r="BO175" s="324"/>
      <c r="BP175" s="324"/>
      <c r="BQ175" s="324"/>
      <c r="BR175" s="324"/>
      <c r="BS175" s="324"/>
      <c r="BT175" s="324"/>
      <c r="BU175" s="324"/>
      <c r="BV175" s="324"/>
      <c r="BW175" s="324"/>
      <c r="BX175" s="324"/>
      <c r="BY175" s="324"/>
      <c r="BZ175" s="324"/>
      <c r="CA175" s="324"/>
      <c r="CB175" s="324"/>
      <c r="CC175" s="324"/>
      <c r="CD175" s="324"/>
      <c r="CE175" s="324"/>
      <c r="CF175" s="324"/>
      <c r="CG175" s="324"/>
      <c r="CH175" s="324"/>
      <c r="CI175" s="324"/>
      <c r="CJ175" s="324"/>
      <c r="CK175" s="324"/>
      <c r="CL175" s="324"/>
    </row>
    <row r="176" spans="1:90">
      <c r="A176"/>
      <c r="B176"/>
      <c r="C176"/>
      <c r="D176"/>
      <c r="E176"/>
      <c r="F176"/>
      <c r="G176"/>
      <c r="H176"/>
      <c r="I176"/>
      <c r="J176"/>
      <c r="K176"/>
      <c r="L176"/>
      <c r="M176"/>
      <c r="N176" s="324"/>
      <c r="O176" s="324"/>
      <c r="P176" s="324"/>
      <c r="Q176" s="324"/>
      <c r="R176" s="324"/>
      <c r="S176" s="324"/>
      <c r="T176" s="324"/>
      <c r="U176" s="324"/>
      <c r="V176" s="324"/>
      <c r="W176" s="324"/>
      <c r="X176" s="324"/>
      <c r="Y176" s="324"/>
      <c r="Z176" s="324"/>
      <c r="AA176" s="324"/>
      <c r="AB176" s="324"/>
      <c r="AC176" s="324"/>
      <c r="AD176" s="324"/>
      <c r="AE176" s="324"/>
      <c r="AF176" s="324"/>
      <c r="AG176" s="324"/>
      <c r="AH176" s="324"/>
      <c r="AI176" s="324"/>
      <c r="AJ176" s="324"/>
      <c r="AK176" s="324"/>
      <c r="AL176" s="324"/>
      <c r="AM176" s="324"/>
      <c r="AN176" s="324"/>
      <c r="AO176" s="324"/>
      <c r="AP176" s="324"/>
      <c r="AQ176" s="324"/>
      <c r="AR176" s="324"/>
      <c r="AS176" s="324"/>
      <c r="AT176" s="324"/>
      <c r="AU176" s="324"/>
      <c r="AV176" s="324"/>
      <c r="AW176" s="324"/>
      <c r="AX176" s="324"/>
      <c r="AY176" s="324"/>
      <c r="AZ176" s="324"/>
      <c r="BA176" s="324"/>
      <c r="BB176" s="324"/>
      <c r="BC176" s="324"/>
      <c r="BD176" s="324"/>
      <c r="BE176" s="324"/>
      <c r="BF176" s="324"/>
      <c r="BG176" s="324"/>
      <c r="BH176" s="324"/>
      <c r="BI176" s="324"/>
      <c r="BJ176" s="324"/>
      <c r="BK176" s="324"/>
      <c r="BL176" s="324"/>
      <c r="BM176" s="324"/>
      <c r="BN176" s="324"/>
      <c r="BO176" s="324"/>
      <c r="BP176" s="324"/>
      <c r="BQ176" s="324"/>
      <c r="BR176" s="324"/>
      <c r="BS176" s="324"/>
      <c r="BT176" s="324"/>
      <c r="BU176" s="324"/>
      <c r="BV176" s="324"/>
      <c r="BW176" s="324"/>
      <c r="BX176" s="324"/>
      <c r="BY176" s="324"/>
      <c r="BZ176" s="324"/>
      <c r="CA176" s="324"/>
      <c r="CB176" s="324"/>
      <c r="CC176" s="324"/>
      <c r="CD176" s="324"/>
      <c r="CE176" s="324"/>
      <c r="CF176" s="324"/>
      <c r="CG176" s="324"/>
      <c r="CH176" s="324"/>
      <c r="CI176" s="324"/>
      <c r="CJ176" s="324"/>
      <c r="CK176" s="324"/>
      <c r="CL176" s="324"/>
    </row>
    <row r="177" spans="1:82">
      <c r="A177"/>
      <c r="B177"/>
      <c r="C177"/>
      <c r="D177"/>
      <c r="E177"/>
      <c r="F177"/>
      <c r="G177"/>
      <c r="H177"/>
      <c r="I177"/>
      <c r="J177"/>
      <c r="K177"/>
      <c r="L177"/>
      <c r="M177"/>
      <c r="N177" s="324"/>
      <c r="O177" s="324"/>
      <c r="P177" s="324"/>
      <c r="Q177" s="324"/>
      <c r="R177" s="324"/>
      <c r="S177" s="324"/>
      <c r="T177" s="324"/>
      <c r="U177" s="324"/>
      <c r="V177" s="324"/>
      <c r="W177" s="324"/>
      <c r="X177" s="324"/>
      <c r="Y177" s="324"/>
      <c r="Z177" s="324"/>
      <c r="AA177" s="324"/>
      <c r="AB177" s="324"/>
      <c r="AC177" s="324"/>
      <c r="AD177" s="324"/>
      <c r="AE177" s="324"/>
      <c r="AF177" s="324"/>
      <c r="AG177" s="324"/>
      <c r="AH177" s="324"/>
      <c r="AI177" s="324"/>
      <c r="AJ177" s="324"/>
      <c r="AK177" s="324"/>
      <c r="AL177" s="324"/>
      <c r="AM177" s="324"/>
      <c r="AN177" s="324"/>
      <c r="AO177" s="324"/>
      <c r="AP177" s="324"/>
      <c r="AQ177" s="324"/>
      <c r="AR177" s="324"/>
      <c r="AS177" s="324"/>
      <c r="AT177" s="324"/>
      <c r="AU177" s="324"/>
      <c r="AV177" s="324"/>
      <c r="AW177" s="324"/>
      <c r="AX177" s="324"/>
      <c r="AY177" s="324"/>
      <c r="AZ177" s="324"/>
      <c r="BA177" s="324"/>
      <c r="BB177" s="324"/>
      <c r="BC177" s="324"/>
      <c r="BD177" s="324"/>
      <c r="BE177" s="324"/>
      <c r="BF177" s="324"/>
      <c r="BG177" s="324"/>
      <c r="BH177" s="324"/>
      <c r="BI177" s="324"/>
      <c r="BJ177" s="324"/>
      <c r="BK177" s="324"/>
      <c r="BL177" s="324"/>
      <c r="BM177" s="324"/>
      <c r="BN177" s="324"/>
      <c r="BO177" s="324"/>
      <c r="BP177" s="324"/>
      <c r="BQ177" s="324"/>
      <c r="BR177" s="324"/>
      <c r="BS177" s="324"/>
      <c r="BT177" s="324"/>
      <c r="BU177" s="324"/>
      <c r="BV177" s="324"/>
      <c r="BW177" s="324"/>
      <c r="BX177" s="324"/>
      <c r="BY177" s="324"/>
      <c r="BZ177" s="324"/>
      <c r="CA177" s="324"/>
      <c r="CB177" s="324"/>
      <c r="CC177" s="324"/>
      <c r="CD177" s="324"/>
    </row>
    <row r="178" spans="1:82">
      <c r="A178"/>
      <c r="B178"/>
      <c r="C178"/>
      <c r="D178"/>
      <c r="E178"/>
      <c r="F178"/>
      <c r="G178"/>
      <c r="H178"/>
      <c r="I178"/>
      <c r="J178"/>
      <c r="K178"/>
      <c r="L178"/>
      <c r="M178"/>
      <c r="N178" s="324"/>
      <c r="O178" s="324"/>
      <c r="P178" s="324"/>
      <c r="Q178" s="324"/>
      <c r="R178" s="324"/>
      <c r="S178" s="324"/>
      <c r="T178" s="324"/>
      <c r="U178" s="324"/>
      <c r="V178" s="324"/>
      <c r="W178" s="324"/>
      <c r="X178" s="324"/>
      <c r="Y178" s="324"/>
      <c r="Z178" s="324"/>
      <c r="AA178" s="324"/>
      <c r="AB178" s="324"/>
      <c r="AC178" s="324"/>
      <c r="AD178" s="324"/>
      <c r="AE178" s="324"/>
      <c r="AF178" s="324"/>
      <c r="AG178" s="324"/>
      <c r="AH178" s="324"/>
      <c r="AI178" s="324"/>
      <c r="AJ178" s="324"/>
      <c r="AK178" s="324"/>
      <c r="AL178" s="324"/>
      <c r="AM178" s="324"/>
      <c r="AN178" s="324"/>
      <c r="AO178" s="324"/>
      <c r="AP178" s="324"/>
      <c r="AQ178" s="324"/>
      <c r="AR178" s="324"/>
      <c r="AS178" s="324"/>
      <c r="AT178" s="324"/>
      <c r="AU178" s="324"/>
      <c r="AV178" s="324"/>
      <c r="AW178" s="324"/>
      <c r="AX178" s="324"/>
      <c r="AY178" s="324"/>
      <c r="AZ178" s="324"/>
      <c r="BA178" s="324"/>
      <c r="BB178" s="324"/>
      <c r="BC178" s="324"/>
      <c r="BD178" s="324"/>
      <c r="BE178" s="324"/>
      <c r="BF178" s="324"/>
      <c r="BG178" s="324"/>
      <c r="BH178" s="324"/>
      <c r="BI178" s="324"/>
      <c r="BJ178" s="324"/>
      <c r="BK178" s="324"/>
      <c r="BL178" s="324"/>
      <c r="BM178" s="324"/>
      <c r="BN178" s="324"/>
      <c r="BO178" s="324"/>
      <c r="BP178" s="324"/>
      <c r="BQ178" s="324"/>
      <c r="BR178" s="324"/>
      <c r="BS178" s="324"/>
      <c r="BT178" s="324"/>
      <c r="BU178" s="324"/>
      <c r="BV178" s="324"/>
      <c r="BW178" s="324"/>
      <c r="BX178" s="324"/>
      <c r="BY178" s="324"/>
      <c r="BZ178" s="324"/>
      <c r="CA178" s="324"/>
      <c r="CB178" s="324"/>
      <c r="CC178" s="324"/>
      <c r="CD178" s="324"/>
    </row>
    <row r="179" spans="1:82">
      <c r="A179"/>
      <c r="B179"/>
      <c r="C179"/>
      <c r="D179"/>
      <c r="E179"/>
      <c r="F179"/>
      <c r="G179"/>
      <c r="H179"/>
      <c r="I179"/>
      <c r="J179"/>
      <c r="K179"/>
      <c r="L179"/>
      <c r="M179"/>
      <c r="N179" s="324"/>
      <c r="O179" s="324"/>
      <c r="P179" s="324"/>
      <c r="Q179" s="324"/>
      <c r="R179" s="324"/>
      <c r="S179" s="324"/>
      <c r="T179" s="324"/>
      <c r="U179" s="324"/>
      <c r="V179" s="324"/>
      <c r="W179" s="324"/>
      <c r="X179" s="324"/>
      <c r="Y179" s="324"/>
      <c r="Z179" s="324"/>
      <c r="AA179" s="324"/>
      <c r="AB179" s="324"/>
      <c r="AC179" s="324"/>
      <c r="AD179" s="324"/>
      <c r="AE179" s="324"/>
      <c r="AF179" s="324"/>
      <c r="AG179" s="324"/>
      <c r="AH179" s="324"/>
      <c r="AI179" s="324"/>
      <c r="AJ179" s="324"/>
      <c r="AK179" s="324"/>
      <c r="AL179" s="324"/>
      <c r="AM179" s="324"/>
      <c r="AN179" s="324"/>
      <c r="AO179" s="324"/>
      <c r="AP179" s="324"/>
      <c r="AQ179" s="324"/>
      <c r="AR179" s="324"/>
      <c r="AS179" s="324"/>
      <c r="AT179" s="324"/>
      <c r="AU179" s="324"/>
      <c r="AV179" s="324"/>
      <c r="AW179" s="324"/>
      <c r="AX179" s="324"/>
      <c r="AY179" s="324"/>
      <c r="AZ179" s="324"/>
      <c r="BA179" s="324"/>
      <c r="BB179" s="324"/>
      <c r="BC179" s="324"/>
      <c r="BD179" s="324"/>
      <c r="BE179" s="324"/>
      <c r="BF179" s="324"/>
      <c r="BG179" s="324"/>
      <c r="BH179" s="324"/>
      <c r="BI179" s="324"/>
      <c r="BJ179" s="324"/>
      <c r="BK179" s="324"/>
      <c r="BL179" s="324"/>
      <c r="BM179" s="324"/>
      <c r="BN179" s="324"/>
      <c r="BO179" s="324"/>
      <c r="BP179" s="324"/>
      <c r="BQ179" s="324"/>
      <c r="BR179" s="324"/>
      <c r="BS179" s="324"/>
      <c r="BT179" s="324"/>
      <c r="BU179" s="324"/>
      <c r="BV179" s="324"/>
      <c r="BW179" s="324"/>
      <c r="BX179" s="324"/>
      <c r="BY179" s="324"/>
      <c r="BZ179" s="324"/>
      <c r="CA179" s="324"/>
      <c r="CB179" s="324"/>
      <c r="CC179" s="324"/>
      <c r="CD179" s="324"/>
    </row>
    <row r="180" spans="1:82">
      <c r="A180"/>
      <c r="B180"/>
      <c r="C180"/>
      <c r="D180"/>
      <c r="E180"/>
      <c r="F180"/>
      <c r="G180"/>
      <c r="H180"/>
      <c r="I180"/>
      <c r="J180"/>
      <c r="K180"/>
      <c r="L180"/>
      <c r="M180"/>
      <c r="N180" s="324"/>
      <c r="O180" s="324"/>
      <c r="P180" s="324"/>
      <c r="Q180" s="324"/>
      <c r="R180" s="324"/>
      <c r="S180" s="324"/>
      <c r="T180" s="324"/>
      <c r="U180" s="324"/>
      <c r="V180" s="324"/>
      <c r="W180" s="324"/>
      <c r="X180" s="324"/>
      <c r="Y180" s="324"/>
      <c r="Z180" s="324"/>
      <c r="AA180" s="324"/>
      <c r="AB180" s="324"/>
      <c r="AC180" s="324"/>
      <c r="AD180" s="324"/>
      <c r="AE180" s="324"/>
      <c r="AF180" s="324"/>
      <c r="AG180" s="324"/>
      <c r="AH180" s="324"/>
      <c r="AI180" s="324"/>
      <c r="AJ180" s="324"/>
      <c r="AK180" s="324"/>
      <c r="AL180" s="324"/>
      <c r="AM180" s="324"/>
      <c r="AN180" s="324"/>
      <c r="AO180" s="324"/>
      <c r="AP180" s="324"/>
      <c r="AQ180" s="324"/>
      <c r="AR180" s="324"/>
      <c r="AS180" s="324"/>
      <c r="AT180" s="324"/>
      <c r="AU180" s="324"/>
      <c r="AV180" s="324"/>
      <c r="AW180" s="324"/>
      <c r="AX180" s="324"/>
      <c r="AY180" s="324"/>
      <c r="AZ180" s="324"/>
      <c r="BA180" s="324"/>
      <c r="BB180" s="324"/>
      <c r="BC180" s="324"/>
      <c r="BD180" s="324"/>
      <c r="BE180" s="324"/>
      <c r="BF180" s="324"/>
      <c r="BG180" s="324"/>
      <c r="BH180" s="324"/>
      <c r="BI180" s="324"/>
      <c r="BJ180" s="324"/>
      <c r="BK180" s="324"/>
      <c r="BL180" s="324"/>
      <c r="BM180" s="324"/>
      <c r="BN180" s="324"/>
      <c r="BO180" s="324"/>
      <c r="BP180" s="324"/>
      <c r="BQ180" s="324"/>
      <c r="BR180" s="324"/>
      <c r="BS180" s="324"/>
      <c r="BT180" s="324"/>
      <c r="BU180" s="324"/>
      <c r="BV180" s="324"/>
      <c r="BW180" s="324"/>
      <c r="BX180" s="324"/>
      <c r="BY180" s="324"/>
      <c r="BZ180" s="324"/>
      <c r="CA180" s="324"/>
      <c r="CB180" s="324"/>
      <c r="CC180" s="324"/>
      <c r="CD180" s="324"/>
    </row>
    <row r="181" spans="1:82">
      <c r="A181"/>
      <c r="B181"/>
      <c r="C181"/>
      <c r="D181"/>
      <c r="E181"/>
      <c r="F181"/>
      <c r="G181"/>
      <c r="H181"/>
      <c r="I181"/>
      <c r="J181"/>
      <c r="K181"/>
      <c r="L181"/>
      <c r="M181"/>
      <c r="N181" s="324"/>
      <c r="O181" s="324"/>
      <c r="P181" s="324"/>
      <c r="Q181" s="324"/>
      <c r="R181" s="324"/>
      <c r="S181" s="324"/>
      <c r="T181" s="324"/>
      <c r="U181" s="324"/>
      <c r="V181" s="324"/>
      <c r="W181" s="324"/>
      <c r="X181" s="324"/>
      <c r="Y181" s="324"/>
      <c r="Z181" s="324"/>
      <c r="AA181" s="324"/>
      <c r="AB181" s="324"/>
      <c r="AC181" s="324"/>
      <c r="AD181" s="324"/>
      <c r="AE181" s="324"/>
      <c r="AF181" s="324"/>
      <c r="AG181" s="324"/>
      <c r="AH181" s="324"/>
      <c r="AI181" s="324"/>
      <c r="AJ181" s="324"/>
      <c r="AK181" s="324"/>
      <c r="AL181" s="324"/>
      <c r="AM181" s="324"/>
      <c r="AN181" s="324"/>
      <c r="AO181" s="324"/>
      <c r="AP181" s="324"/>
      <c r="AQ181" s="324"/>
      <c r="AR181" s="324"/>
      <c r="AS181" s="324"/>
      <c r="AT181" s="324"/>
      <c r="AU181" s="324"/>
      <c r="AV181" s="324"/>
      <c r="AW181" s="324"/>
      <c r="AX181" s="324"/>
      <c r="AY181" s="324"/>
      <c r="AZ181" s="324"/>
      <c r="BA181" s="324"/>
      <c r="BB181" s="324"/>
      <c r="BC181" s="324"/>
      <c r="BD181" s="324"/>
      <c r="BE181" s="324"/>
      <c r="BF181" s="324"/>
      <c r="BG181" s="324"/>
      <c r="BH181" s="324"/>
      <c r="BI181" s="324"/>
      <c r="BJ181" s="324"/>
      <c r="BK181" s="324"/>
      <c r="BL181" s="324"/>
      <c r="BM181" s="324"/>
      <c r="BN181" s="324"/>
      <c r="BO181" s="324"/>
      <c r="BP181" s="324"/>
      <c r="BQ181" s="324"/>
      <c r="BR181" s="324"/>
      <c r="BS181" s="324"/>
      <c r="BT181" s="324"/>
      <c r="BU181" s="324"/>
      <c r="BV181" s="324"/>
      <c r="BW181" s="324"/>
      <c r="BX181" s="324"/>
      <c r="BY181" s="324"/>
      <c r="BZ181" s="324"/>
      <c r="CA181" s="324"/>
      <c r="CB181" s="324"/>
      <c r="CC181" s="324"/>
      <c r="CD181" s="324"/>
    </row>
    <row r="182" spans="1:82">
      <c r="A182"/>
      <c r="B182"/>
      <c r="C182"/>
      <c r="D182"/>
      <c r="E182"/>
      <c r="F182"/>
      <c r="G182"/>
      <c r="H182"/>
      <c r="I182"/>
      <c r="J182"/>
      <c r="K182"/>
      <c r="L182"/>
      <c r="M182"/>
      <c r="N182" s="324"/>
      <c r="O182" s="324"/>
      <c r="P182" s="324"/>
      <c r="Q182" s="324"/>
      <c r="R182" s="324"/>
      <c r="S182" s="324"/>
      <c r="T182" s="324"/>
      <c r="U182" s="324"/>
      <c r="V182" s="324"/>
      <c r="W182" s="324"/>
      <c r="X182" s="324"/>
      <c r="Y182" s="324"/>
      <c r="Z182" s="324"/>
      <c r="AA182" s="324"/>
      <c r="AB182" s="324"/>
      <c r="AC182" s="324"/>
      <c r="AD182" s="324"/>
      <c r="AE182" s="324"/>
      <c r="AF182" s="324"/>
      <c r="AG182" s="324"/>
      <c r="AH182" s="324"/>
      <c r="AI182" s="324"/>
      <c r="AJ182" s="324"/>
      <c r="AK182" s="324"/>
      <c r="AL182" s="324"/>
      <c r="AM182" s="324"/>
      <c r="AN182" s="324"/>
      <c r="AO182" s="324"/>
      <c r="AP182" s="324"/>
      <c r="AQ182" s="324"/>
      <c r="AR182" s="324"/>
      <c r="AS182" s="324"/>
      <c r="AT182" s="324"/>
      <c r="AU182" s="324"/>
      <c r="AV182" s="324"/>
      <c r="AW182" s="324"/>
      <c r="AX182" s="324"/>
      <c r="AY182" s="324"/>
      <c r="AZ182" s="324"/>
      <c r="BA182" s="324"/>
      <c r="BB182" s="324"/>
      <c r="BC182" s="324"/>
      <c r="BD182" s="324"/>
      <c r="BE182" s="324"/>
      <c r="BF182" s="324"/>
      <c r="BG182" s="324"/>
      <c r="BH182" s="324"/>
      <c r="BI182" s="324"/>
      <c r="BJ182" s="324"/>
      <c r="BK182" s="324"/>
      <c r="BL182" s="324"/>
      <c r="BM182" s="324"/>
      <c r="BN182" s="324"/>
      <c r="BO182" s="324"/>
      <c r="BP182" s="324"/>
      <c r="BQ182" s="324"/>
      <c r="BR182" s="324"/>
      <c r="BS182" s="324"/>
      <c r="BT182" s="324"/>
      <c r="BU182" s="324"/>
      <c r="BV182" s="324"/>
      <c r="BW182" s="324"/>
      <c r="BX182" s="324"/>
      <c r="BY182" s="324"/>
      <c r="BZ182" s="324"/>
      <c r="CA182" s="324"/>
      <c r="CB182" s="324"/>
      <c r="CC182" s="324"/>
      <c r="CD182" s="324"/>
    </row>
    <row r="183" spans="1:82">
      <c r="A183"/>
      <c r="B183"/>
      <c r="C183"/>
      <c r="D183"/>
      <c r="E183"/>
      <c r="F183"/>
      <c r="G183"/>
      <c r="H183"/>
      <c r="I183"/>
      <c r="J183"/>
      <c r="K183"/>
      <c r="L183"/>
      <c r="M183"/>
      <c r="N183" s="324"/>
      <c r="O183" s="324"/>
      <c r="P183" s="324"/>
      <c r="Q183" s="324"/>
      <c r="R183" s="324"/>
      <c r="S183" s="324"/>
      <c r="T183" s="324"/>
      <c r="U183" s="324"/>
      <c r="V183" s="324"/>
      <c r="W183" s="324"/>
      <c r="X183" s="324"/>
      <c r="Y183" s="324"/>
      <c r="Z183" s="324"/>
      <c r="AA183" s="324"/>
      <c r="AB183" s="324"/>
      <c r="AC183" s="324"/>
      <c r="AD183" s="324"/>
      <c r="AE183" s="324"/>
      <c r="AF183" s="324"/>
      <c r="AG183" s="324"/>
      <c r="AH183" s="324"/>
      <c r="AI183" s="324"/>
      <c r="AJ183" s="324"/>
      <c r="AK183" s="324"/>
      <c r="AL183" s="324"/>
      <c r="AM183" s="324"/>
      <c r="AN183" s="324"/>
      <c r="AO183" s="324"/>
      <c r="AP183" s="324"/>
      <c r="AQ183" s="324"/>
      <c r="AR183" s="324"/>
      <c r="AS183" s="324"/>
      <c r="AT183" s="324"/>
      <c r="AU183" s="324"/>
      <c r="AV183" s="324"/>
      <c r="AW183" s="324"/>
      <c r="AX183" s="324"/>
      <c r="AY183" s="324"/>
      <c r="AZ183" s="324"/>
      <c r="BA183" s="324"/>
      <c r="BB183" s="324"/>
      <c r="BC183" s="324"/>
      <c r="BD183" s="324"/>
      <c r="BE183" s="324"/>
      <c r="BF183" s="324"/>
      <c r="BG183" s="324"/>
      <c r="BH183" s="324"/>
      <c r="BI183" s="324"/>
      <c r="BJ183" s="324"/>
      <c r="BK183" s="324"/>
      <c r="BL183" s="324"/>
      <c r="BM183" s="324"/>
      <c r="BN183" s="324"/>
      <c r="BO183" s="324"/>
      <c r="BP183" s="324"/>
      <c r="BQ183" s="324"/>
      <c r="BR183" s="324"/>
      <c r="BS183" s="324"/>
      <c r="BT183" s="324"/>
      <c r="BU183" s="324"/>
      <c r="BV183" s="324"/>
      <c r="BW183" s="324"/>
      <c r="BX183" s="324"/>
      <c r="BY183" s="324"/>
      <c r="BZ183" s="324"/>
      <c r="CA183" s="324"/>
      <c r="CB183" s="324"/>
      <c r="CC183" s="324"/>
      <c r="CD183" s="324"/>
    </row>
    <row r="184" spans="1:82">
      <c r="A184"/>
      <c r="B184"/>
      <c r="C184"/>
      <c r="D184"/>
      <c r="E184"/>
      <c r="F184"/>
      <c r="G184"/>
      <c r="H184"/>
      <c r="I184"/>
      <c r="J184"/>
      <c r="K184"/>
      <c r="L184"/>
      <c r="M184"/>
      <c r="N184" s="324"/>
      <c r="O184" s="324"/>
      <c r="P184" s="324"/>
      <c r="Q184" s="324"/>
      <c r="R184" s="324"/>
      <c r="S184" s="324"/>
      <c r="T184" s="324"/>
      <c r="U184" s="324"/>
      <c r="V184" s="324"/>
      <c r="W184" s="324"/>
      <c r="X184" s="324"/>
      <c r="Y184" s="324"/>
      <c r="Z184" s="324"/>
      <c r="AA184" s="324"/>
      <c r="AB184" s="324"/>
      <c r="AC184" s="324"/>
      <c r="AD184" s="324"/>
      <c r="AE184" s="324"/>
      <c r="AF184" s="324"/>
      <c r="AG184" s="324"/>
      <c r="AH184" s="324"/>
      <c r="AI184" s="324"/>
      <c r="AJ184" s="324"/>
      <c r="AK184" s="324"/>
      <c r="AL184" s="324"/>
      <c r="AM184" s="324"/>
      <c r="AN184" s="324"/>
      <c r="AO184" s="324"/>
      <c r="AP184" s="324"/>
      <c r="AQ184" s="324"/>
      <c r="AR184" s="324"/>
      <c r="AS184" s="324"/>
      <c r="AT184" s="324"/>
      <c r="AU184" s="324"/>
      <c r="AV184" s="324"/>
      <c r="AW184" s="324"/>
      <c r="AX184" s="324"/>
      <c r="AY184" s="324"/>
      <c r="AZ184" s="324"/>
      <c r="BA184" s="324"/>
      <c r="BB184" s="324"/>
      <c r="BC184" s="324"/>
      <c r="BD184" s="324"/>
      <c r="BE184" s="324"/>
      <c r="BF184" s="324"/>
      <c r="BG184" s="324"/>
      <c r="BH184" s="324"/>
      <c r="BI184" s="324"/>
      <c r="BJ184" s="324"/>
      <c r="BK184" s="324"/>
      <c r="BL184" s="324"/>
      <c r="BM184" s="324"/>
      <c r="BN184" s="324"/>
      <c r="BO184" s="324"/>
      <c r="BP184" s="324"/>
      <c r="BQ184" s="324"/>
      <c r="BR184" s="324"/>
      <c r="BS184" s="324"/>
      <c r="BT184" s="324"/>
      <c r="BU184" s="324"/>
      <c r="BV184" s="324"/>
      <c r="BW184" s="324"/>
      <c r="BX184" s="324"/>
      <c r="BY184" s="324"/>
      <c r="BZ184" s="324"/>
      <c r="CA184" s="324"/>
      <c r="CB184" s="324"/>
      <c r="CC184" s="324"/>
      <c r="CD184" s="324"/>
    </row>
    <row r="185" spans="1:82">
      <c r="A185"/>
      <c r="B185"/>
      <c r="C185"/>
      <c r="D185"/>
      <c r="E185"/>
      <c r="F185"/>
      <c r="G185"/>
      <c r="H185"/>
      <c r="I185"/>
      <c r="J185"/>
      <c r="K185"/>
      <c r="L185"/>
      <c r="M185"/>
      <c r="N185" s="324"/>
      <c r="O185" s="324"/>
      <c r="P185" s="324"/>
      <c r="Q185" s="324"/>
      <c r="R185" s="324"/>
      <c r="S185" s="324"/>
      <c r="T185" s="324"/>
      <c r="U185" s="324"/>
      <c r="V185" s="324"/>
      <c r="W185" s="324"/>
      <c r="X185" s="324"/>
      <c r="Y185" s="324"/>
      <c r="Z185" s="324"/>
      <c r="AA185" s="324"/>
      <c r="AB185" s="324"/>
      <c r="AC185" s="324"/>
      <c r="AD185" s="324"/>
      <c r="AE185" s="324"/>
      <c r="AF185" s="324"/>
      <c r="AG185" s="324"/>
      <c r="AH185" s="324"/>
      <c r="AI185" s="324"/>
      <c r="AJ185" s="324"/>
      <c r="AK185" s="324"/>
      <c r="AL185" s="324"/>
      <c r="AM185" s="324"/>
      <c r="AN185" s="324"/>
      <c r="AO185" s="324"/>
      <c r="AP185" s="324"/>
      <c r="AQ185" s="324"/>
      <c r="AR185" s="324"/>
      <c r="AS185" s="324"/>
      <c r="AT185" s="324"/>
      <c r="AU185" s="324"/>
      <c r="AV185" s="324"/>
      <c r="AW185" s="324"/>
      <c r="AX185" s="324"/>
      <c r="AY185" s="324"/>
      <c r="AZ185" s="324"/>
      <c r="BA185" s="324"/>
      <c r="BB185" s="324"/>
      <c r="BC185" s="324"/>
      <c r="BD185" s="324"/>
      <c r="BE185" s="324"/>
      <c r="BF185" s="324"/>
      <c r="BG185" s="324"/>
      <c r="BH185" s="324"/>
      <c r="BI185" s="324"/>
      <c r="BJ185" s="324"/>
      <c r="BK185" s="324"/>
      <c r="BL185" s="324"/>
      <c r="BM185" s="324"/>
      <c r="BN185" s="324"/>
      <c r="BO185" s="324"/>
      <c r="BP185" s="324"/>
      <c r="BQ185" s="324"/>
      <c r="BR185" s="324"/>
      <c r="BS185" s="324"/>
      <c r="BT185" s="324"/>
      <c r="BU185" s="324"/>
      <c r="BV185" s="324"/>
      <c r="BW185" s="324"/>
      <c r="BX185" s="324"/>
      <c r="BY185" s="324"/>
      <c r="BZ185" s="324"/>
      <c r="CA185" s="324"/>
      <c r="CB185" s="324"/>
      <c r="CC185" s="324"/>
      <c r="CD185" s="324"/>
    </row>
    <row r="186" spans="1:82">
      <c r="A186"/>
      <c r="B186"/>
      <c r="C186"/>
      <c r="D186"/>
      <c r="E186"/>
      <c r="F186"/>
      <c r="G186"/>
      <c r="H186"/>
      <c r="I186"/>
      <c r="J186"/>
      <c r="K186"/>
      <c r="L186"/>
      <c r="M186"/>
      <c r="N186" s="324"/>
      <c r="O186" s="324"/>
      <c r="P186" s="324"/>
      <c r="Q186" s="324"/>
      <c r="R186" s="324"/>
      <c r="S186" s="324"/>
      <c r="T186" s="324"/>
      <c r="U186" s="324"/>
      <c r="V186" s="324"/>
      <c r="W186" s="324"/>
      <c r="X186" s="324"/>
      <c r="Y186" s="324"/>
      <c r="Z186" s="324"/>
      <c r="AA186" s="324"/>
      <c r="AB186" s="324"/>
      <c r="AC186" s="324"/>
      <c r="AD186" s="324"/>
      <c r="AE186" s="324"/>
      <c r="AF186" s="324"/>
      <c r="AG186" s="324"/>
      <c r="AH186" s="324"/>
      <c r="AI186" s="324"/>
      <c r="AJ186" s="324"/>
      <c r="AK186" s="324"/>
      <c r="AL186" s="324"/>
      <c r="AM186" s="324"/>
      <c r="AN186" s="324"/>
      <c r="AO186" s="324"/>
      <c r="AP186" s="324"/>
      <c r="AQ186" s="324"/>
      <c r="AR186" s="324"/>
      <c r="AS186" s="324"/>
      <c r="AT186" s="324"/>
      <c r="AU186" s="324"/>
      <c r="AV186" s="324"/>
      <c r="AW186" s="324"/>
      <c r="AX186" s="324"/>
      <c r="AY186" s="324"/>
      <c r="AZ186" s="324"/>
      <c r="BA186" s="324"/>
      <c r="BB186" s="324"/>
      <c r="BC186" s="324"/>
      <c r="BD186" s="324"/>
      <c r="BE186" s="324"/>
      <c r="BF186" s="324"/>
      <c r="BG186" s="324"/>
      <c r="BH186" s="324"/>
      <c r="BI186" s="324"/>
      <c r="BJ186" s="324"/>
      <c r="BK186" s="324"/>
      <c r="BL186" s="324"/>
      <c r="BM186" s="324"/>
      <c r="BN186" s="324"/>
      <c r="BO186" s="324"/>
      <c r="BP186" s="324"/>
      <c r="BQ186" s="324"/>
      <c r="BR186" s="324"/>
      <c r="BS186" s="324"/>
      <c r="BT186" s="324"/>
      <c r="BU186" s="324"/>
      <c r="BV186" s="324"/>
      <c r="BW186" s="324"/>
      <c r="BX186" s="324"/>
      <c r="BY186" s="324"/>
      <c r="BZ186" s="324"/>
      <c r="CA186" s="324"/>
      <c r="CB186" s="324"/>
      <c r="CC186" s="324"/>
      <c r="CD186" s="324"/>
    </row>
    <row r="187" spans="1:82">
      <c r="A187"/>
      <c r="B187"/>
      <c r="C187"/>
      <c r="D187"/>
      <c r="E187"/>
      <c r="F187"/>
      <c r="G187"/>
      <c r="H187"/>
      <c r="I187"/>
      <c r="J187"/>
      <c r="K187"/>
      <c r="L187"/>
      <c r="M187"/>
      <c r="N187" s="324"/>
      <c r="O187" s="324"/>
      <c r="P187" s="324"/>
      <c r="Q187" s="324"/>
      <c r="R187" s="324"/>
      <c r="S187" s="324"/>
      <c r="T187" s="324"/>
      <c r="U187" s="324"/>
      <c r="V187" s="324"/>
      <c r="W187" s="324"/>
      <c r="X187" s="324"/>
      <c r="Y187" s="324"/>
      <c r="Z187" s="324"/>
      <c r="AA187" s="324"/>
      <c r="AB187" s="324"/>
      <c r="AC187" s="324"/>
      <c r="AD187" s="324"/>
      <c r="AE187" s="324"/>
      <c r="AF187" s="324"/>
      <c r="AG187" s="324"/>
      <c r="AH187" s="324"/>
      <c r="AI187" s="324"/>
      <c r="AJ187" s="324"/>
      <c r="AK187" s="324"/>
      <c r="AL187" s="324"/>
      <c r="AM187" s="324"/>
      <c r="AN187" s="324"/>
      <c r="AO187" s="324"/>
      <c r="AP187" s="324"/>
      <c r="AQ187" s="324"/>
      <c r="AR187" s="324"/>
      <c r="AS187" s="324"/>
      <c r="AT187" s="324"/>
      <c r="AU187" s="324"/>
      <c r="AV187" s="324"/>
      <c r="AW187" s="324"/>
      <c r="AX187" s="324"/>
      <c r="AY187" s="324"/>
      <c r="AZ187" s="324"/>
      <c r="BA187" s="324"/>
      <c r="BB187" s="324"/>
      <c r="BC187" s="324"/>
      <c r="BD187" s="324"/>
      <c r="BE187" s="324"/>
      <c r="BF187" s="324"/>
      <c r="BG187" s="324"/>
      <c r="BH187" s="324"/>
      <c r="BI187" s="324"/>
      <c r="BJ187" s="324"/>
      <c r="BK187" s="324"/>
      <c r="BL187" s="324"/>
      <c r="BM187" s="324"/>
      <c r="BN187" s="324"/>
      <c r="BO187" s="324"/>
      <c r="BP187" s="324"/>
      <c r="BQ187" s="324"/>
      <c r="BR187" s="324"/>
      <c r="BS187" s="324"/>
      <c r="BT187" s="324"/>
      <c r="BU187" s="324"/>
      <c r="BV187" s="324"/>
      <c r="BW187" s="324"/>
      <c r="BX187" s="324"/>
      <c r="BY187" s="324"/>
      <c r="BZ187" s="324"/>
      <c r="CA187" s="324"/>
      <c r="CB187" s="324"/>
      <c r="CC187" s="324"/>
      <c r="CD187" s="324"/>
    </row>
    <row r="188" spans="1:82">
      <c r="A188"/>
      <c r="B188"/>
      <c r="C188"/>
      <c r="D188"/>
      <c r="E188"/>
      <c r="F188"/>
      <c r="G188"/>
      <c r="H188"/>
      <c r="I188"/>
      <c r="J188"/>
      <c r="K188"/>
      <c r="L188"/>
      <c r="M188"/>
      <c r="N188" s="324"/>
      <c r="O188" s="324"/>
      <c r="P188" s="324"/>
      <c r="Q188" s="324"/>
      <c r="R188" s="324"/>
      <c r="S188" s="324"/>
      <c r="T188" s="324"/>
      <c r="U188" s="324"/>
      <c r="V188" s="324"/>
      <c r="W188" s="324"/>
      <c r="X188" s="324"/>
      <c r="Y188" s="324"/>
      <c r="Z188" s="324"/>
      <c r="AA188" s="324"/>
      <c r="AB188" s="324"/>
      <c r="AC188" s="324"/>
      <c r="AD188" s="324"/>
      <c r="AE188" s="324"/>
      <c r="AF188" s="324"/>
      <c r="AG188" s="324"/>
      <c r="AH188" s="324"/>
      <c r="AI188" s="324"/>
      <c r="AJ188" s="324"/>
      <c r="AK188" s="324"/>
      <c r="AL188" s="324"/>
      <c r="AM188" s="324"/>
      <c r="AN188" s="324"/>
      <c r="AO188" s="324"/>
      <c r="AP188" s="324"/>
      <c r="AQ188" s="324"/>
      <c r="AR188" s="324"/>
      <c r="AS188" s="324"/>
      <c r="AT188" s="324"/>
      <c r="AU188" s="324"/>
      <c r="AV188" s="324"/>
      <c r="AW188" s="324"/>
      <c r="AX188" s="324"/>
      <c r="AY188" s="324"/>
      <c r="AZ188" s="324"/>
      <c r="BA188" s="324"/>
      <c r="BB188" s="324"/>
      <c r="BC188" s="324"/>
      <c r="BD188" s="324"/>
      <c r="BE188" s="324"/>
      <c r="BF188" s="324"/>
      <c r="BG188" s="324"/>
      <c r="BH188" s="324"/>
      <c r="BI188" s="324"/>
      <c r="BJ188" s="324"/>
      <c r="BK188" s="324"/>
      <c r="BL188" s="324"/>
      <c r="BM188" s="324"/>
      <c r="BN188" s="324"/>
      <c r="BO188" s="324"/>
      <c r="BP188" s="324"/>
      <c r="BQ188" s="324"/>
      <c r="BR188" s="324"/>
      <c r="BS188" s="324"/>
      <c r="BT188" s="324"/>
      <c r="BU188" s="324"/>
      <c r="BV188" s="324"/>
      <c r="BW188" s="324"/>
      <c r="BX188" s="324"/>
      <c r="BY188" s="324"/>
      <c r="BZ188" s="324"/>
      <c r="CA188" s="324"/>
      <c r="CB188" s="324"/>
      <c r="CC188" s="324"/>
      <c r="CD188" s="324"/>
    </row>
    <row r="189" spans="1:82">
      <c r="A189"/>
      <c r="B189"/>
      <c r="C189"/>
      <c r="D189"/>
      <c r="E189"/>
      <c r="F189"/>
      <c r="G189"/>
      <c r="H189"/>
      <c r="I189"/>
      <c r="J189"/>
      <c r="K189"/>
      <c r="L189"/>
      <c r="M189"/>
      <c r="N189" s="324"/>
      <c r="O189" s="324"/>
      <c r="P189" s="324"/>
      <c r="Q189" s="324"/>
      <c r="R189" s="324"/>
      <c r="S189" s="324"/>
      <c r="T189" s="324"/>
      <c r="U189" s="324"/>
      <c r="V189" s="324"/>
      <c r="W189" s="324"/>
      <c r="X189" s="324"/>
      <c r="Y189" s="324"/>
      <c r="Z189" s="324"/>
      <c r="AA189" s="324"/>
      <c r="AB189" s="324"/>
      <c r="AC189" s="324"/>
      <c r="AD189" s="324"/>
      <c r="AE189" s="324"/>
      <c r="AF189" s="324"/>
      <c r="AG189" s="324"/>
      <c r="AH189" s="324"/>
      <c r="AI189" s="324"/>
      <c r="AJ189" s="324"/>
      <c r="AK189" s="324"/>
      <c r="AL189" s="324"/>
      <c r="AM189" s="324"/>
      <c r="AN189" s="324"/>
      <c r="AO189" s="324"/>
      <c r="AP189" s="324"/>
      <c r="AQ189" s="324"/>
      <c r="AR189" s="324"/>
      <c r="AS189" s="324"/>
      <c r="AT189" s="324"/>
      <c r="AU189" s="324"/>
      <c r="AV189" s="324"/>
      <c r="AW189" s="324"/>
      <c r="AX189" s="324"/>
      <c r="AY189" s="324"/>
      <c r="AZ189" s="324"/>
      <c r="BA189" s="324"/>
      <c r="BB189" s="324"/>
      <c r="BC189" s="324"/>
      <c r="BD189" s="324"/>
      <c r="BE189" s="324"/>
      <c r="BF189" s="324"/>
      <c r="BG189" s="324"/>
      <c r="BH189" s="324"/>
      <c r="BI189" s="324"/>
      <c r="BJ189" s="324"/>
      <c r="BK189" s="324"/>
      <c r="BL189" s="324"/>
      <c r="BM189" s="324"/>
      <c r="BN189" s="324"/>
      <c r="BO189" s="324"/>
      <c r="BP189" s="324"/>
      <c r="BQ189" s="324"/>
      <c r="BR189" s="324"/>
      <c r="BS189" s="324"/>
      <c r="BT189" s="324"/>
      <c r="BU189" s="324"/>
      <c r="BV189" s="324"/>
      <c r="BW189" s="324"/>
      <c r="BX189" s="324"/>
      <c r="BY189" s="324"/>
      <c r="BZ189" s="324"/>
      <c r="CA189" s="324"/>
      <c r="CB189" s="324"/>
      <c r="CC189" s="324"/>
      <c r="CD189" s="324"/>
    </row>
    <row r="190" spans="1:82">
      <c r="A190"/>
      <c r="B190"/>
      <c r="C190"/>
      <c r="D190"/>
      <c r="E190"/>
      <c r="F190"/>
      <c r="G190"/>
      <c r="H190"/>
      <c r="I190"/>
      <c r="J190"/>
      <c r="K190"/>
      <c r="L190"/>
      <c r="M190"/>
      <c r="N190" s="324"/>
      <c r="O190" s="324"/>
      <c r="P190" s="324"/>
      <c r="Q190" s="324"/>
      <c r="R190" s="324"/>
      <c r="S190" s="324"/>
      <c r="T190" s="324"/>
      <c r="U190" s="324"/>
      <c r="V190" s="324"/>
      <c r="W190" s="324"/>
      <c r="X190" s="324"/>
      <c r="Y190" s="324"/>
      <c r="Z190" s="324"/>
      <c r="AA190" s="324"/>
      <c r="AB190" s="324"/>
      <c r="AC190" s="324"/>
      <c r="AD190" s="324"/>
      <c r="AE190" s="324"/>
      <c r="AF190" s="324"/>
      <c r="AG190" s="324"/>
      <c r="AH190" s="324"/>
      <c r="AI190" s="324"/>
      <c r="AJ190" s="324"/>
      <c r="AK190" s="324"/>
      <c r="AL190" s="324"/>
      <c r="AM190" s="324"/>
      <c r="AN190" s="324"/>
      <c r="AO190" s="324"/>
      <c r="AP190" s="324"/>
      <c r="AQ190" s="324"/>
      <c r="AR190" s="324"/>
      <c r="AS190" s="324"/>
      <c r="AT190" s="324"/>
      <c r="AU190" s="324"/>
      <c r="AV190" s="324"/>
      <c r="AW190" s="324"/>
      <c r="AX190" s="324"/>
      <c r="AY190" s="324"/>
      <c r="AZ190" s="324"/>
      <c r="BA190" s="324"/>
      <c r="BB190" s="324"/>
      <c r="BC190" s="324"/>
      <c r="BD190" s="324"/>
      <c r="BE190" s="324"/>
      <c r="BF190" s="324"/>
      <c r="BG190" s="324"/>
      <c r="BH190" s="324"/>
      <c r="BI190" s="324"/>
      <c r="BJ190" s="324"/>
      <c r="BK190" s="324"/>
      <c r="BL190" s="324"/>
      <c r="BM190" s="324"/>
      <c r="BN190" s="324"/>
      <c r="BO190" s="324"/>
      <c r="BP190" s="324"/>
      <c r="BQ190" s="324"/>
      <c r="BR190" s="324"/>
      <c r="BS190" s="324"/>
      <c r="BT190" s="324"/>
      <c r="BU190" s="324"/>
      <c r="BV190" s="324"/>
      <c r="BW190" s="324"/>
      <c r="BX190" s="324"/>
      <c r="BY190" s="324"/>
      <c r="BZ190" s="324"/>
      <c r="CA190" s="324"/>
      <c r="CB190" s="324"/>
      <c r="CC190" s="324"/>
      <c r="CD190" s="324"/>
    </row>
    <row r="191" spans="1:82">
      <c r="A191"/>
      <c r="B191"/>
      <c r="C191"/>
      <c r="D191"/>
      <c r="E191"/>
      <c r="F191"/>
      <c r="G191"/>
      <c r="H191"/>
      <c r="I191"/>
      <c r="J191"/>
      <c r="K191"/>
      <c r="L191"/>
      <c r="M191"/>
      <c r="N191" s="324"/>
      <c r="O191" s="324"/>
      <c r="P191" s="324"/>
      <c r="Q191" s="324"/>
      <c r="R191" s="324"/>
      <c r="S191" s="324"/>
      <c r="T191" s="324"/>
      <c r="U191" s="324"/>
      <c r="V191" s="324"/>
      <c r="W191" s="324"/>
      <c r="X191" s="324"/>
      <c r="Y191" s="324"/>
      <c r="Z191" s="324"/>
      <c r="AA191" s="324"/>
      <c r="AB191" s="324"/>
      <c r="AC191" s="324"/>
      <c r="AD191" s="324"/>
      <c r="AE191" s="324"/>
      <c r="AF191" s="324"/>
      <c r="AG191" s="324"/>
      <c r="AH191" s="324"/>
      <c r="AI191" s="324"/>
      <c r="AJ191" s="324"/>
      <c r="AK191" s="324"/>
      <c r="AL191" s="324"/>
      <c r="AM191" s="324"/>
      <c r="AN191" s="324"/>
      <c r="AO191" s="324"/>
      <c r="AP191" s="324"/>
      <c r="AQ191" s="324"/>
      <c r="AR191" s="324"/>
      <c r="AS191" s="324"/>
      <c r="AT191" s="324"/>
      <c r="AU191" s="324"/>
      <c r="AV191" s="324"/>
      <c r="AW191" s="324"/>
      <c r="AX191" s="324"/>
      <c r="AY191" s="324"/>
      <c r="AZ191" s="324"/>
      <c r="BA191" s="324"/>
      <c r="BB191" s="324"/>
      <c r="BC191" s="324"/>
      <c r="BD191" s="324"/>
      <c r="BE191" s="324"/>
      <c r="BF191" s="324"/>
      <c r="BG191" s="324"/>
      <c r="BH191" s="324"/>
      <c r="BI191" s="324"/>
      <c r="BJ191" s="324"/>
      <c r="BK191" s="324"/>
      <c r="BL191" s="324"/>
      <c r="BM191" s="324"/>
      <c r="BN191" s="324"/>
      <c r="BO191" s="324"/>
      <c r="BP191" s="324"/>
      <c r="BQ191" s="324"/>
      <c r="BR191" s="324"/>
      <c r="BS191" s="324"/>
      <c r="BT191" s="324"/>
      <c r="BU191" s="324"/>
      <c r="BV191" s="324"/>
      <c r="BW191" s="324"/>
      <c r="BX191" s="324"/>
      <c r="BY191" s="324"/>
      <c r="BZ191" s="324"/>
      <c r="CA191" s="324"/>
      <c r="CB191" s="324"/>
      <c r="CC191" s="324"/>
      <c r="CD191" s="324"/>
    </row>
    <row r="192" spans="1:82">
      <c r="A192"/>
      <c r="B192"/>
      <c r="C192"/>
      <c r="D192"/>
      <c r="E192"/>
      <c r="F192"/>
      <c r="G192"/>
      <c r="H192"/>
      <c r="I192"/>
      <c r="J192"/>
      <c r="K192"/>
      <c r="L192"/>
      <c r="M192"/>
      <c r="N192" s="324"/>
      <c r="O192" s="324"/>
      <c r="P192" s="324"/>
      <c r="Q192" s="324"/>
      <c r="R192" s="324"/>
      <c r="S192" s="324"/>
      <c r="T192" s="324"/>
      <c r="U192" s="324"/>
      <c r="V192" s="324"/>
      <c r="W192" s="324"/>
      <c r="X192" s="324"/>
      <c r="Y192" s="324"/>
      <c r="Z192" s="324"/>
      <c r="AA192" s="324"/>
      <c r="AB192" s="324"/>
      <c r="AC192" s="324"/>
      <c r="AD192" s="324"/>
      <c r="AE192" s="324"/>
      <c r="AF192" s="324"/>
      <c r="AG192" s="324"/>
      <c r="AH192" s="324"/>
      <c r="AI192" s="324"/>
      <c r="AJ192" s="324"/>
      <c r="AK192" s="324"/>
      <c r="AL192" s="324"/>
      <c r="AM192" s="324"/>
      <c r="AN192" s="324"/>
      <c r="AO192" s="324"/>
      <c r="AP192" s="324"/>
      <c r="AQ192" s="324"/>
      <c r="AR192" s="324"/>
      <c r="AS192" s="324"/>
      <c r="AT192" s="324"/>
      <c r="AU192" s="324"/>
      <c r="AV192" s="324"/>
      <c r="AW192" s="324"/>
      <c r="AX192" s="324"/>
      <c r="AY192" s="324"/>
      <c r="AZ192" s="324"/>
      <c r="BA192" s="324"/>
      <c r="BB192" s="324"/>
      <c r="BC192" s="324"/>
      <c r="BD192" s="324"/>
      <c r="BE192" s="324"/>
      <c r="BF192" s="324"/>
      <c r="BG192" s="324"/>
      <c r="BH192" s="324"/>
      <c r="BI192" s="324"/>
      <c r="BJ192" s="324"/>
      <c r="BK192" s="324"/>
      <c r="BL192" s="324"/>
      <c r="BM192" s="324"/>
      <c r="BN192" s="324"/>
      <c r="BO192" s="324"/>
      <c r="BP192" s="324"/>
      <c r="BQ192" s="324"/>
      <c r="BR192" s="324"/>
      <c r="BS192" s="324"/>
      <c r="BT192" s="324"/>
      <c r="BU192" s="324"/>
      <c r="BV192" s="324"/>
      <c r="BW192" s="324"/>
      <c r="BX192" s="324"/>
      <c r="BY192" s="324"/>
      <c r="BZ192" s="324"/>
      <c r="CA192" s="324"/>
      <c r="CB192" s="324"/>
      <c r="CC192" s="324"/>
      <c r="CD192" s="324"/>
    </row>
    <row r="193" spans="1:82">
      <c r="A193"/>
      <c r="B193"/>
      <c r="C193"/>
      <c r="D193"/>
      <c r="E193"/>
      <c r="F193"/>
      <c r="G193"/>
      <c r="H193"/>
      <c r="I193"/>
      <c r="J193"/>
      <c r="K193"/>
      <c r="L193"/>
      <c r="M193"/>
      <c r="N193" s="324"/>
      <c r="O193" s="324"/>
      <c r="P193" s="324"/>
      <c r="Q193" s="324"/>
      <c r="R193" s="324"/>
      <c r="S193" s="324"/>
      <c r="T193" s="324"/>
      <c r="U193" s="324"/>
      <c r="V193" s="324"/>
      <c r="W193" s="324"/>
      <c r="X193" s="324"/>
      <c r="Y193" s="324"/>
      <c r="Z193" s="324"/>
      <c r="AA193" s="324"/>
      <c r="AB193" s="324"/>
      <c r="AC193" s="324"/>
      <c r="AD193" s="324"/>
      <c r="AE193" s="324"/>
      <c r="AF193" s="324"/>
      <c r="AG193" s="324"/>
      <c r="AH193" s="324"/>
      <c r="AI193" s="324"/>
      <c r="AJ193" s="324"/>
      <c r="AK193" s="324"/>
      <c r="AL193" s="324"/>
      <c r="AM193" s="324"/>
      <c r="AN193" s="324"/>
      <c r="AO193" s="324"/>
      <c r="AP193" s="324"/>
      <c r="AQ193" s="324"/>
      <c r="AR193" s="324"/>
      <c r="AS193" s="324"/>
      <c r="AT193" s="324"/>
      <c r="AU193" s="324"/>
      <c r="AV193" s="324"/>
      <c r="AW193" s="324"/>
      <c r="AX193" s="324"/>
      <c r="AY193" s="324"/>
      <c r="AZ193" s="324"/>
      <c r="BA193" s="324"/>
      <c r="BB193" s="324"/>
      <c r="BC193" s="324"/>
      <c r="BD193" s="324"/>
      <c r="BE193" s="324"/>
      <c r="BF193" s="324"/>
      <c r="BG193" s="324"/>
      <c r="BH193" s="324"/>
      <c r="BI193" s="324"/>
      <c r="BJ193" s="324"/>
      <c r="BK193" s="324"/>
      <c r="BL193" s="324"/>
      <c r="BM193" s="324"/>
      <c r="BN193" s="324"/>
      <c r="BO193" s="324"/>
      <c r="BP193" s="324"/>
      <c r="BQ193" s="324"/>
      <c r="BR193" s="324"/>
      <c r="BS193" s="324"/>
      <c r="BT193" s="324"/>
      <c r="BU193" s="324"/>
      <c r="BV193" s="324"/>
      <c r="BW193" s="324"/>
      <c r="BX193" s="324"/>
      <c r="BY193" s="324"/>
      <c r="BZ193" s="324"/>
      <c r="CA193" s="324"/>
      <c r="CB193" s="324"/>
      <c r="CC193" s="324"/>
      <c r="CD193" s="324"/>
    </row>
    <row r="194" spans="1:82">
      <c r="A194"/>
      <c r="B194"/>
      <c r="C194"/>
      <c r="D194"/>
      <c r="E194"/>
      <c r="F194"/>
      <c r="G194"/>
      <c r="H194"/>
      <c r="I194"/>
      <c r="J194"/>
      <c r="K194"/>
      <c r="L194"/>
      <c r="M194"/>
      <c r="N194" s="324"/>
      <c r="O194" s="324"/>
      <c r="P194" s="324"/>
      <c r="Q194" s="324"/>
      <c r="R194" s="324"/>
      <c r="S194" s="324"/>
      <c r="T194" s="324"/>
      <c r="U194" s="324"/>
      <c r="V194" s="324"/>
      <c r="W194" s="324"/>
      <c r="X194" s="324"/>
      <c r="Y194" s="324"/>
      <c r="Z194" s="324"/>
      <c r="AA194" s="324"/>
      <c r="AB194" s="324"/>
      <c r="AC194" s="324"/>
      <c r="AD194" s="324"/>
      <c r="AE194" s="324"/>
      <c r="AF194" s="324"/>
      <c r="AG194" s="324"/>
      <c r="AH194" s="324"/>
      <c r="AI194" s="324"/>
      <c r="AJ194" s="324"/>
      <c r="AK194" s="324"/>
      <c r="AL194" s="324"/>
      <c r="AM194" s="324"/>
      <c r="AN194" s="324"/>
      <c r="AO194" s="324"/>
      <c r="AP194" s="324"/>
      <c r="AQ194" s="324"/>
      <c r="AR194" s="324"/>
      <c r="AS194" s="324"/>
      <c r="AT194" s="324"/>
      <c r="AU194" s="324"/>
      <c r="AV194" s="324"/>
      <c r="AW194" s="324"/>
      <c r="AX194" s="324"/>
      <c r="AY194" s="324"/>
      <c r="AZ194" s="324"/>
      <c r="BA194" s="324"/>
      <c r="BB194" s="324"/>
      <c r="BC194" s="324"/>
      <c r="BD194" s="324"/>
      <c r="BE194" s="324"/>
      <c r="BF194" s="324"/>
      <c r="BG194" s="324"/>
      <c r="BH194" s="324"/>
      <c r="BI194" s="324"/>
      <c r="BJ194" s="324"/>
      <c r="BK194" s="324"/>
      <c r="BL194" s="324"/>
      <c r="BM194" s="324"/>
      <c r="BN194" s="324"/>
      <c r="BO194" s="324"/>
      <c r="BP194" s="324"/>
      <c r="BQ194" s="324"/>
      <c r="BR194" s="324"/>
      <c r="BS194" s="324"/>
      <c r="BT194" s="324"/>
      <c r="BU194" s="324"/>
      <c r="BV194" s="324"/>
      <c r="BW194" s="324"/>
      <c r="BX194" s="324"/>
      <c r="BY194" s="324"/>
      <c r="BZ194" s="324"/>
      <c r="CA194" s="324"/>
      <c r="CB194" s="324"/>
      <c r="CC194" s="324"/>
      <c r="CD194" s="324"/>
    </row>
    <row r="195" spans="1:82">
      <c r="A195"/>
      <c r="B195"/>
      <c r="C195"/>
      <c r="D195"/>
      <c r="E195"/>
      <c r="F195"/>
      <c r="G195"/>
      <c r="H195"/>
      <c r="I195"/>
      <c r="J195"/>
      <c r="K195"/>
      <c r="L195"/>
      <c r="M195"/>
      <c r="N195" s="324"/>
      <c r="O195" s="324"/>
      <c r="P195" s="324"/>
      <c r="Q195" s="324"/>
      <c r="R195" s="324"/>
      <c r="S195" s="324"/>
      <c r="T195" s="324"/>
      <c r="U195" s="324"/>
      <c r="V195" s="324"/>
      <c r="W195" s="324"/>
      <c r="X195" s="324"/>
      <c r="Y195" s="324"/>
      <c r="Z195" s="324"/>
      <c r="AA195" s="324"/>
      <c r="AB195" s="324"/>
      <c r="AC195" s="324"/>
      <c r="AD195" s="324"/>
      <c r="AE195" s="324"/>
      <c r="AF195" s="324"/>
      <c r="AG195" s="324"/>
      <c r="AH195" s="324"/>
      <c r="AI195" s="324"/>
      <c r="AJ195" s="324"/>
      <c r="AK195" s="324"/>
      <c r="AL195" s="324"/>
      <c r="AM195" s="324"/>
      <c r="AN195" s="324"/>
      <c r="AO195" s="324"/>
      <c r="AP195" s="324"/>
      <c r="AQ195" s="324"/>
      <c r="AR195" s="324"/>
      <c r="AS195" s="324"/>
      <c r="AT195" s="324"/>
      <c r="AU195" s="324"/>
      <c r="AV195" s="324"/>
      <c r="AW195" s="324"/>
      <c r="AX195" s="324"/>
      <c r="AY195" s="324"/>
      <c r="AZ195" s="324"/>
      <c r="BA195" s="324"/>
      <c r="BB195" s="324"/>
      <c r="BC195" s="324"/>
      <c r="BD195" s="324"/>
      <c r="BE195" s="324"/>
      <c r="BF195" s="324"/>
      <c r="BG195" s="324"/>
      <c r="BH195" s="324"/>
      <c r="BI195" s="324"/>
      <c r="BJ195" s="324"/>
      <c r="BK195" s="324"/>
      <c r="BL195" s="324"/>
      <c r="BM195" s="324"/>
      <c r="BN195" s="324"/>
      <c r="BO195" s="324"/>
      <c r="BP195" s="324"/>
      <c r="BQ195" s="324"/>
      <c r="BR195" s="324"/>
      <c r="BS195" s="324"/>
      <c r="BT195" s="324"/>
      <c r="BU195" s="324"/>
      <c r="BV195" s="324"/>
      <c r="BW195" s="324"/>
      <c r="BX195" s="324"/>
      <c r="BY195" s="324"/>
      <c r="BZ195" s="324"/>
      <c r="CA195" s="324"/>
      <c r="CB195" s="324"/>
      <c r="CC195" s="324"/>
      <c r="CD195" s="324"/>
    </row>
    <row r="196" spans="1:82">
      <c r="A196"/>
      <c r="B196"/>
      <c r="C196"/>
      <c r="D196"/>
      <c r="E196"/>
      <c r="F196"/>
      <c r="G196"/>
      <c r="H196"/>
      <c r="I196"/>
      <c r="J196"/>
      <c r="K196"/>
      <c r="L196"/>
      <c r="M196"/>
      <c r="N196" s="324"/>
      <c r="O196" s="324"/>
      <c r="P196" s="324"/>
      <c r="Q196" s="324"/>
      <c r="R196" s="324"/>
      <c r="S196" s="324"/>
      <c r="T196" s="324"/>
      <c r="U196" s="324"/>
      <c r="V196" s="324"/>
      <c r="W196" s="324"/>
      <c r="X196" s="324"/>
      <c r="Y196" s="324"/>
      <c r="Z196" s="324"/>
      <c r="AA196" s="324"/>
      <c r="AB196" s="324"/>
      <c r="AC196" s="324"/>
      <c r="AD196" s="324"/>
      <c r="AE196" s="324"/>
      <c r="AF196" s="324"/>
      <c r="AG196" s="324"/>
      <c r="AH196" s="324"/>
      <c r="AI196" s="324"/>
      <c r="AJ196" s="324"/>
      <c r="AK196" s="324"/>
      <c r="AL196" s="324"/>
      <c r="AM196" s="324"/>
      <c r="AN196" s="324"/>
      <c r="AO196" s="324"/>
      <c r="AP196" s="324"/>
      <c r="AQ196" s="324"/>
      <c r="AR196" s="324"/>
      <c r="AS196" s="324"/>
      <c r="AT196" s="324"/>
      <c r="AU196" s="324"/>
      <c r="AV196" s="324"/>
      <c r="AW196" s="324"/>
      <c r="AX196" s="324"/>
      <c r="AY196" s="324"/>
      <c r="AZ196" s="324"/>
      <c r="BA196" s="324"/>
      <c r="BB196" s="324"/>
      <c r="BC196" s="324"/>
      <c r="BD196" s="324"/>
      <c r="BE196" s="324"/>
      <c r="BF196" s="324"/>
      <c r="BG196" s="324"/>
      <c r="BH196" s="324"/>
      <c r="BI196" s="324"/>
      <c r="BJ196" s="324"/>
      <c r="BK196" s="324"/>
      <c r="BL196" s="324"/>
      <c r="BM196" s="324"/>
      <c r="BN196" s="324"/>
      <c r="BO196" s="324"/>
      <c r="BP196" s="324"/>
      <c r="BQ196" s="324"/>
      <c r="BR196" s="324"/>
      <c r="BS196" s="324"/>
      <c r="BT196" s="324"/>
      <c r="BU196" s="324"/>
      <c r="BV196" s="324"/>
      <c r="BW196" s="324"/>
      <c r="BX196" s="324"/>
      <c r="BY196" s="324"/>
      <c r="BZ196" s="324"/>
      <c r="CA196" s="324"/>
      <c r="CB196" s="324"/>
      <c r="CC196" s="324"/>
      <c r="CD196" s="324"/>
    </row>
    <row r="197" spans="1:82">
      <c r="A197"/>
      <c r="B197"/>
      <c r="C197"/>
      <c r="D197"/>
      <c r="E197"/>
      <c r="F197"/>
      <c r="G197"/>
      <c r="H197"/>
      <c r="I197"/>
      <c r="J197"/>
      <c r="K197"/>
      <c r="L197"/>
      <c r="M197"/>
      <c r="N197" s="324"/>
      <c r="O197" s="324"/>
      <c r="P197" s="324"/>
      <c r="Q197" s="324"/>
      <c r="R197" s="324"/>
      <c r="S197" s="324"/>
      <c r="T197" s="324"/>
      <c r="U197" s="324"/>
      <c r="V197" s="324"/>
      <c r="W197" s="324"/>
      <c r="X197" s="324"/>
      <c r="Y197" s="324"/>
      <c r="Z197" s="324"/>
      <c r="AA197" s="324"/>
      <c r="AB197" s="324"/>
      <c r="AC197" s="324"/>
      <c r="AD197" s="324"/>
      <c r="AE197" s="324"/>
      <c r="AF197" s="324"/>
      <c r="AG197" s="324"/>
      <c r="AH197" s="324"/>
      <c r="AI197" s="324"/>
      <c r="AJ197" s="324"/>
      <c r="AK197" s="324"/>
      <c r="AL197" s="324"/>
      <c r="AM197" s="324"/>
      <c r="AN197" s="324"/>
      <c r="AO197" s="324"/>
      <c r="AP197" s="324"/>
      <c r="AQ197" s="324"/>
      <c r="AR197" s="324"/>
      <c r="AS197" s="324"/>
      <c r="AT197" s="324"/>
      <c r="AU197" s="324"/>
      <c r="AV197" s="324"/>
      <c r="AW197" s="324"/>
      <c r="AX197" s="324"/>
      <c r="AY197" s="324"/>
      <c r="AZ197" s="324"/>
      <c r="BA197" s="324"/>
      <c r="BB197" s="324"/>
      <c r="BC197" s="324"/>
      <c r="BD197" s="324"/>
      <c r="BE197" s="324"/>
      <c r="BF197" s="324"/>
      <c r="BG197" s="324"/>
      <c r="BH197" s="324"/>
      <c r="BI197" s="324"/>
      <c r="BJ197" s="324"/>
      <c r="BK197" s="324"/>
      <c r="BL197" s="324"/>
      <c r="BM197" s="324"/>
      <c r="BN197" s="324"/>
      <c r="BO197" s="324"/>
      <c r="BP197" s="324"/>
      <c r="BQ197" s="324"/>
      <c r="BR197" s="324"/>
      <c r="BS197" s="324"/>
      <c r="BT197" s="324"/>
      <c r="BU197" s="324"/>
      <c r="BV197" s="324"/>
      <c r="BW197" s="324"/>
      <c r="BX197" s="324"/>
      <c r="BY197" s="324"/>
      <c r="BZ197" s="324"/>
      <c r="CA197" s="324"/>
      <c r="CB197" s="324"/>
      <c r="CC197" s="324"/>
      <c r="CD197" s="324"/>
    </row>
    <row r="198" spans="1:82">
      <c r="A198"/>
      <c r="B198"/>
      <c r="C198"/>
      <c r="D198"/>
      <c r="E198"/>
      <c r="F198"/>
      <c r="G198"/>
      <c r="H198"/>
      <c r="I198"/>
      <c r="J198"/>
      <c r="K198"/>
      <c r="L198"/>
      <c r="M198"/>
      <c r="N198" s="324"/>
      <c r="O198" s="324"/>
      <c r="P198" s="324"/>
      <c r="Q198" s="324"/>
      <c r="R198" s="324"/>
      <c r="S198" s="324"/>
      <c r="T198" s="324"/>
      <c r="U198" s="324"/>
      <c r="V198" s="324"/>
      <c r="W198" s="324"/>
      <c r="X198" s="324"/>
      <c r="Y198" s="324"/>
      <c r="Z198" s="324"/>
      <c r="AA198" s="324"/>
      <c r="AB198" s="324"/>
      <c r="AC198" s="324"/>
      <c r="AD198" s="324"/>
      <c r="AE198" s="324"/>
      <c r="AF198" s="324"/>
      <c r="AG198" s="324"/>
      <c r="AH198" s="324"/>
      <c r="AI198" s="324"/>
      <c r="AJ198" s="324"/>
      <c r="AK198" s="324"/>
      <c r="AL198" s="324"/>
      <c r="AM198" s="324"/>
      <c r="AN198" s="324"/>
      <c r="AO198" s="324"/>
      <c r="AP198" s="324"/>
      <c r="AQ198" s="324"/>
      <c r="AR198" s="324"/>
      <c r="AS198" s="324"/>
      <c r="AT198" s="324"/>
      <c r="AU198" s="324"/>
      <c r="AV198" s="324"/>
      <c r="AW198" s="324"/>
      <c r="AX198" s="324"/>
      <c r="AY198" s="324"/>
      <c r="AZ198" s="324"/>
      <c r="BA198" s="324"/>
      <c r="BB198" s="324"/>
      <c r="BC198" s="324"/>
      <c r="BD198" s="324"/>
      <c r="BE198" s="324"/>
      <c r="BF198" s="324"/>
      <c r="BG198" s="324"/>
      <c r="BH198" s="324"/>
      <c r="BI198" s="324"/>
      <c r="BJ198" s="324"/>
      <c r="BK198" s="324"/>
      <c r="BL198" s="324"/>
      <c r="BM198" s="324"/>
      <c r="BN198" s="324"/>
      <c r="BO198" s="324"/>
      <c r="BP198" s="324"/>
      <c r="BQ198" s="324"/>
      <c r="BR198" s="324"/>
      <c r="BS198" s="324"/>
      <c r="BT198" s="324"/>
      <c r="BU198" s="324"/>
      <c r="BV198" s="324"/>
      <c r="BW198" s="324"/>
      <c r="BX198" s="324"/>
      <c r="BY198" s="324"/>
      <c r="BZ198" s="324"/>
      <c r="CA198" s="324"/>
      <c r="CB198" s="324"/>
      <c r="CC198" s="324"/>
      <c r="CD198" s="324"/>
    </row>
    <row r="199" spans="1:82">
      <c r="A199"/>
      <c r="B199"/>
      <c r="C199"/>
      <c r="D199"/>
      <c r="E199"/>
      <c r="F199"/>
      <c r="G199"/>
      <c r="H199"/>
      <c r="I199"/>
      <c r="J199"/>
      <c r="K199"/>
      <c r="L199"/>
      <c r="M199"/>
      <c r="N199" s="324"/>
      <c r="O199" s="324"/>
      <c r="P199" s="324"/>
      <c r="Q199" s="324"/>
      <c r="R199" s="324"/>
      <c r="S199" s="324"/>
      <c r="T199" s="324"/>
      <c r="U199" s="324"/>
      <c r="V199" s="324"/>
      <c r="W199" s="324"/>
      <c r="X199" s="324"/>
      <c r="Y199" s="324"/>
      <c r="Z199" s="324"/>
      <c r="AA199" s="324"/>
      <c r="AB199" s="324"/>
      <c r="AC199" s="324"/>
      <c r="AD199" s="324"/>
      <c r="AE199" s="324"/>
      <c r="AF199" s="324"/>
      <c r="AG199" s="324"/>
      <c r="AH199" s="324"/>
      <c r="AI199" s="324"/>
      <c r="AJ199" s="324"/>
      <c r="AK199" s="324"/>
      <c r="AL199" s="324"/>
      <c r="AM199" s="324"/>
      <c r="AN199" s="324"/>
      <c r="AO199" s="324"/>
      <c r="AP199" s="324"/>
      <c r="AQ199" s="324"/>
      <c r="AR199" s="324"/>
      <c r="AS199" s="324"/>
      <c r="AT199" s="324"/>
      <c r="AU199" s="324"/>
      <c r="AV199" s="324"/>
      <c r="AW199" s="324"/>
      <c r="AX199" s="324"/>
      <c r="AY199" s="324"/>
      <c r="AZ199" s="324"/>
      <c r="BA199" s="324"/>
      <c r="BB199" s="324"/>
      <c r="BC199" s="324"/>
      <c r="BD199" s="324"/>
      <c r="BE199" s="324"/>
      <c r="BF199" s="324"/>
      <c r="BG199" s="324"/>
      <c r="BH199" s="324"/>
      <c r="BI199" s="324"/>
      <c r="BJ199" s="324"/>
      <c r="BK199" s="324"/>
      <c r="BL199" s="324"/>
      <c r="BM199" s="324"/>
      <c r="BN199" s="324"/>
      <c r="BO199" s="324"/>
      <c r="BP199" s="324"/>
      <c r="BQ199" s="324"/>
      <c r="BR199" s="324"/>
      <c r="BS199" s="324"/>
      <c r="BT199" s="324"/>
      <c r="BU199" s="324"/>
      <c r="BV199" s="324"/>
      <c r="BW199" s="324"/>
      <c r="BX199" s="324"/>
      <c r="BY199" s="324"/>
      <c r="BZ199" s="324"/>
      <c r="CA199" s="324"/>
      <c r="CB199" s="324"/>
      <c r="CC199" s="324"/>
      <c r="CD199" s="324"/>
    </row>
    <row r="200" spans="1:82">
      <c r="A200"/>
      <c r="B200"/>
      <c r="C200"/>
      <c r="D200"/>
      <c r="E200"/>
      <c r="F200"/>
      <c r="G200"/>
      <c r="H200"/>
      <c r="I200"/>
      <c r="J200"/>
      <c r="K200"/>
      <c r="L200"/>
      <c r="M200"/>
      <c r="N200" s="324"/>
      <c r="O200" s="324"/>
      <c r="P200" s="324"/>
      <c r="Q200" s="324"/>
      <c r="R200" s="324"/>
      <c r="S200" s="324"/>
      <c r="T200" s="324"/>
      <c r="U200" s="324"/>
      <c r="V200" s="324"/>
      <c r="W200" s="324"/>
      <c r="X200" s="324"/>
      <c r="Y200" s="324"/>
      <c r="Z200" s="324"/>
      <c r="AA200" s="324"/>
      <c r="AB200" s="324"/>
      <c r="AC200" s="324"/>
      <c r="AD200" s="324"/>
      <c r="AE200" s="324"/>
      <c r="AF200" s="324"/>
      <c r="AG200" s="324"/>
      <c r="AH200" s="324"/>
      <c r="AI200" s="324"/>
      <c r="AJ200" s="324"/>
      <c r="AK200" s="324"/>
      <c r="AL200" s="324"/>
      <c r="AM200" s="324"/>
      <c r="AN200" s="324"/>
      <c r="AO200" s="324"/>
      <c r="AP200" s="324"/>
      <c r="AQ200" s="324"/>
      <c r="AR200" s="324"/>
      <c r="AS200" s="324"/>
      <c r="AT200" s="324"/>
      <c r="AU200" s="324"/>
      <c r="AV200" s="324"/>
      <c r="AW200" s="324"/>
      <c r="AX200" s="324"/>
      <c r="AY200" s="324"/>
      <c r="AZ200" s="324"/>
      <c r="BA200" s="324"/>
      <c r="BB200" s="324"/>
      <c r="BC200" s="324"/>
      <c r="BD200" s="324"/>
      <c r="BE200" s="324"/>
      <c r="BF200" s="324"/>
      <c r="BG200" s="324"/>
      <c r="BH200" s="324"/>
      <c r="BI200" s="324"/>
      <c r="BJ200" s="324"/>
      <c r="BK200" s="324"/>
      <c r="BL200" s="324"/>
      <c r="BM200" s="324"/>
      <c r="BN200" s="324"/>
      <c r="BO200" s="324"/>
      <c r="BP200" s="324"/>
      <c r="BQ200" s="324"/>
      <c r="BR200" s="324"/>
      <c r="BS200" s="324"/>
      <c r="BT200" s="324"/>
      <c r="BU200" s="324"/>
      <c r="BV200" s="324"/>
      <c r="BW200" s="324"/>
      <c r="BX200" s="324"/>
      <c r="BY200" s="324"/>
      <c r="BZ200" s="324"/>
      <c r="CA200" s="324"/>
      <c r="CB200" s="324"/>
      <c r="CC200" s="324"/>
      <c r="CD200" s="324"/>
    </row>
    <row r="201" spans="1:82">
      <c r="A201"/>
      <c r="B201"/>
      <c r="C201"/>
      <c r="D201"/>
      <c r="E201"/>
      <c r="F201"/>
      <c r="G201"/>
      <c r="H201"/>
      <c r="I201"/>
      <c r="J201"/>
      <c r="K201"/>
      <c r="L201"/>
      <c r="M201"/>
      <c r="N201" s="324"/>
      <c r="O201" s="324"/>
      <c r="P201" s="324"/>
      <c r="Q201" s="324"/>
      <c r="R201" s="324"/>
      <c r="S201" s="324"/>
      <c r="T201" s="324"/>
      <c r="U201" s="324"/>
      <c r="V201" s="324"/>
      <c r="W201" s="324"/>
      <c r="X201" s="324"/>
      <c r="Y201" s="324"/>
      <c r="Z201" s="324"/>
      <c r="AA201" s="324"/>
      <c r="AB201" s="324"/>
      <c r="AC201" s="324"/>
      <c r="AD201" s="324"/>
      <c r="AE201" s="324"/>
      <c r="AF201" s="324"/>
      <c r="AG201" s="324"/>
      <c r="AH201" s="324"/>
      <c r="AI201" s="324"/>
      <c r="AJ201" s="324"/>
      <c r="AK201" s="324"/>
      <c r="AL201" s="324"/>
      <c r="AM201" s="324"/>
      <c r="AN201" s="324"/>
      <c r="AO201" s="324"/>
      <c r="AP201" s="324"/>
      <c r="AQ201" s="324"/>
      <c r="AR201" s="324"/>
      <c r="AS201" s="324"/>
      <c r="AT201" s="324"/>
      <c r="AU201" s="324"/>
      <c r="AV201" s="324"/>
      <c r="AW201" s="324"/>
      <c r="AX201" s="324"/>
      <c r="AY201" s="324"/>
      <c r="AZ201" s="324"/>
      <c r="BA201" s="324"/>
      <c r="BB201" s="324"/>
      <c r="BC201" s="324"/>
      <c r="BD201" s="324"/>
      <c r="BE201" s="324"/>
      <c r="BF201" s="324"/>
      <c r="BG201" s="324"/>
      <c r="BH201" s="324"/>
      <c r="BI201" s="324"/>
      <c r="BJ201" s="324"/>
      <c r="BK201" s="324"/>
      <c r="BL201" s="324"/>
      <c r="BM201" s="324"/>
      <c r="BN201" s="324"/>
      <c r="BO201" s="324"/>
      <c r="BP201" s="324"/>
      <c r="BQ201" s="324"/>
      <c r="BR201" s="324"/>
      <c r="BS201" s="324"/>
      <c r="BT201" s="324"/>
      <c r="BU201" s="324"/>
      <c r="BV201" s="324"/>
      <c r="BW201" s="324"/>
      <c r="BX201" s="324"/>
      <c r="BY201" s="324"/>
      <c r="BZ201" s="324"/>
      <c r="CA201" s="324"/>
      <c r="CB201" s="324"/>
      <c r="CC201" s="324"/>
      <c r="CD201" s="324"/>
    </row>
    <row r="202" spans="1:82">
      <c r="A202"/>
      <c r="B202"/>
      <c r="C202"/>
      <c r="D202"/>
      <c r="E202"/>
      <c r="F202"/>
      <c r="G202"/>
      <c r="H202"/>
      <c r="I202"/>
      <c r="J202"/>
      <c r="K202"/>
      <c r="L202"/>
      <c r="M202"/>
      <c r="N202" s="324"/>
      <c r="O202" s="324"/>
      <c r="P202" s="324"/>
      <c r="Q202" s="324"/>
      <c r="R202" s="324"/>
      <c r="S202" s="324"/>
      <c r="T202" s="324"/>
      <c r="U202" s="324"/>
      <c r="V202" s="324"/>
      <c r="W202" s="324"/>
      <c r="X202" s="324"/>
      <c r="Y202" s="324"/>
      <c r="Z202" s="324"/>
      <c r="AA202" s="324"/>
      <c r="AB202" s="324"/>
      <c r="AC202" s="324"/>
      <c r="AD202" s="324"/>
      <c r="AE202" s="324"/>
      <c r="AF202" s="324"/>
      <c r="AG202" s="324"/>
      <c r="AH202" s="324"/>
      <c r="AI202" s="324"/>
      <c r="AJ202" s="324"/>
      <c r="AK202" s="324"/>
      <c r="AL202" s="324"/>
      <c r="AM202" s="324"/>
      <c r="AN202" s="324"/>
      <c r="AO202" s="324"/>
      <c r="AP202" s="324"/>
      <c r="AQ202" s="324"/>
      <c r="AR202" s="324"/>
      <c r="AS202" s="324"/>
      <c r="AT202" s="324"/>
      <c r="AU202" s="324"/>
      <c r="AV202" s="324"/>
      <c r="AW202" s="324"/>
      <c r="AX202" s="324"/>
      <c r="AY202" s="324"/>
      <c r="AZ202" s="324"/>
      <c r="BA202" s="324"/>
      <c r="BB202" s="324"/>
      <c r="BC202" s="324"/>
      <c r="BD202" s="324"/>
      <c r="BE202" s="324"/>
      <c r="BF202" s="324"/>
      <c r="BG202" s="324"/>
      <c r="BH202" s="324"/>
      <c r="BI202" s="324"/>
      <c r="BJ202" s="324"/>
      <c r="BK202" s="324"/>
      <c r="BL202" s="324"/>
      <c r="BM202" s="324"/>
      <c r="BN202" s="324"/>
      <c r="BO202" s="324"/>
      <c r="BP202" s="324"/>
      <c r="BQ202" s="324"/>
      <c r="BR202" s="324"/>
      <c r="BS202" s="324"/>
      <c r="BT202" s="324"/>
      <c r="BU202" s="324"/>
      <c r="BV202" s="324"/>
      <c r="BW202" s="324"/>
      <c r="BX202" s="324"/>
      <c r="BY202" s="324"/>
      <c r="BZ202" s="324"/>
      <c r="CA202" s="324"/>
      <c r="CB202" s="324"/>
      <c r="CC202" s="324"/>
      <c r="CD202" s="324"/>
    </row>
    <row r="203" spans="1:82">
      <c r="A203"/>
      <c r="B203"/>
      <c r="C203"/>
      <c r="D203"/>
      <c r="E203"/>
      <c r="F203"/>
      <c r="G203"/>
      <c r="H203"/>
      <c r="I203"/>
      <c r="J203"/>
      <c r="K203"/>
      <c r="L203"/>
      <c r="M203"/>
      <c r="N203" s="324"/>
      <c r="O203" s="324"/>
      <c r="P203" s="324"/>
      <c r="Q203" s="324"/>
      <c r="R203" s="324"/>
      <c r="S203" s="324"/>
      <c r="T203" s="324"/>
      <c r="U203" s="324"/>
      <c r="V203" s="324"/>
      <c r="W203" s="324"/>
      <c r="X203" s="324"/>
      <c r="Y203" s="324"/>
      <c r="Z203" s="324"/>
      <c r="AA203" s="324"/>
      <c r="AB203" s="324"/>
      <c r="AC203" s="324"/>
      <c r="AD203" s="324"/>
      <c r="AE203" s="324"/>
      <c r="AF203" s="324"/>
      <c r="AG203" s="324"/>
      <c r="AH203" s="324"/>
      <c r="AI203" s="324"/>
      <c r="AJ203" s="324"/>
      <c r="AK203" s="324"/>
      <c r="AL203" s="324"/>
      <c r="AM203" s="324"/>
      <c r="AN203" s="324"/>
      <c r="AO203" s="324"/>
      <c r="AP203" s="324"/>
      <c r="AQ203" s="324"/>
      <c r="AR203" s="324"/>
      <c r="AS203" s="324"/>
      <c r="AT203" s="324"/>
      <c r="AU203" s="324"/>
      <c r="AV203" s="324"/>
      <c r="AW203" s="324"/>
      <c r="AX203" s="324"/>
      <c r="AY203" s="324"/>
      <c r="AZ203" s="324"/>
      <c r="BA203" s="324"/>
      <c r="BB203" s="324"/>
      <c r="BC203" s="324"/>
      <c r="BD203" s="324"/>
      <c r="BE203" s="324"/>
      <c r="BF203" s="324"/>
      <c r="BG203" s="324"/>
      <c r="BH203" s="324"/>
      <c r="BI203" s="324"/>
      <c r="BJ203" s="324"/>
      <c r="BK203" s="324"/>
      <c r="BL203" s="324"/>
      <c r="BM203" s="324"/>
      <c r="BN203" s="324"/>
      <c r="BO203" s="324"/>
      <c r="BP203" s="324"/>
      <c r="BQ203" s="324"/>
      <c r="BR203" s="324"/>
      <c r="BS203" s="324"/>
      <c r="BT203" s="324"/>
      <c r="BU203" s="324"/>
      <c r="BV203" s="324"/>
      <c r="BW203" s="324"/>
      <c r="BX203" s="324"/>
      <c r="BY203" s="324"/>
      <c r="BZ203" s="324"/>
      <c r="CA203" s="324"/>
      <c r="CB203" s="324"/>
      <c r="CC203" s="324"/>
      <c r="CD203" s="324"/>
    </row>
    <row r="204" spans="1:82">
      <c r="A204"/>
      <c r="B204"/>
      <c r="C204"/>
      <c r="D204"/>
      <c r="E204"/>
      <c r="F204"/>
      <c r="G204"/>
      <c r="H204"/>
      <c r="I204"/>
      <c r="J204"/>
      <c r="K204"/>
      <c r="L204"/>
      <c r="M204"/>
      <c r="N204" s="324"/>
      <c r="O204" s="324"/>
      <c r="P204" s="324"/>
      <c r="Q204" s="324"/>
      <c r="R204" s="324"/>
      <c r="S204" s="324"/>
      <c r="T204" s="324"/>
      <c r="U204" s="324"/>
      <c r="V204" s="324"/>
      <c r="W204" s="324"/>
      <c r="X204" s="324"/>
      <c r="Y204" s="324"/>
      <c r="Z204" s="324"/>
      <c r="AA204" s="324"/>
      <c r="AB204" s="324"/>
      <c r="AC204" s="324"/>
      <c r="AD204" s="324"/>
      <c r="AE204" s="324"/>
      <c r="AF204" s="324"/>
      <c r="AG204" s="324"/>
      <c r="AH204" s="324"/>
      <c r="AI204" s="324"/>
      <c r="AJ204" s="324"/>
      <c r="AK204" s="324"/>
      <c r="AL204" s="324"/>
      <c r="AM204" s="324"/>
      <c r="AN204" s="324"/>
      <c r="AO204" s="324"/>
      <c r="AP204" s="324"/>
      <c r="AQ204" s="324"/>
      <c r="AR204" s="324"/>
      <c r="AS204" s="324"/>
      <c r="AT204" s="324"/>
      <c r="AU204" s="324"/>
      <c r="AV204" s="324"/>
      <c r="AW204" s="324"/>
      <c r="AX204" s="324"/>
      <c r="AY204" s="324"/>
      <c r="AZ204" s="324"/>
      <c r="BA204" s="324"/>
      <c r="BB204" s="324"/>
      <c r="BC204" s="324"/>
      <c r="BD204" s="324"/>
      <c r="BE204" s="324"/>
      <c r="BF204" s="324"/>
      <c r="BG204" s="324"/>
      <c r="BH204" s="324"/>
      <c r="BI204" s="324"/>
      <c r="BJ204" s="324"/>
      <c r="BK204" s="324"/>
      <c r="BL204" s="324"/>
      <c r="BM204" s="324"/>
      <c r="BN204" s="324"/>
      <c r="BO204" s="324"/>
      <c r="BP204" s="324"/>
      <c r="BQ204" s="324"/>
      <c r="BR204" s="324"/>
      <c r="BS204" s="324"/>
      <c r="BT204" s="324"/>
      <c r="BU204" s="324"/>
      <c r="BV204" s="324"/>
      <c r="BW204" s="324"/>
      <c r="BX204" s="324"/>
      <c r="BY204" s="324"/>
      <c r="BZ204" s="324"/>
      <c r="CA204" s="324"/>
      <c r="CB204" s="324"/>
      <c r="CC204" s="324"/>
      <c r="CD204" s="324"/>
    </row>
    <row r="205" spans="1:82">
      <c r="A205"/>
      <c r="B205"/>
      <c r="C205"/>
      <c r="D205"/>
      <c r="E205"/>
      <c r="F205"/>
      <c r="G205"/>
      <c r="H205"/>
      <c r="I205"/>
      <c r="J205"/>
      <c r="K205"/>
      <c r="L205"/>
      <c r="M205"/>
      <c r="N205" s="324"/>
      <c r="O205" s="324"/>
      <c r="P205" s="324"/>
      <c r="Q205" s="324"/>
      <c r="R205" s="324"/>
      <c r="S205" s="324"/>
      <c r="T205" s="324"/>
      <c r="U205" s="324"/>
      <c r="V205" s="324"/>
      <c r="W205" s="324"/>
      <c r="X205" s="324"/>
      <c r="Y205" s="324"/>
      <c r="Z205" s="324"/>
      <c r="AA205" s="324"/>
      <c r="AB205" s="324"/>
      <c r="AC205" s="324"/>
      <c r="AD205" s="324"/>
      <c r="AE205" s="324"/>
      <c r="AF205" s="324"/>
      <c r="AG205" s="324"/>
      <c r="AH205" s="324"/>
      <c r="AI205" s="324"/>
      <c r="AJ205" s="324"/>
      <c r="AK205" s="324"/>
      <c r="AL205" s="324"/>
      <c r="AM205" s="324"/>
      <c r="AN205" s="324"/>
      <c r="AO205" s="324"/>
      <c r="AP205" s="324"/>
      <c r="AQ205" s="324"/>
      <c r="AR205" s="324"/>
      <c r="AS205" s="324"/>
      <c r="AT205" s="324"/>
      <c r="AU205" s="324"/>
      <c r="AV205" s="324"/>
      <c r="AW205" s="324"/>
      <c r="AX205" s="324"/>
      <c r="AY205" s="324"/>
      <c r="AZ205" s="324"/>
      <c r="BA205" s="324"/>
      <c r="BB205" s="324"/>
      <c r="BC205" s="324"/>
      <c r="BD205" s="324"/>
      <c r="BE205" s="324"/>
      <c r="BF205" s="324"/>
      <c r="BG205" s="324"/>
      <c r="BH205" s="324"/>
      <c r="BI205" s="324"/>
      <c r="BJ205" s="324"/>
      <c r="BK205" s="324"/>
      <c r="BL205" s="324"/>
      <c r="BM205" s="324"/>
      <c r="BN205" s="324"/>
      <c r="BO205" s="324"/>
      <c r="BP205" s="324"/>
      <c r="BQ205" s="324"/>
      <c r="BR205" s="324"/>
      <c r="BS205" s="324"/>
      <c r="BT205" s="324"/>
      <c r="BU205" s="324"/>
      <c r="BV205" s="324"/>
      <c r="BW205" s="324"/>
      <c r="BX205" s="324"/>
      <c r="BY205" s="324"/>
      <c r="BZ205" s="324"/>
      <c r="CA205" s="324"/>
      <c r="CB205" s="324"/>
      <c r="CC205" s="324"/>
      <c r="CD205" s="324"/>
    </row>
    <row r="206" spans="1:82">
      <c r="A206"/>
      <c r="B206"/>
      <c r="C206"/>
      <c r="D206"/>
      <c r="E206"/>
      <c r="F206"/>
      <c r="G206"/>
      <c r="H206"/>
      <c r="I206"/>
      <c r="J206"/>
      <c r="K206"/>
      <c r="L206"/>
      <c r="M206"/>
      <c r="N206" s="324"/>
      <c r="O206" s="324"/>
      <c r="P206" s="324"/>
      <c r="Q206" s="324"/>
      <c r="R206" s="324"/>
      <c r="S206" s="324"/>
      <c r="T206" s="324"/>
      <c r="U206" s="324"/>
      <c r="V206" s="324"/>
      <c r="W206" s="324"/>
      <c r="X206" s="324"/>
      <c r="Y206" s="324"/>
      <c r="Z206" s="324"/>
      <c r="AA206" s="324"/>
      <c r="AB206" s="324"/>
      <c r="AC206" s="324"/>
      <c r="AD206" s="324"/>
      <c r="AE206" s="324"/>
      <c r="AF206" s="324"/>
      <c r="AG206" s="324"/>
      <c r="AH206" s="324"/>
      <c r="AI206" s="324"/>
      <c r="AJ206" s="324"/>
      <c r="AK206" s="324"/>
      <c r="AL206" s="324"/>
      <c r="AM206" s="324"/>
      <c r="AN206" s="324"/>
      <c r="AO206" s="324"/>
      <c r="AP206" s="324"/>
      <c r="AQ206" s="324"/>
      <c r="AR206" s="324"/>
      <c r="AS206" s="324"/>
      <c r="AT206" s="324"/>
      <c r="AU206" s="324"/>
      <c r="AV206" s="324"/>
      <c r="AW206" s="324"/>
      <c r="AX206" s="324"/>
      <c r="AY206" s="324"/>
      <c r="AZ206" s="324"/>
      <c r="BA206" s="324"/>
      <c r="BB206" s="324"/>
      <c r="BC206" s="324"/>
      <c r="BD206" s="324"/>
      <c r="BE206" s="324"/>
      <c r="BF206" s="324"/>
      <c r="BG206" s="324"/>
      <c r="BH206" s="324"/>
      <c r="BI206" s="324"/>
      <c r="BJ206" s="324"/>
      <c r="BK206" s="324"/>
      <c r="BL206" s="324"/>
      <c r="BM206" s="324"/>
      <c r="BN206" s="324"/>
      <c r="BO206" s="324"/>
      <c r="BP206" s="324"/>
      <c r="BQ206" s="324"/>
      <c r="BR206" s="324"/>
      <c r="BS206" s="324"/>
      <c r="BT206" s="324"/>
      <c r="BU206" s="324"/>
      <c r="BV206" s="324"/>
      <c r="BW206" s="324"/>
      <c r="BX206" s="324"/>
      <c r="BY206" s="324"/>
      <c r="BZ206" s="324"/>
      <c r="CA206" s="324"/>
      <c r="CB206" s="324"/>
      <c r="CC206" s="324"/>
      <c r="CD206" s="324"/>
    </row>
    <row r="207" spans="1:82">
      <c r="A207"/>
      <c r="B207"/>
      <c r="C207"/>
      <c r="D207"/>
      <c r="E207"/>
      <c r="F207"/>
      <c r="G207"/>
      <c r="H207"/>
      <c r="I207"/>
      <c r="J207"/>
      <c r="K207"/>
      <c r="L207"/>
      <c r="M207"/>
      <c r="N207" s="324"/>
      <c r="O207" s="324"/>
      <c r="P207" s="324"/>
      <c r="Q207" s="324"/>
      <c r="R207" s="324"/>
      <c r="S207" s="324"/>
      <c r="T207" s="324"/>
      <c r="U207" s="324"/>
      <c r="V207" s="324"/>
      <c r="W207" s="324"/>
      <c r="X207" s="324"/>
      <c r="Y207" s="324"/>
      <c r="Z207" s="324"/>
      <c r="AA207" s="324"/>
      <c r="AB207" s="324"/>
      <c r="AC207" s="324"/>
      <c r="AD207" s="324"/>
      <c r="AE207" s="324"/>
      <c r="AF207" s="324"/>
      <c r="AG207" s="324"/>
      <c r="AH207" s="324"/>
      <c r="AI207" s="324"/>
      <c r="AJ207" s="324"/>
      <c r="AK207" s="324"/>
      <c r="AL207" s="324"/>
      <c r="AM207" s="324"/>
      <c r="AN207" s="324"/>
      <c r="AO207" s="324"/>
      <c r="AP207" s="324"/>
      <c r="AQ207" s="324"/>
      <c r="AR207" s="324"/>
      <c r="AS207" s="324"/>
      <c r="AT207" s="324"/>
      <c r="AU207" s="324"/>
      <c r="AV207" s="324"/>
      <c r="AW207" s="324"/>
      <c r="AX207" s="324"/>
      <c r="AY207" s="324"/>
      <c r="AZ207" s="324"/>
      <c r="BA207" s="324"/>
      <c r="BB207" s="324"/>
      <c r="BC207" s="324"/>
      <c r="BD207" s="324"/>
      <c r="BE207" s="324"/>
      <c r="BF207" s="324"/>
      <c r="BG207" s="324"/>
      <c r="BH207" s="324"/>
      <c r="BI207" s="324"/>
      <c r="BJ207" s="324"/>
      <c r="BK207" s="324"/>
      <c r="BL207" s="324"/>
      <c r="BM207" s="324"/>
      <c r="BN207" s="324"/>
      <c r="BO207" s="324"/>
      <c r="BP207" s="324"/>
      <c r="BQ207" s="324"/>
      <c r="BR207" s="324"/>
      <c r="BS207" s="324"/>
      <c r="BT207" s="324"/>
      <c r="BU207" s="324"/>
      <c r="BV207" s="324"/>
      <c r="BW207" s="324"/>
      <c r="BX207" s="324"/>
      <c r="BY207" s="324"/>
      <c r="BZ207" s="324"/>
      <c r="CA207" s="324"/>
      <c r="CB207" s="324"/>
      <c r="CC207" s="324"/>
      <c r="CD207" s="324"/>
    </row>
    <row r="208" spans="1:82">
      <c r="A208"/>
      <c r="B208"/>
      <c r="C208"/>
      <c r="D208"/>
      <c r="E208"/>
      <c r="F208"/>
      <c r="G208"/>
      <c r="H208"/>
      <c r="I208"/>
      <c r="J208"/>
      <c r="K208"/>
      <c r="L208"/>
      <c r="M208"/>
      <c r="N208" s="324"/>
      <c r="O208" s="324"/>
      <c r="P208" s="324"/>
      <c r="Q208" s="324"/>
      <c r="R208" s="324"/>
      <c r="S208" s="324"/>
      <c r="T208" s="324"/>
      <c r="U208" s="324"/>
      <c r="V208" s="324"/>
      <c r="W208" s="324"/>
      <c r="X208" s="324"/>
      <c r="Y208" s="324"/>
      <c r="Z208" s="324"/>
      <c r="AA208" s="324"/>
      <c r="AB208" s="324"/>
      <c r="AC208" s="324"/>
      <c r="AD208" s="324"/>
      <c r="AE208" s="324"/>
      <c r="AF208" s="324"/>
      <c r="AG208" s="324"/>
      <c r="AH208" s="324"/>
      <c r="AI208" s="324"/>
      <c r="AJ208" s="324"/>
      <c r="AK208" s="324"/>
      <c r="AL208" s="324"/>
      <c r="AM208" s="324"/>
      <c r="AN208" s="324"/>
      <c r="AO208" s="324"/>
      <c r="AP208" s="324"/>
      <c r="AQ208" s="324"/>
      <c r="AR208" s="324"/>
      <c r="AS208" s="324"/>
      <c r="AT208" s="324"/>
      <c r="AU208" s="324"/>
      <c r="AV208" s="324"/>
      <c r="AW208" s="324"/>
      <c r="AX208" s="324"/>
      <c r="AY208" s="324"/>
      <c r="AZ208" s="324"/>
      <c r="BA208" s="324"/>
      <c r="BB208" s="324"/>
      <c r="BC208" s="324"/>
      <c r="BD208" s="324"/>
      <c r="BE208" s="324"/>
      <c r="BF208" s="324"/>
      <c r="BG208" s="324"/>
      <c r="BH208" s="324"/>
      <c r="BI208" s="324"/>
      <c r="BJ208" s="324"/>
      <c r="BK208" s="324"/>
      <c r="BL208" s="324"/>
      <c r="BM208" s="324"/>
      <c r="BN208" s="324"/>
      <c r="BO208" s="324"/>
      <c r="BP208" s="324"/>
      <c r="BQ208" s="324"/>
      <c r="BR208" s="324"/>
      <c r="BS208" s="324"/>
      <c r="BT208" s="324"/>
      <c r="BU208" s="324"/>
      <c r="BV208" s="324"/>
      <c r="BW208" s="324"/>
      <c r="BX208" s="324"/>
      <c r="BY208" s="324"/>
      <c r="BZ208" s="324"/>
      <c r="CA208" s="324"/>
      <c r="CB208" s="324"/>
      <c r="CC208" s="324"/>
      <c r="CD208" s="324"/>
    </row>
    <row r="209" spans="1:82">
      <c r="A209"/>
      <c r="B209"/>
      <c r="C209"/>
      <c r="D209"/>
      <c r="E209"/>
      <c r="F209"/>
      <c r="G209"/>
      <c r="H209"/>
      <c r="I209"/>
      <c r="J209"/>
      <c r="K209"/>
      <c r="L209"/>
      <c r="M209"/>
      <c r="N209" s="324"/>
      <c r="O209" s="324"/>
      <c r="P209" s="324"/>
      <c r="Q209" s="324"/>
      <c r="R209" s="324"/>
      <c r="S209" s="324"/>
      <c r="T209" s="324"/>
      <c r="U209" s="324"/>
      <c r="V209" s="324"/>
      <c r="W209" s="324"/>
      <c r="X209" s="324"/>
      <c r="Y209" s="324"/>
      <c r="Z209" s="324"/>
      <c r="AA209" s="324"/>
      <c r="AB209" s="324"/>
      <c r="AC209" s="324"/>
      <c r="AD209" s="324"/>
      <c r="AE209" s="324"/>
      <c r="AF209" s="324"/>
      <c r="AG209" s="324"/>
      <c r="AH209" s="324"/>
      <c r="AI209" s="324"/>
      <c r="AJ209" s="324"/>
      <c r="AK209" s="324"/>
      <c r="AL209" s="324"/>
      <c r="AM209" s="324"/>
      <c r="AN209" s="324"/>
      <c r="AO209" s="324"/>
      <c r="AP209" s="324"/>
      <c r="AQ209" s="324"/>
      <c r="AR209" s="324"/>
      <c r="AS209" s="324"/>
      <c r="AT209" s="324"/>
      <c r="AU209" s="324"/>
      <c r="AV209" s="324"/>
      <c r="AW209" s="324"/>
      <c r="AX209" s="324"/>
      <c r="AY209" s="324"/>
      <c r="AZ209" s="324"/>
      <c r="BA209" s="324"/>
      <c r="BB209" s="324"/>
      <c r="BC209" s="324"/>
      <c r="BD209" s="324"/>
      <c r="BE209" s="324"/>
      <c r="BF209" s="324"/>
      <c r="BG209" s="324"/>
      <c r="BH209" s="324"/>
      <c r="BI209" s="324"/>
      <c r="BJ209" s="324"/>
      <c r="BK209" s="324"/>
      <c r="BL209" s="324"/>
      <c r="BM209" s="324"/>
      <c r="BN209" s="324"/>
      <c r="BO209" s="324"/>
      <c r="BP209" s="324"/>
      <c r="BQ209" s="324"/>
      <c r="BR209" s="324"/>
      <c r="BS209" s="324"/>
      <c r="BT209" s="324"/>
      <c r="BU209" s="324"/>
      <c r="BV209" s="324"/>
      <c r="BW209" s="324"/>
      <c r="BX209" s="324"/>
      <c r="BY209" s="324"/>
      <c r="BZ209" s="324"/>
      <c r="CA209" s="324"/>
      <c r="CB209" s="324"/>
      <c r="CC209" s="324"/>
      <c r="CD209" s="324"/>
    </row>
    <row r="210" spans="1:82">
      <c r="A210"/>
      <c r="B210"/>
      <c r="C210"/>
      <c r="D210"/>
      <c r="E210"/>
      <c r="F210"/>
      <c r="G210"/>
      <c r="H210"/>
      <c r="I210"/>
      <c r="J210"/>
      <c r="K210"/>
      <c r="L210"/>
      <c r="M210"/>
      <c r="N210" s="324"/>
      <c r="O210" s="324"/>
      <c r="P210" s="324"/>
      <c r="Q210" s="324"/>
      <c r="R210" s="324"/>
      <c r="S210" s="324"/>
      <c r="T210" s="324"/>
      <c r="U210" s="324"/>
      <c r="V210" s="324"/>
      <c r="W210" s="324"/>
      <c r="X210" s="324"/>
      <c r="Y210" s="324"/>
      <c r="Z210" s="324"/>
      <c r="AA210" s="324"/>
      <c r="AB210" s="324"/>
      <c r="AC210" s="324"/>
      <c r="AD210" s="324"/>
      <c r="AE210" s="324"/>
      <c r="AF210" s="324"/>
      <c r="AG210" s="324"/>
      <c r="AH210" s="324"/>
      <c r="AI210" s="324"/>
      <c r="AJ210" s="324"/>
      <c r="AK210" s="324"/>
      <c r="AL210" s="324"/>
      <c r="AM210" s="324"/>
      <c r="AN210" s="324"/>
      <c r="AO210" s="324"/>
      <c r="AP210" s="324"/>
      <c r="AQ210" s="324"/>
      <c r="AR210" s="324"/>
      <c r="AS210" s="324"/>
      <c r="AT210" s="324"/>
      <c r="AU210" s="324"/>
      <c r="AV210" s="324"/>
      <c r="AW210" s="324"/>
      <c r="AX210" s="324"/>
      <c r="AY210" s="324"/>
      <c r="AZ210" s="324"/>
      <c r="BA210" s="324"/>
      <c r="BB210" s="324"/>
      <c r="BC210" s="324"/>
      <c r="BD210" s="324"/>
      <c r="BE210" s="324"/>
      <c r="BF210" s="324"/>
      <c r="BG210" s="324"/>
      <c r="BH210" s="324"/>
      <c r="BI210" s="324"/>
      <c r="BJ210" s="324"/>
      <c r="BK210" s="324"/>
      <c r="BL210" s="324"/>
      <c r="BM210" s="324"/>
      <c r="BN210" s="324"/>
      <c r="BO210" s="324"/>
      <c r="BP210" s="324"/>
      <c r="BQ210" s="324"/>
      <c r="BR210" s="324"/>
      <c r="BS210" s="324"/>
      <c r="BT210" s="324"/>
      <c r="BU210" s="324"/>
      <c r="BV210" s="324"/>
      <c r="BW210" s="324"/>
      <c r="BX210" s="324"/>
      <c r="BY210" s="324"/>
      <c r="BZ210" s="324"/>
      <c r="CA210" s="324"/>
      <c r="CB210" s="324"/>
      <c r="CC210" s="324"/>
      <c r="CD210" s="324"/>
    </row>
    <row r="211" spans="1:82">
      <c r="A211"/>
      <c r="B211"/>
      <c r="C211"/>
      <c r="D211"/>
      <c r="E211"/>
      <c r="F211"/>
      <c r="G211"/>
      <c r="H211"/>
      <c r="I211"/>
      <c r="J211"/>
      <c r="K211"/>
      <c r="L211"/>
      <c r="M211"/>
      <c r="N211" s="324"/>
      <c r="O211" s="324"/>
      <c r="P211" s="324"/>
      <c r="Q211" s="324"/>
      <c r="R211" s="324"/>
      <c r="S211" s="324"/>
      <c r="T211" s="324"/>
      <c r="U211" s="324"/>
      <c r="V211" s="324"/>
      <c r="W211" s="324"/>
      <c r="X211" s="324"/>
      <c r="Y211" s="324"/>
      <c r="Z211" s="324"/>
      <c r="AA211" s="324"/>
      <c r="AB211" s="324"/>
      <c r="AC211" s="324"/>
      <c r="AD211" s="324"/>
      <c r="AE211" s="324"/>
      <c r="AF211" s="324"/>
      <c r="AG211" s="324"/>
      <c r="AH211" s="324"/>
      <c r="AI211" s="324"/>
      <c r="AJ211" s="324"/>
      <c r="AK211" s="324"/>
      <c r="AL211" s="324"/>
      <c r="AM211" s="324"/>
      <c r="AN211" s="324"/>
      <c r="AO211" s="324"/>
      <c r="AP211" s="324"/>
      <c r="AQ211" s="324"/>
      <c r="AR211" s="324"/>
      <c r="AS211" s="324"/>
      <c r="AT211" s="324"/>
      <c r="AU211" s="324"/>
      <c r="AV211" s="324"/>
      <c r="AW211" s="324"/>
      <c r="AX211" s="324"/>
      <c r="AY211" s="324"/>
      <c r="AZ211" s="324"/>
      <c r="BA211" s="324"/>
      <c r="BB211" s="324"/>
      <c r="BC211" s="324"/>
      <c r="BD211" s="324"/>
      <c r="BE211" s="324"/>
      <c r="BF211" s="324"/>
      <c r="BG211" s="324"/>
      <c r="BH211" s="324"/>
      <c r="BI211" s="324"/>
      <c r="BJ211" s="324"/>
      <c r="BK211" s="324"/>
      <c r="BL211" s="324"/>
      <c r="BM211" s="324"/>
      <c r="BN211" s="324"/>
      <c r="BO211" s="324"/>
      <c r="BP211" s="324"/>
      <c r="BQ211" s="324"/>
      <c r="BR211" s="324"/>
      <c r="BS211" s="324"/>
      <c r="BT211" s="324"/>
      <c r="BU211" s="324"/>
      <c r="BV211" s="324"/>
      <c r="BW211" s="324"/>
      <c r="BX211" s="324"/>
      <c r="BY211" s="324"/>
      <c r="BZ211" s="324"/>
      <c r="CA211" s="324"/>
      <c r="CB211" s="324"/>
      <c r="CC211" s="324"/>
      <c r="CD211" s="324"/>
    </row>
    <row r="212" spans="1:82">
      <c r="A212"/>
      <c r="B212"/>
      <c r="C212"/>
      <c r="D212"/>
      <c r="E212"/>
      <c r="F212"/>
      <c r="G212"/>
      <c r="H212"/>
      <c r="I212"/>
      <c r="J212"/>
      <c r="K212"/>
      <c r="L212"/>
      <c r="M212"/>
      <c r="N212" s="324"/>
      <c r="O212" s="324"/>
      <c r="P212" s="324"/>
      <c r="Q212" s="324"/>
      <c r="R212" s="324"/>
      <c r="S212" s="324"/>
      <c r="T212" s="324"/>
      <c r="U212" s="324"/>
      <c r="V212" s="324"/>
      <c r="W212" s="324"/>
      <c r="X212" s="324"/>
      <c r="Y212" s="324"/>
      <c r="Z212" s="324"/>
      <c r="AA212" s="324"/>
      <c r="AB212" s="324"/>
      <c r="AC212" s="324"/>
      <c r="AD212" s="324"/>
      <c r="AE212" s="324"/>
      <c r="AF212" s="324"/>
      <c r="AG212" s="324"/>
      <c r="AH212" s="324"/>
      <c r="AI212" s="324"/>
      <c r="AJ212" s="324"/>
      <c r="AK212" s="324"/>
      <c r="AL212" s="324"/>
      <c r="AM212" s="324"/>
      <c r="AN212" s="324"/>
      <c r="AO212" s="324"/>
      <c r="AP212" s="324"/>
      <c r="AQ212" s="324"/>
      <c r="AR212" s="324"/>
      <c r="AS212" s="324"/>
      <c r="AT212" s="324"/>
      <c r="AU212" s="324"/>
      <c r="AV212" s="324"/>
      <c r="AW212" s="324"/>
      <c r="AX212" s="324"/>
      <c r="AY212" s="324"/>
      <c r="AZ212" s="324"/>
      <c r="BA212" s="324"/>
      <c r="BB212" s="324"/>
      <c r="BC212" s="324"/>
      <c r="BD212" s="324"/>
      <c r="BE212" s="324"/>
      <c r="BF212" s="324"/>
      <c r="BG212" s="324"/>
      <c r="BH212" s="324"/>
      <c r="BI212" s="324"/>
      <c r="BJ212" s="324"/>
      <c r="BK212" s="324"/>
      <c r="BL212" s="324"/>
      <c r="BM212" s="324"/>
      <c r="BN212" s="324"/>
      <c r="BO212" s="324"/>
      <c r="BP212" s="324"/>
      <c r="BQ212" s="324"/>
      <c r="BR212" s="324"/>
      <c r="BS212" s="324"/>
      <c r="BT212" s="324"/>
      <c r="BU212" s="324"/>
      <c r="BV212" s="324"/>
      <c r="BW212" s="324"/>
      <c r="BX212" s="324"/>
      <c r="BY212" s="324"/>
      <c r="BZ212" s="324"/>
      <c r="CA212" s="324"/>
      <c r="CB212" s="324"/>
      <c r="CC212" s="324"/>
      <c r="CD212" s="324"/>
    </row>
    <row r="213" spans="1:82">
      <c r="A213"/>
      <c r="B213"/>
      <c r="C213"/>
      <c r="D213"/>
      <c r="E213"/>
      <c r="F213"/>
      <c r="G213"/>
      <c r="H213"/>
      <c r="I213"/>
      <c r="J213"/>
      <c r="K213"/>
      <c r="L213"/>
      <c r="M213"/>
      <c r="N213" s="324"/>
      <c r="O213" s="324"/>
      <c r="P213" s="324"/>
      <c r="Q213" s="324"/>
      <c r="R213" s="324"/>
      <c r="S213" s="324"/>
      <c r="T213" s="324"/>
      <c r="U213" s="324"/>
      <c r="V213" s="324"/>
      <c r="W213" s="324"/>
      <c r="X213" s="324"/>
      <c r="Y213" s="324"/>
      <c r="Z213" s="324"/>
      <c r="AA213" s="324"/>
      <c r="AB213" s="324"/>
      <c r="AC213" s="324"/>
      <c r="AD213" s="324"/>
      <c r="AE213" s="324"/>
      <c r="AF213" s="324"/>
      <c r="AG213" s="324"/>
      <c r="AH213" s="324"/>
      <c r="AI213" s="324"/>
      <c r="AJ213" s="324"/>
      <c r="AK213" s="324"/>
      <c r="AL213" s="324"/>
      <c r="AM213" s="324"/>
      <c r="AN213" s="324"/>
      <c r="AO213" s="324"/>
      <c r="AP213" s="324"/>
      <c r="AQ213" s="324"/>
      <c r="AR213" s="324"/>
      <c r="AS213" s="324"/>
      <c r="AT213" s="324"/>
      <c r="AU213" s="324"/>
      <c r="AV213" s="324"/>
      <c r="AW213" s="324"/>
      <c r="AX213" s="324"/>
      <c r="AY213" s="324"/>
      <c r="AZ213" s="324"/>
    </row>
    <row r="214" spans="1:82">
      <c r="A214"/>
      <c r="B214"/>
      <c r="C214"/>
      <c r="D214"/>
      <c r="E214"/>
      <c r="F214"/>
      <c r="G214"/>
      <c r="H214"/>
      <c r="I214"/>
      <c r="J214"/>
      <c r="K214"/>
      <c r="L214"/>
      <c r="M214"/>
      <c r="N214" s="324"/>
      <c r="O214" s="324"/>
      <c r="P214" s="324"/>
      <c r="Q214" s="324"/>
      <c r="R214" s="324"/>
      <c r="S214" s="324"/>
      <c r="T214" s="324"/>
      <c r="U214" s="324"/>
      <c r="V214" s="324"/>
      <c r="W214" s="324"/>
      <c r="X214" s="324"/>
      <c r="Y214" s="324"/>
      <c r="Z214" s="324"/>
      <c r="AA214" s="324"/>
      <c r="AB214" s="324"/>
      <c r="AC214" s="324"/>
      <c r="AD214" s="324"/>
      <c r="AE214" s="324"/>
      <c r="AF214" s="324"/>
      <c r="AG214" s="324"/>
      <c r="AH214" s="324"/>
      <c r="AI214" s="324"/>
      <c r="AJ214" s="324"/>
      <c r="AK214" s="324"/>
      <c r="AL214" s="324"/>
      <c r="AM214" s="324"/>
      <c r="AN214" s="324"/>
      <c r="AO214" s="324"/>
      <c r="AP214" s="324"/>
      <c r="AQ214" s="324"/>
      <c r="AR214" s="324"/>
      <c r="AS214" s="324"/>
      <c r="AT214" s="324"/>
      <c r="AU214" s="324"/>
      <c r="AV214" s="324"/>
      <c r="AW214" s="324"/>
      <c r="AX214" s="324"/>
      <c r="AY214" s="324"/>
      <c r="AZ214" s="324"/>
    </row>
    <row r="215" spans="1:82">
      <c r="A215"/>
      <c r="B215"/>
      <c r="C215"/>
      <c r="D215"/>
      <c r="E215"/>
      <c r="F215"/>
      <c r="G215"/>
      <c r="H215"/>
      <c r="I215"/>
      <c r="J215"/>
      <c r="K215"/>
      <c r="L215"/>
      <c r="M215"/>
      <c r="N215" s="324"/>
      <c r="O215" s="324"/>
      <c r="P215" s="324"/>
      <c r="Q215" s="324"/>
      <c r="R215" s="324"/>
      <c r="S215" s="324"/>
      <c r="T215" s="324"/>
      <c r="U215" s="324"/>
      <c r="V215" s="324"/>
      <c r="W215" s="324"/>
      <c r="X215" s="324"/>
      <c r="Y215" s="324"/>
      <c r="Z215" s="324"/>
      <c r="AA215" s="324"/>
      <c r="AB215" s="324"/>
      <c r="AC215" s="324"/>
      <c r="AD215" s="324"/>
      <c r="AE215" s="324"/>
      <c r="AF215" s="324"/>
      <c r="AG215" s="324"/>
      <c r="AH215" s="324"/>
      <c r="AI215" s="324"/>
      <c r="AJ215" s="324"/>
      <c r="AK215" s="324"/>
      <c r="AL215" s="324"/>
      <c r="AM215" s="324"/>
      <c r="AN215" s="324"/>
      <c r="AO215" s="324"/>
      <c r="AP215" s="324"/>
      <c r="AQ215" s="324"/>
      <c r="AR215" s="324"/>
      <c r="AS215" s="324"/>
      <c r="AT215" s="324"/>
      <c r="AU215" s="324"/>
      <c r="AV215" s="324"/>
      <c r="AW215" s="324"/>
      <c r="AX215" s="324"/>
      <c r="AY215" s="324"/>
      <c r="AZ215" s="324"/>
    </row>
    <row r="216" spans="1:82">
      <c r="A216"/>
      <c r="B216"/>
      <c r="C216"/>
      <c r="D216"/>
      <c r="E216"/>
      <c r="F216"/>
      <c r="G216"/>
      <c r="H216"/>
      <c r="I216"/>
      <c r="J216"/>
      <c r="K216"/>
      <c r="L216"/>
      <c r="M216"/>
      <c r="N216" s="324"/>
      <c r="O216" s="324"/>
      <c r="P216" s="324"/>
      <c r="Q216" s="324"/>
      <c r="R216" s="324"/>
      <c r="S216" s="324"/>
      <c r="T216" s="324"/>
      <c r="U216" s="324"/>
      <c r="V216" s="324"/>
      <c r="W216" s="324"/>
      <c r="X216" s="324"/>
      <c r="Y216" s="324"/>
      <c r="Z216" s="324"/>
      <c r="AA216" s="324"/>
      <c r="AB216" s="324"/>
      <c r="AC216" s="324"/>
      <c r="AD216" s="324"/>
      <c r="AE216" s="324"/>
      <c r="AF216" s="324"/>
      <c r="AG216" s="324"/>
      <c r="AH216" s="324"/>
      <c r="AI216" s="324"/>
      <c r="AJ216" s="324"/>
      <c r="AK216" s="324"/>
      <c r="AL216" s="324"/>
      <c r="AM216" s="324"/>
      <c r="AN216" s="324"/>
      <c r="AO216" s="324"/>
      <c r="AP216" s="324"/>
      <c r="AQ216" s="324"/>
      <c r="AR216" s="324"/>
      <c r="AS216" s="324"/>
      <c r="AT216" s="324"/>
      <c r="AU216" s="324"/>
      <c r="AV216" s="324"/>
      <c r="AW216" s="324"/>
      <c r="AX216" s="324"/>
      <c r="AY216" s="324"/>
      <c r="AZ216" s="324"/>
    </row>
    <row r="217" spans="1:82">
      <c r="A217"/>
      <c r="B217"/>
      <c r="C217"/>
      <c r="D217"/>
      <c r="E217"/>
      <c r="F217"/>
      <c r="G217"/>
      <c r="H217"/>
      <c r="I217"/>
      <c r="J217"/>
      <c r="K217"/>
      <c r="L217"/>
      <c r="M217"/>
      <c r="N217" s="324"/>
      <c r="O217" s="324"/>
      <c r="P217" s="324"/>
      <c r="Q217" s="324"/>
      <c r="R217" s="324"/>
      <c r="S217" s="324"/>
      <c r="T217" s="324"/>
      <c r="U217" s="324"/>
      <c r="V217" s="324"/>
      <c r="W217" s="324"/>
      <c r="X217" s="324"/>
      <c r="Y217" s="324"/>
      <c r="Z217" s="324"/>
      <c r="AA217" s="324"/>
      <c r="AB217" s="324"/>
      <c r="AC217" s="324"/>
      <c r="AD217" s="324"/>
      <c r="AE217" s="324"/>
      <c r="AF217" s="324"/>
      <c r="AG217" s="324"/>
      <c r="AH217" s="324"/>
      <c r="AI217" s="324"/>
      <c r="AJ217" s="324"/>
      <c r="AK217" s="324"/>
      <c r="AL217" s="324"/>
      <c r="AM217" s="324"/>
      <c r="AN217" s="324"/>
      <c r="AO217" s="324"/>
      <c r="AP217" s="324"/>
      <c r="AQ217" s="324"/>
      <c r="AR217" s="324"/>
      <c r="AS217" s="324"/>
      <c r="AT217" s="324"/>
      <c r="AU217" s="324"/>
      <c r="AV217" s="324"/>
      <c r="AW217" s="324"/>
      <c r="AX217" s="324"/>
      <c r="AY217" s="324"/>
      <c r="AZ217" s="324"/>
    </row>
    <row r="218" spans="1:82">
      <c r="A218"/>
      <c r="B218"/>
      <c r="C218"/>
      <c r="D218"/>
      <c r="E218"/>
      <c r="F218"/>
      <c r="G218"/>
      <c r="H218"/>
      <c r="I218"/>
      <c r="J218"/>
      <c r="K218"/>
      <c r="L218"/>
      <c r="M218"/>
      <c r="N218" s="324"/>
      <c r="O218" s="324"/>
      <c r="P218" s="324"/>
      <c r="Q218" s="324"/>
      <c r="R218" s="324"/>
      <c r="S218" s="324"/>
      <c r="T218" s="324"/>
      <c r="U218" s="324"/>
      <c r="V218" s="324"/>
      <c r="W218" s="324"/>
      <c r="X218" s="324"/>
      <c r="Y218" s="324"/>
      <c r="Z218" s="324"/>
      <c r="AA218" s="324"/>
      <c r="AB218" s="324"/>
      <c r="AC218" s="324"/>
      <c r="AD218" s="324"/>
      <c r="AE218" s="324"/>
      <c r="AF218" s="324"/>
      <c r="AG218" s="324"/>
      <c r="AH218" s="324"/>
      <c r="AI218" s="324"/>
      <c r="AJ218" s="324"/>
      <c r="AK218" s="324"/>
      <c r="AL218" s="324"/>
      <c r="AM218" s="324"/>
      <c r="AN218" s="324"/>
      <c r="AO218" s="324"/>
      <c r="AP218" s="324"/>
      <c r="AQ218" s="324"/>
      <c r="AR218" s="324"/>
      <c r="AS218" s="324"/>
      <c r="AT218" s="324"/>
      <c r="AU218" s="324"/>
      <c r="AV218" s="324"/>
      <c r="AW218" s="324"/>
      <c r="AX218" s="324"/>
      <c r="AY218" s="324"/>
      <c r="AZ218" s="324"/>
    </row>
    <row r="219" spans="1:82">
      <c r="A219"/>
      <c r="B219"/>
      <c r="C219"/>
      <c r="D219"/>
      <c r="E219"/>
      <c r="F219"/>
      <c r="G219"/>
      <c r="H219"/>
      <c r="I219"/>
      <c r="J219"/>
      <c r="K219"/>
      <c r="L219"/>
      <c r="M219"/>
      <c r="N219" s="324"/>
      <c r="O219" s="324"/>
      <c r="P219" s="324"/>
      <c r="Q219" s="324"/>
      <c r="R219" s="324"/>
      <c r="S219" s="324"/>
      <c r="T219" s="324"/>
      <c r="U219" s="324"/>
      <c r="V219" s="324"/>
      <c r="W219" s="324"/>
      <c r="X219" s="324"/>
      <c r="Y219" s="324"/>
      <c r="Z219" s="324"/>
      <c r="AA219" s="324"/>
      <c r="AB219" s="324"/>
      <c r="AC219" s="324"/>
      <c r="AD219" s="324"/>
      <c r="AE219" s="324"/>
      <c r="AF219" s="324"/>
      <c r="AG219" s="324"/>
      <c r="AH219" s="324"/>
      <c r="AI219" s="324"/>
      <c r="AJ219" s="324"/>
      <c r="AK219" s="324"/>
      <c r="AL219" s="324"/>
      <c r="AM219" s="324"/>
      <c r="AN219" s="324"/>
      <c r="AO219" s="324"/>
      <c r="AP219" s="324"/>
      <c r="AQ219" s="324"/>
      <c r="AR219" s="324"/>
      <c r="AS219" s="324"/>
      <c r="AT219" s="324"/>
      <c r="AU219" s="324"/>
      <c r="AV219" s="324"/>
      <c r="AW219" s="324"/>
      <c r="AX219" s="324"/>
      <c r="AY219" s="324"/>
      <c r="AZ219" s="324"/>
    </row>
    <row r="220" spans="1:82">
      <c r="A220"/>
      <c r="B220"/>
      <c r="C220"/>
      <c r="D220"/>
      <c r="E220"/>
      <c r="F220"/>
      <c r="G220"/>
      <c r="H220"/>
      <c r="I220"/>
      <c r="J220"/>
      <c r="K220"/>
      <c r="L220"/>
      <c r="M220"/>
      <c r="N220" s="324"/>
      <c r="O220" s="324"/>
      <c r="P220" s="324"/>
      <c r="Q220" s="324"/>
      <c r="R220" s="324"/>
      <c r="S220" s="324"/>
      <c r="T220" s="324"/>
      <c r="U220" s="324"/>
      <c r="V220" s="324"/>
      <c r="W220" s="324"/>
      <c r="X220" s="324"/>
      <c r="Y220" s="324"/>
      <c r="Z220" s="324"/>
      <c r="AA220" s="324"/>
      <c r="AB220" s="324"/>
      <c r="AC220" s="324"/>
      <c r="AD220" s="324"/>
      <c r="AE220" s="324"/>
      <c r="AF220" s="324"/>
      <c r="AG220" s="324"/>
      <c r="AH220" s="324"/>
      <c r="AI220" s="324"/>
      <c r="AJ220" s="324"/>
      <c r="AK220" s="324"/>
      <c r="AL220" s="324"/>
      <c r="AM220" s="324"/>
      <c r="AN220" s="324"/>
      <c r="AO220" s="324"/>
      <c r="AP220" s="324"/>
      <c r="AQ220" s="324"/>
      <c r="AR220" s="324"/>
      <c r="AS220" s="324"/>
      <c r="AT220" s="324"/>
      <c r="AU220" s="324"/>
      <c r="AV220" s="324"/>
      <c r="AW220" s="324"/>
      <c r="AX220" s="324"/>
      <c r="AY220" s="324"/>
      <c r="AZ220" s="324"/>
    </row>
    <row r="221" spans="1:82">
      <c r="A221"/>
      <c r="B221"/>
      <c r="C221"/>
      <c r="D221"/>
      <c r="E221"/>
      <c r="F221"/>
      <c r="G221"/>
      <c r="H221"/>
      <c r="I221"/>
      <c r="J221"/>
      <c r="K221"/>
      <c r="L221"/>
      <c r="M221"/>
      <c r="N221" s="324"/>
      <c r="O221" s="324"/>
      <c r="P221" s="324"/>
      <c r="Q221" s="324"/>
      <c r="R221" s="324"/>
      <c r="S221" s="324"/>
      <c r="T221" s="324"/>
      <c r="U221" s="324"/>
      <c r="V221" s="324"/>
      <c r="W221" s="324"/>
      <c r="X221" s="324"/>
      <c r="Y221" s="324"/>
      <c r="Z221" s="324"/>
      <c r="AA221" s="324"/>
      <c r="AB221" s="324"/>
      <c r="AC221" s="324"/>
      <c r="AD221" s="324"/>
      <c r="AE221" s="324"/>
      <c r="AF221" s="324"/>
      <c r="AG221" s="324"/>
      <c r="AH221" s="324"/>
      <c r="AI221" s="324"/>
      <c r="AJ221" s="324"/>
      <c r="AK221" s="324"/>
      <c r="AL221" s="324"/>
      <c r="AM221" s="324"/>
      <c r="AN221" s="324"/>
      <c r="AO221" s="324"/>
      <c r="AP221" s="324"/>
      <c r="AQ221" s="324"/>
      <c r="AR221" s="324"/>
      <c r="AS221" s="324"/>
      <c r="AT221" s="324"/>
      <c r="AU221" s="324"/>
      <c r="AV221" s="324"/>
      <c r="AW221" s="324"/>
      <c r="AX221" s="324"/>
      <c r="AY221" s="324"/>
      <c r="AZ221" s="324"/>
    </row>
    <row r="222" spans="1:82">
      <c r="A222"/>
      <c r="B222"/>
      <c r="C222"/>
      <c r="D222"/>
      <c r="E222"/>
      <c r="F222"/>
      <c r="G222"/>
      <c r="H222"/>
      <c r="I222"/>
      <c r="J222"/>
      <c r="K222"/>
      <c r="L222"/>
      <c r="M222"/>
      <c r="N222" s="324"/>
      <c r="O222" s="324"/>
      <c r="P222" s="324"/>
      <c r="Q222" s="324"/>
      <c r="R222" s="324"/>
      <c r="S222" s="324"/>
      <c r="T222" s="324"/>
      <c r="U222" s="324"/>
      <c r="V222" s="324"/>
      <c r="W222" s="324"/>
      <c r="X222" s="324"/>
      <c r="Y222" s="324"/>
      <c r="Z222" s="324"/>
      <c r="AA222" s="324"/>
      <c r="AB222" s="324"/>
      <c r="AC222" s="324"/>
      <c r="AD222" s="324"/>
      <c r="AE222" s="324"/>
      <c r="AF222" s="324"/>
      <c r="AG222" s="324"/>
      <c r="AH222" s="324"/>
      <c r="AI222" s="324"/>
      <c r="AJ222" s="324"/>
      <c r="AK222" s="324"/>
      <c r="AL222" s="324"/>
      <c r="AM222" s="324"/>
      <c r="AN222" s="324"/>
      <c r="AO222" s="324"/>
      <c r="AP222" s="324"/>
      <c r="AQ222" s="324"/>
      <c r="AR222" s="324"/>
      <c r="AS222" s="324"/>
      <c r="AT222" s="324"/>
      <c r="AU222" s="324"/>
      <c r="AV222" s="324"/>
      <c r="AW222" s="324"/>
      <c r="AX222" s="324"/>
      <c r="AY222" s="324"/>
      <c r="AZ222" s="324"/>
    </row>
    <row r="223" spans="1:82">
      <c r="A223"/>
      <c r="B223"/>
      <c r="C223"/>
      <c r="D223"/>
      <c r="E223"/>
      <c r="F223"/>
      <c r="G223"/>
      <c r="H223"/>
      <c r="I223"/>
      <c r="J223"/>
      <c r="K223"/>
      <c r="L223"/>
      <c r="M223"/>
      <c r="N223" s="324"/>
      <c r="O223" s="324"/>
      <c r="P223" s="324"/>
      <c r="Q223" s="324"/>
      <c r="R223" s="324"/>
      <c r="S223" s="324"/>
      <c r="T223" s="324"/>
      <c r="U223" s="324"/>
      <c r="V223" s="324"/>
      <c r="W223" s="324"/>
      <c r="X223" s="324"/>
      <c r="Y223" s="324"/>
      <c r="Z223" s="324"/>
      <c r="AA223" s="324"/>
      <c r="AB223" s="324"/>
      <c r="AC223" s="324"/>
      <c r="AD223" s="324"/>
      <c r="AE223" s="324"/>
      <c r="AF223" s="324"/>
      <c r="AG223" s="324"/>
      <c r="AH223" s="324"/>
      <c r="AI223" s="324"/>
      <c r="AJ223" s="324"/>
      <c r="AK223" s="324"/>
      <c r="AL223" s="324"/>
      <c r="AM223" s="324"/>
      <c r="AN223" s="324"/>
      <c r="AO223" s="324"/>
      <c r="AP223" s="324"/>
      <c r="AQ223" s="324"/>
      <c r="AR223" s="324"/>
      <c r="AS223" s="324"/>
      <c r="AT223" s="324"/>
      <c r="AU223" s="324"/>
      <c r="AV223" s="324"/>
      <c r="AW223" s="324"/>
      <c r="AX223" s="324"/>
      <c r="AY223" s="324"/>
      <c r="AZ223" s="324"/>
    </row>
    <row r="224" spans="1:82">
      <c r="A224"/>
      <c r="B224"/>
      <c r="C224"/>
      <c r="D224"/>
      <c r="E224"/>
      <c r="F224"/>
      <c r="G224"/>
      <c r="H224"/>
      <c r="I224"/>
      <c r="J224"/>
      <c r="K224"/>
      <c r="L224"/>
      <c r="M224"/>
      <c r="N224" s="324"/>
      <c r="O224" s="324"/>
      <c r="P224" s="324"/>
      <c r="Q224" s="324"/>
      <c r="R224" s="324"/>
      <c r="S224" s="324"/>
      <c r="T224" s="324"/>
      <c r="U224" s="324"/>
      <c r="V224" s="324"/>
      <c r="W224" s="324"/>
      <c r="X224" s="324"/>
      <c r="Y224" s="324"/>
      <c r="Z224" s="324"/>
      <c r="AA224" s="324"/>
      <c r="AB224" s="324"/>
      <c r="AC224" s="324"/>
      <c r="AD224" s="324"/>
      <c r="AE224" s="324"/>
      <c r="AF224" s="324"/>
      <c r="AG224" s="324"/>
      <c r="AH224" s="324"/>
      <c r="AI224" s="324"/>
      <c r="AJ224" s="324"/>
      <c r="AK224" s="324"/>
      <c r="AL224" s="324"/>
      <c r="AM224" s="324"/>
      <c r="AN224" s="324"/>
      <c r="AO224" s="324"/>
      <c r="AP224" s="324"/>
      <c r="AQ224" s="324"/>
      <c r="AR224" s="324"/>
      <c r="AS224" s="324"/>
      <c r="AT224" s="324"/>
      <c r="AU224" s="324"/>
      <c r="AV224" s="324"/>
      <c r="AW224" s="324"/>
      <c r="AX224" s="324"/>
      <c r="AY224" s="324"/>
      <c r="AZ224" s="324"/>
    </row>
    <row r="225" spans="1:52">
      <c r="A225"/>
      <c r="B225"/>
      <c r="C225"/>
      <c r="D225"/>
      <c r="E225"/>
      <c r="F225"/>
      <c r="G225"/>
      <c r="H225"/>
      <c r="I225"/>
      <c r="J225"/>
      <c r="K225"/>
      <c r="L225"/>
      <c r="M225"/>
      <c r="N225" s="324"/>
      <c r="O225" s="324"/>
      <c r="P225" s="324"/>
      <c r="Q225" s="324"/>
      <c r="R225" s="324"/>
      <c r="S225" s="324"/>
      <c r="T225" s="324"/>
      <c r="U225" s="324"/>
      <c r="V225" s="324"/>
      <c r="W225" s="324"/>
      <c r="X225" s="324"/>
      <c r="Y225" s="324"/>
      <c r="Z225" s="324"/>
      <c r="AA225" s="324"/>
      <c r="AB225" s="324"/>
      <c r="AC225" s="324"/>
      <c r="AD225" s="324"/>
      <c r="AE225" s="324"/>
      <c r="AF225" s="324"/>
      <c r="AG225" s="324"/>
      <c r="AH225" s="324"/>
      <c r="AI225" s="324"/>
      <c r="AJ225" s="324"/>
      <c r="AK225" s="324"/>
      <c r="AL225" s="324"/>
      <c r="AM225" s="324"/>
      <c r="AN225" s="324"/>
      <c r="AO225" s="324"/>
      <c r="AP225" s="324"/>
      <c r="AQ225" s="324"/>
      <c r="AR225" s="324"/>
      <c r="AS225" s="324"/>
      <c r="AT225" s="324"/>
      <c r="AU225" s="324"/>
      <c r="AV225" s="324"/>
      <c r="AW225" s="324"/>
      <c r="AX225" s="324"/>
      <c r="AY225" s="324"/>
      <c r="AZ225" s="324"/>
    </row>
    <row r="226" spans="1:52">
      <c r="A226"/>
      <c r="B226"/>
      <c r="C226"/>
      <c r="D226"/>
      <c r="E226"/>
      <c r="F226"/>
      <c r="G226"/>
      <c r="H226"/>
      <c r="I226"/>
      <c r="J226"/>
      <c r="K226"/>
      <c r="L226"/>
      <c r="M226"/>
      <c r="N226" s="324"/>
      <c r="O226" s="324"/>
      <c r="P226" s="324"/>
      <c r="Q226" s="324"/>
      <c r="R226" s="324"/>
      <c r="S226" s="324"/>
      <c r="T226" s="324"/>
      <c r="U226" s="324"/>
      <c r="V226" s="324"/>
      <c r="W226" s="324"/>
      <c r="X226" s="324"/>
      <c r="Y226" s="324"/>
      <c r="Z226" s="324"/>
      <c r="AA226" s="324"/>
      <c r="AB226" s="324"/>
      <c r="AC226" s="324"/>
      <c r="AD226" s="324"/>
      <c r="AE226" s="324"/>
      <c r="AF226" s="324"/>
      <c r="AG226" s="324"/>
      <c r="AH226" s="324"/>
      <c r="AI226" s="324"/>
      <c r="AJ226" s="324"/>
      <c r="AK226" s="324"/>
      <c r="AL226" s="324"/>
      <c r="AM226" s="324"/>
      <c r="AN226" s="324"/>
      <c r="AO226" s="324"/>
      <c r="AP226" s="324"/>
      <c r="AQ226" s="324"/>
      <c r="AR226" s="324"/>
      <c r="AS226" s="324"/>
      <c r="AT226" s="324"/>
      <c r="AU226" s="324"/>
      <c r="AV226" s="324"/>
      <c r="AW226" s="324"/>
      <c r="AX226" s="324"/>
      <c r="AY226" s="324"/>
      <c r="AZ226" s="324"/>
    </row>
    <row r="227" spans="1:52">
      <c r="A227"/>
      <c r="B227"/>
      <c r="C227"/>
      <c r="D227"/>
      <c r="E227"/>
      <c r="F227"/>
      <c r="G227"/>
      <c r="H227"/>
      <c r="I227"/>
      <c r="J227"/>
      <c r="K227"/>
      <c r="L227"/>
      <c r="M227"/>
      <c r="N227" s="324"/>
      <c r="O227" s="324"/>
      <c r="P227" s="324"/>
      <c r="Q227" s="324"/>
      <c r="R227" s="324"/>
      <c r="S227" s="324"/>
      <c r="T227" s="324"/>
      <c r="U227" s="324"/>
      <c r="V227" s="324"/>
      <c r="W227" s="324"/>
      <c r="X227" s="324"/>
      <c r="Y227" s="324"/>
      <c r="Z227" s="324"/>
      <c r="AA227" s="324"/>
      <c r="AB227" s="324"/>
      <c r="AC227" s="324"/>
      <c r="AD227" s="324"/>
      <c r="AE227" s="324"/>
      <c r="AF227" s="324"/>
      <c r="AG227" s="324"/>
      <c r="AH227" s="324"/>
      <c r="AI227" s="324"/>
      <c r="AJ227" s="324"/>
      <c r="AK227" s="324"/>
      <c r="AL227" s="324"/>
      <c r="AM227" s="324"/>
      <c r="AN227" s="324"/>
      <c r="AO227" s="324"/>
      <c r="AP227" s="324"/>
      <c r="AQ227" s="324"/>
      <c r="AR227" s="324"/>
      <c r="AS227" s="324"/>
      <c r="AT227" s="324"/>
      <c r="AU227" s="324"/>
      <c r="AV227" s="324"/>
      <c r="AW227" s="324"/>
      <c r="AX227" s="324"/>
      <c r="AY227" s="324"/>
      <c r="AZ227" s="324"/>
    </row>
    <row r="228" spans="1:52">
      <c r="A228"/>
      <c r="B228"/>
      <c r="C228"/>
      <c r="D228"/>
      <c r="E228"/>
      <c r="F228"/>
      <c r="G228"/>
      <c r="H228"/>
      <c r="I228"/>
      <c r="J228"/>
      <c r="K228"/>
      <c r="L228"/>
      <c r="M228"/>
      <c r="N228" s="324"/>
      <c r="O228" s="324"/>
      <c r="P228" s="324"/>
      <c r="Q228" s="324"/>
      <c r="R228" s="324"/>
      <c r="S228" s="324"/>
      <c r="T228" s="324"/>
      <c r="U228" s="324"/>
      <c r="V228" s="324"/>
      <c r="W228" s="324"/>
      <c r="X228" s="324"/>
      <c r="Y228" s="324"/>
      <c r="Z228" s="324"/>
      <c r="AA228" s="324"/>
      <c r="AB228" s="324"/>
      <c r="AC228" s="324"/>
      <c r="AD228" s="324"/>
      <c r="AE228" s="324"/>
      <c r="AF228" s="324"/>
      <c r="AG228" s="324"/>
      <c r="AH228" s="324"/>
      <c r="AI228" s="324"/>
      <c r="AJ228" s="324"/>
      <c r="AK228" s="324"/>
      <c r="AL228" s="324"/>
      <c r="AM228" s="324"/>
      <c r="AN228" s="324"/>
      <c r="AO228" s="324"/>
      <c r="AP228" s="324"/>
      <c r="AQ228" s="324"/>
      <c r="AR228" s="324"/>
      <c r="AS228" s="324"/>
      <c r="AT228" s="324"/>
      <c r="AU228" s="324"/>
      <c r="AV228" s="324"/>
      <c r="AW228" s="324"/>
      <c r="AX228" s="324"/>
      <c r="AY228" s="324"/>
      <c r="AZ228" s="324"/>
    </row>
    <row r="229" spans="1:52">
      <c r="A229"/>
      <c r="B229"/>
      <c r="C229"/>
      <c r="D229"/>
      <c r="E229"/>
      <c r="F229"/>
      <c r="G229"/>
      <c r="H229"/>
      <c r="I229"/>
      <c r="J229"/>
      <c r="K229"/>
      <c r="L229"/>
      <c r="M229"/>
      <c r="N229" s="324"/>
      <c r="O229" s="324"/>
      <c r="P229" s="324"/>
      <c r="Q229" s="324"/>
      <c r="R229" s="324"/>
      <c r="S229" s="324"/>
      <c r="T229" s="324"/>
      <c r="U229" s="324"/>
      <c r="V229" s="324"/>
      <c r="W229" s="324"/>
      <c r="X229" s="324"/>
      <c r="Y229" s="324"/>
      <c r="Z229" s="324"/>
      <c r="AA229" s="324"/>
      <c r="AB229" s="324"/>
      <c r="AC229" s="324"/>
      <c r="AD229" s="324"/>
      <c r="AE229" s="324"/>
      <c r="AF229" s="324"/>
      <c r="AG229" s="324"/>
      <c r="AH229" s="324"/>
      <c r="AI229" s="324"/>
      <c r="AJ229" s="324"/>
      <c r="AK229" s="324"/>
      <c r="AL229" s="324"/>
      <c r="AM229" s="324"/>
      <c r="AN229" s="324"/>
      <c r="AO229" s="324"/>
      <c r="AP229" s="324"/>
      <c r="AQ229" s="324"/>
      <c r="AR229" s="324"/>
      <c r="AS229" s="324"/>
      <c r="AT229" s="324"/>
      <c r="AU229" s="324"/>
      <c r="AV229" s="324"/>
      <c r="AW229" s="324"/>
      <c r="AX229" s="324"/>
      <c r="AY229" s="324"/>
      <c r="AZ229" s="324"/>
    </row>
    <row r="230" spans="1:52">
      <c r="A230"/>
      <c r="B230"/>
      <c r="C230"/>
      <c r="D230"/>
      <c r="E230"/>
      <c r="F230"/>
      <c r="G230"/>
      <c r="H230"/>
      <c r="I230"/>
      <c r="J230"/>
      <c r="K230"/>
      <c r="L230"/>
      <c r="M230"/>
      <c r="N230" s="324"/>
      <c r="O230" s="324"/>
      <c r="P230" s="324"/>
      <c r="Q230" s="324"/>
      <c r="R230" s="324"/>
      <c r="S230" s="324"/>
      <c r="T230" s="324"/>
      <c r="U230" s="324"/>
      <c r="V230" s="324"/>
      <c r="W230" s="324"/>
      <c r="X230" s="324"/>
      <c r="Y230" s="324"/>
      <c r="Z230" s="324"/>
      <c r="AA230" s="324"/>
      <c r="AB230" s="324"/>
      <c r="AC230" s="324"/>
      <c r="AD230" s="324"/>
      <c r="AE230" s="324"/>
      <c r="AF230" s="324"/>
      <c r="AG230" s="324"/>
      <c r="AH230" s="324"/>
      <c r="AI230" s="324"/>
      <c r="AJ230" s="324"/>
      <c r="AK230" s="324"/>
      <c r="AL230" s="324"/>
      <c r="AM230" s="324"/>
      <c r="AN230" s="324"/>
      <c r="AO230" s="324"/>
      <c r="AP230" s="324"/>
      <c r="AQ230" s="324"/>
      <c r="AR230" s="324"/>
      <c r="AS230" s="324"/>
      <c r="AT230" s="324"/>
      <c r="AU230" s="324"/>
      <c r="AV230" s="324"/>
      <c r="AW230" s="324"/>
      <c r="AX230" s="324"/>
      <c r="AY230" s="324"/>
      <c r="AZ230" s="324"/>
    </row>
    <row r="231" spans="1:52">
      <c r="A231"/>
      <c r="B231"/>
      <c r="C231"/>
      <c r="D231"/>
      <c r="E231"/>
      <c r="F231"/>
      <c r="G231"/>
      <c r="H231"/>
      <c r="I231"/>
      <c r="J231"/>
      <c r="K231"/>
      <c r="L231"/>
      <c r="M231"/>
      <c r="N231" s="324"/>
      <c r="O231" s="324"/>
      <c r="P231" s="324"/>
      <c r="Q231" s="324"/>
      <c r="R231" s="324"/>
      <c r="S231" s="324"/>
      <c r="T231" s="324"/>
      <c r="U231" s="324"/>
      <c r="V231" s="324"/>
      <c r="W231" s="324"/>
      <c r="X231" s="324"/>
      <c r="Y231" s="324"/>
      <c r="Z231" s="324"/>
      <c r="AA231" s="324"/>
      <c r="AB231" s="324"/>
      <c r="AC231" s="324"/>
      <c r="AD231" s="324"/>
      <c r="AE231" s="324"/>
      <c r="AF231" s="324"/>
      <c r="AG231" s="324"/>
      <c r="AH231" s="324"/>
      <c r="AI231" s="324"/>
      <c r="AJ231" s="324"/>
      <c r="AK231" s="324"/>
      <c r="AL231" s="324"/>
      <c r="AM231" s="324"/>
      <c r="AN231" s="324"/>
      <c r="AO231" s="324"/>
      <c r="AP231" s="324"/>
      <c r="AQ231" s="324"/>
      <c r="AR231" s="324"/>
      <c r="AS231" s="324"/>
      <c r="AT231" s="324"/>
      <c r="AU231" s="324"/>
      <c r="AV231" s="324"/>
      <c r="AW231" s="324"/>
      <c r="AX231" s="324"/>
      <c r="AY231" s="324"/>
      <c r="AZ231" s="324"/>
    </row>
    <row r="232" spans="1:52">
      <c r="A232"/>
      <c r="B232"/>
      <c r="C232"/>
      <c r="D232"/>
      <c r="E232"/>
      <c r="F232"/>
      <c r="G232"/>
      <c r="H232"/>
      <c r="I232"/>
      <c r="J232"/>
      <c r="K232"/>
      <c r="L232"/>
      <c r="M232"/>
      <c r="N232" s="324"/>
      <c r="O232" s="324"/>
      <c r="P232" s="324"/>
      <c r="Q232" s="324"/>
      <c r="R232" s="324"/>
      <c r="S232" s="324"/>
      <c r="T232" s="324"/>
      <c r="U232" s="324"/>
      <c r="V232" s="324"/>
      <c r="W232" s="324"/>
      <c r="X232" s="324"/>
      <c r="Y232" s="324"/>
      <c r="Z232" s="324"/>
      <c r="AA232" s="324"/>
      <c r="AB232" s="324"/>
      <c r="AC232" s="324"/>
      <c r="AD232" s="324"/>
      <c r="AE232" s="324"/>
      <c r="AF232" s="324"/>
      <c r="AG232" s="324"/>
      <c r="AH232" s="324"/>
      <c r="AI232" s="324"/>
      <c r="AJ232" s="324"/>
      <c r="AK232" s="324"/>
      <c r="AL232" s="324"/>
      <c r="AM232" s="324"/>
      <c r="AN232" s="324"/>
      <c r="AO232" s="324"/>
      <c r="AP232" s="324"/>
      <c r="AQ232" s="324"/>
      <c r="AR232" s="324"/>
      <c r="AS232" s="324"/>
      <c r="AT232" s="324"/>
      <c r="AU232" s="324"/>
      <c r="AV232" s="324"/>
      <c r="AW232" s="324"/>
      <c r="AX232" s="324"/>
      <c r="AY232" s="324"/>
      <c r="AZ232" s="324"/>
    </row>
    <row r="233" spans="1:52">
      <c r="A233"/>
      <c r="B233"/>
      <c r="C233"/>
      <c r="D233"/>
      <c r="E233"/>
      <c r="F233"/>
      <c r="G233"/>
      <c r="H233"/>
      <c r="I233"/>
      <c r="J233"/>
      <c r="K233"/>
      <c r="L233"/>
      <c r="M233"/>
      <c r="N233" s="324"/>
      <c r="O233" s="324"/>
      <c r="P233" s="324"/>
      <c r="Q233" s="324"/>
      <c r="R233" s="324"/>
      <c r="S233" s="324"/>
      <c r="T233" s="324"/>
      <c r="U233" s="324"/>
      <c r="V233" s="324"/>
      <c r="W233" s="324"/>
      <c r="X233" s="324"/>
      <c r="Y233" s="324"/>
      <c r="Z233" s="324"/>
      <c r="AA233" s="324"/>
      <c r="AB233" s="324"/>
      <c r="AC233" s="324"/>
      <c r="AD233" s="324"/>
      <c r="AE233" s="324"/>
      <c r="AF233" s="324"/>
      <c r="AG233" s="324"/>
      <c r="AH233" s="324"/>
      <c r="AI233" s="324"/>
      <c r="AJ233" s="324"/>
      <c r="AK233" s="324"/>
      <c r="AL233" s="324"/>
      <c r="AM233" s="324"/>
      <c r="AN233" s="324"/>
      <c r="AO233" s="324"/>
      <c r="AP233" s="324"/>
      <c r="AQ233" s="324"/>
      <c r="AR233" s="324"/>
      <c r="AS233" s="324"/>
      <c r="AT233" s="324"/>
      <c r="AU233" s="324"/>
      <c r="AV233" s="324"/>
      <c r="AW233" s="324"/>
      <c r="AX233" s="324"/>
      <c r="AY233" s="324"/>
      <c r="AZ233" s="324"/>
    </row>
    <row r="234" spans="1:52">
      <c r="A234"/>
      <c r="B234"/>
      <c r="C234"/>
      <c r="D234"/>
      <c r="E234"/>
      <c r="F234"/>
      <c r="G234"/>
      <c r="H234"/>
      <c r="I234"/>
      <c r="J234"/>
      <c r="K234"/>
      <c r="L234"/>
      <c r="M234"/>
      <c r="N234" s="324"/>
      <c r="O234" s="324"/>
      <c r="P234" s="324"/>
      <c r="Q234" s="324"/>
      <c r="R234" s="324"/>
      <c r="S234" s="324"/>
      <c r="T234" s="324"/>
      <c r="U234" s="324"/>
      <c r="V234" s="324"/>
      <c r="W234" s="324"/>
      <c r="X234" s="324"/>
      <c r="Y234" s="324"/>
      <c r="Z234" s="324"/>
      <c r="AA234" s="324"/>
      <c r="AB234" s="324"/>
      <c r="AC234" s="324"/>
      <c r="AD234" s="324"/>
      <c r="AE234" s="324"/>
      <c r="AF234" s="324"/>
      <c r="AG234" s="324"/>
      <c r="AH234" s="324"/>
      <c r="AI234" s="324"/>
      <c r="AJ234" s="324"/>
      <c r="AK234" s="324"/>
      <c r="AL234" s="324"/>
      <c r="AM234" s="324"/>
      <c r="AN234" s="324"/>
      <c r="AO234" s="324"/>
      <c r="AP234" s="324"/>
      <c r="AQ234" s="324"/>
      <c r="AR234" s="324"/>
      <c r="AS234" s="324"/>
      <c r="AT234" s="324"/>
      <c r="AU234" s="324"/>
      <c r="AV234" s="324"/>
      <c r="AW234" s="324"/>
      <c r="AX234" s="324"/>
      <c r="AY234" s="324"/>
      <c r="AZ234" s="324"/>
    </row>
    <row r="235" spans="1:52">
      <c r="A235"/>
      <c r="B235"/>
      <c r="C235"/>
      <c r="D235"/>
      <c r="E235"/>
      <c r="F235"/>
      <c r="G235"/>
      <c r="H235"/>
      <c r="I235"/>
      <c r="J235"/>
      <c r="K235"/>
      <c r="L235"/>
      <c r="M235"/>
      <c r="N235" s="324"/>
      <c r="O235" s="324"/>
      <c r="P235" s="324"/>
      <c r="Q235" s="324"/>
      <c r="R235" s="324"/>
      <c r="S235" s="324"/>
      <c r="T235" s="324"/>
      <c r="U235" s="324"/>
      <c r="V235" s="324"/>
      <c r="W235" s="324"/>
      <c r="X235" s="324"/>
      <c r="Y235" s="324"/>
      <c r="Z235" s="324"/>
      <c r="AA235" s="324"/>
      <c r="AB235" s="324"/>
      <c r="AC235" s="324"/>
      <c r="AD235" s="324"/>
      <c r="AE235" s="324"/>
      <c r="AF235" s="324"/>
      <c r="AG235" s="324"/>
      <c r="AH235" s="324"/>
      <c r="AI235" s="324"/>
      <c r="AJ235" s="324"/>
      <c r="AK235" s="324"/>
      <c r="AL235" s="324"/>
      <c r="AM235" s="324"/>
      <c r="AN235" s="324"/>
      <c r="AO235" s="324"/>
      <c r="AP235" s="324"/>
      <c r="AQ235" s="324"/>
      <c r="AR235" s="324"/>
      <c r="AS235" s="324"/>
      <c r="AT235" s="324"/>
      <c r="AU235" s="324"/>
      <c r="AV235" s="324"/>
      <c r="AW235" s="324"/>
      <c r="AX235" s="324"/>
      <c r="AY235" s="324"/>
      <c r="AZ235" s="324"/>
    </row>
    <row r="236" spans="1:52">
      <c r="A236"/>
      <c r="B236"/>
      <c r="C236"/>
      <c r="D236"/>
      <c r="E236"/>
      <c r="F236"/>
      <c r="G236"/>
      <c r="H236"/>
      <c r="I236"/>
      <c r="J236"/>
      <c r="K236"/>
      <c r="L236"/>
      <c r="M236"/>
      <c r="N236" s="324"/>
      <c r="O236" s="324"/>
      <c r="P236" s="324"/>
      <c r="Q236" s="324"/>
      <c r="R236" s="324"/>
      <c r="S236" s="324"/>
      <c r="T236" s="324"/>
      <c r="U236" s="324"/>
      <c r="V236" s="324"/>
      <c r="W236" s="324"/>
      <c r="X236" s="324"/>
      <c r="Y236" s="324"/>
      <c r="Z236" s="324"/>
      <c r="AA236" s="324"/>
      <c r="AB236" s="324"/>
      <c r="AC236" s="324"/>
      <c r="AD236" s="324"/>
      <c r="AE236" s="324"/>
      <c r="AF236" s="324"/>
      <c r="AG236" s="324"/>
      <c r="AH236" s="324"/>
      <c r="AI236" s="324"/>
      <c r="AJ236" s="324"/>
      <c r="AK236" s="324"/>
      <c r="AL236" s="324"/>
      <c r="AM236" s="324"/>
      <c r="AN236" s="324"/>
      <c r="AO236" s="324"/>
      <c r="AP236" s="324"/>
      <c r="AQ236" s="324"/>
      <c r="AR236" s="324"/>
      <c r="AS236" s="324"/>
      <c r="AT236" s="324"/>
      <c r="AU236" s="324"/>
      <c r="AV236" s="324"/>
      <c r="AW236" s="324"/>
      <c r="AX236" s="324"/>
      <c r="AY236" s="324"/>
      <c r="AZ236" s="324"/>
    </row>
    <row r="237" spans="1:52">
      <c r="A237"/>
      <c r="B237"/>
      <c r="C237"/>
      <c r="D237"/>
      <c r="E237"/>
      <c r="F237"/>
      <c r="G237"/>
      <c r="H237"/>
      <c r="I237"/>
      <c r="J237"/>
      <c r="K237"/>
      <c r="L237"/>
      <c r="M237"/>
      <c r="N237" s="324"/>
      <c r="O237" s="324"/>
      <c r="P237" s="324"/>
      <c r="Q237" s="324"/>
      <c r="R237" s="324"/>
      <c r="S237" s="324"/>
      <c r="T237" s="324"/>
      <c r="U237" s="324"/>
      <c r="V237" s="324"/>
      <c r="W237" s="324"/>
      <c r="X237" s="324"/>
      <c r="Y237" s="324"/>
      <c r="Z237" s="324"/>
      <c r="AA237" s="324"/>
      <c r="AB237" s="324"/>
      <c r="AC237" s="324"/>
      <c r="AD237" s="324"/>
      <c r="AE237" s="324"/>
      <c r="AF237" s="324"/>
      <c r="AG237" s="324"/>
      <c r="AH237" s="324"/>
      <c r="AI237" s="324"/>
      <c r="AJ237" s="324"/>
      <c r="AK237" s="324"/>
      <c r="AL237" s="324"/>
      <c r="AM237" s="324"/>
      <c r="AN237" s="324"/>
      <c r="AO237" s="324"/>
      <c r="AP237" s="324"/>
      <c r="AQ237" s="324"/>
      <c r="AR237" s="324"/>
      <c r="AS237" s="324"/>
      <c r="AT237" s="324"/>
      <c r="AU237" s="324"/>
      <c r="AV237" s="324"/>
      <c r="AW237" s="324"/>
      <c r="AX237" s="324"/>
      <c r="AY237" s="324"/>
      <c r="AZ237" s="324"/>
    </row>
    <row r="238" spans="1:52">
      <c r="A238"/>
      <c r="B238"/>
      <c r="C238"/>
      <c r="D238"/>
      <c r="E238"/>
      <c r="F238"/>
      <c r="G238"/>
      <c r="H238"/>
      <c r="I238"/>
      <c r="J238"/>
      <c r="K238"/>
      <c r="L238"/>
      <c r="M238"/>
      <c r="N238" s="324"/>
      <c r="O238" s="324"/>
      <c r="P238" s="324"/>
      <c r="Q238" s="324"/>
      <c r="R238" s="324"/>
      <c r="S238" s="324"/>
      <c r="T238" s="324"/>
      <c r="U238" s="324"/>
      <c r="V238" s="324"/>
      <c r="W238" s="324"/>
      <c r="X238" s="324"/>
      <c r="Y238" s="324"/>
      <c r="Z238" s="324"/>
      <c r="AA238" s="324"/>
      <c r="AB238" s="324"/>
      <c r="AC238" s="324"/>
      <c r="AD238" s="324"/>
      <c r="AE238" s="324"/>
      <c r="AF238" s="324"/>
      <c r="AG238" s="324"/>
      <c r="AH238" s="324"/>
      <c r="AI238" s="324"/>
      <c r="AJ238" s="324"/>
      <c r="AK238" s="324"/>
      <c r="AL238" s="324"/>
      <c r="AM238" s="324"/>
      <c r="AN238" s="324"/>
      <c r="AO238" s="324"/>
      <c r="AP238" s="324"/>
      <c r="AQ238" s="324"/>
      <c r="AR238" s="324"/>
      <c r="AS238" s="324"/>
      <c r="AT238" s="324"/>
      <c r="AU238" s="324"/>
      <c r="AV238" s="324"/>
      <c r="AW238" s="324"/>
      <c r="AX238" s="324"/>
      <c r="AY238" s="324"/>
      <c r="AZ238" s="324"/>
    </row>
    <row r="239" spans="1:52">
      <c r="A239"/>
      <c r="B239"/>
      <c r="C239"/>
      <c r="D239"/>
      <c r="E239"/>
      <c r="F239"/>
      <c r="G239"/>
      <c r="H239"/>
      <c r="I239"/>
      <c r="J239"/>
      <c r="K239"/>
      <c r="L239"/>
      <c r="M239"/>
      <c r="N239" s="324"/>
      <c r="O239" s="324"/>
      <c r="P239" s="324"/>
      <c r="Q239" s="324"/>
      <c r="R239" s="324"/>
      <c r="S239" s="324"/>
      <c r="T239" s="324"/>
      <c r="U239" s="324"/>
      <c r="V239" s="324"/>
      <c r="W239" s="324"/>
      <c r="X239" s="324"/>
      <c r="Y239" s="324"/>
      <c r="Z239" s="324"/>
      <c r="AA239" s="324"/>
      <c r="AB239" s="324"/>
      <c r="AC239" s="324"/>
      <c r="AD239" s="324"/>
      <c r="AE239" s="324"/>
      <c r="AF239" s="324"/>
      <c r="AG239" s="324"/>
      <c r="AH239" s="324"/>
      <c r="AI239" s="324"/>
      <c r="AJ239" s="324"/>
      <c r="AK239" s="324"/>
      <c r="AL239" s="324"/>
      <c r="AM239" s="324"/>
      <c r="AN239" s="324"/>
      <c r="AO239" s="324"/>
      <c r="AP239" s="324"/>
      <c r="AQ239" s="324"/>
      <c r="AR239" s="324"/>
      <c r="AS239" s="324"/>
      <c r="AT239" s="324"/>
      <c r="AU239" s="324"/>
      <c r="AV239" s="324"/>
      <c r="AW239" s="324"/>
      <c r="AX239" s="324"/>
      <c r="AY239" s="324"/>
      <c r="AZ239" s="324"/>
    </row>
    <row r="240" spans="1:52">
      <c r="A240"/>
      <c r="B240"/>
      <c r="C240"/>
      <c r="D240"/>
      <c r="E240"/>
      <c r="F240"/>
      <c r="G240"/>
      <c r="H240"/>
      <c r="I240"/>
      <c r="J240"/>
      <c r="K240"/>
      <c r="L240"/>
      <c r="M240"/>
      <c r="N240" s="324"/>
      <c r="O240" s="324"/>
      <c r="P240" s="324"/>
      <c r="Q240" s="324"/>
      <c r="R240" s="324"/>
      <c r="S240" s="324"/>
      <c r="T240" s="324"/>
      <c r="U240" s="324"/>
      <c r="V240" s="324"/>
      <c r="W240" s="324"/>
      <c r="X240" s="324"/>
      <c r="Y240" s="324"/>
      <c r="Z240" s="324"/>
      <c r="AA240" s="324"/>
      <c r="AB240" s="324"/>
      <c r="AC240" s="324"/>
      <c r="AD240" s="324"/>
      <c r="AE240" s="324"/>
      <c r="AF240" s="324"/>
      <c r="AG240" s="324"/>
      <c r="AH240" s="324"/>
      <c r="AI240" s="324"/>
      <c r="AJ240" s="324"/>
      <c r="AK240" s="324"/>
      <c r="AL240" s="324"/>
      <c r="AM240" s="324"/>
      <c r="AN240" s="324"/>
      <c r="AO240" s="324"/>
      <c r="AP240" s="324"/>
      <c r="AQ240" s="324"/>
      <c r="AR240" s="324"/>
      <c r="AS240" s="324"/>
      <c r="AT240" s="324"/>
      <c r="AU240" s="324"/>
      <c r="AV240" s="324"/>
      <c r="AW240" s="324"/>
      <c r="AX240" s="324"/>
      <c r="AY240" s="324"/>
      <c r="AZ240" s="324"/>
    </row>
    <row r="241" spans="1:52">
      <c r="A241"/>
      <c r="B241"/>
      <c r="C241"/>
      <c r="D241"/>
      <c r="E241"/>
      <c r="F241"/>
      <c r="G241"/>
      <c r="H241"/>
      <c r="I241"/>
      <c r="J241"/>
      <c r="K241"/>
      <c r="L241"/>
      <c r="M241"/>
      <c r="N241" s="324"/>
      <c r="O241" s="324"/>
      <c r="P241" s="324"/>
      <c r="Q241" s="324"/>
      <c r="R241" s="324"/>
      <c r="S241" s="324"/>
      <c r="T241" s="324"/>
      <c r="U241" s="324"/>
      <c r="V241" s="324"/>
      <c r="W241" s="324"/>
      <c r="X241" s="324"/>
      <c r="Y241" s="324"/>
      <c r="Z241" s="324"/>
      <c r="AA241" s="324"/>
      <c r="AB241" s="324"/>
      <c r="AC241" s="324"/>
      <c r="AD241" s="324"/>
      <c r="AE241" s="324"/>
      <c r="AF241" s="324"/>
      <c r="AG241" s="324"/>
      <c r="AH241" s="324"/>
      <c r="AI241" s="324"/>
      <c r="AJ241" s="324"/>
      <c r="AK241" s="324"/>
      <c r="AL241" s="324"/>
      <c r="AM241" s="324"/>
      <c r="AN241" s="324"/>
      <c r="AO241" s="324"/>
      <c r="AP241" s="324"/>
      <c r="AQ241" s="324"/>
      <c r="AR241" s="324"/>
      <c r="AS241" s="324"/>
      <c r="AT241" s="324"/>
      <c r="AU241" s="324"/>
      <c r="AV241" s="324"/>
      <c r="AW241" s="324"/>
      <c r="AX241" s="324"/>
      <c r="AY241" s="324"/>
      <c r="AZ241" s="324"/>
    </row>
    <row r="242" spans="1:52">
      <c r="A242"/>
      <c r="B242"/>
      <c r="C242"/>
      <c r="D242"/>
      <c r="E242"/>
      <c r="F242"/>
      <c r="G242"/>
      <c r="H242"/>
      <c r="I242"/>
      <c r="J242"/>
      <c r="K242"/>
      <c r="L242"/>
      <c r="M242"/>
      <c r="N242" s="324"/>
      <c r="O242" s="324"/>
      <c r="P242" s="324"/>
      <c r="Q242" s="324"/>
      <c r="R242" s="324"/>
      <c r="S242" s="324"/>
      <c r="T242" s="324"/>
      <c r="U242" s="324"/>
      <c r="V242" s="324"/>
      <c r="W242" s="324"/>
      <c r="X242" s="324"/>
      <c r="Y242" s="324"/>
      <c r="Z242" s="324"/>
      <c r="AA242" s="324"/>
      <c r="AB242" s="324"/>
      <c r="AC242" s="324"/>
      <c r="AD242" s="324"/>
      <c r="AE242" s="324"/>
      <c r="AF242" s="324"/>
      <c r="AG242" s="324"/>
      <c r="AH242" s="324"/>
      <c r="AI242" s="324"/>
      <c r="AJ242" s="324"/>
      <c r="AK242" s="324"/>
      <c r="AL242" s="324"/>
      <c r="AM242" s="324"/>
      <c r="AN242" s="324"/>
      <c r="AO242" s="324"/>
      <c r="AP242" s="324"/>
      <c r="AQ242" s="324"/>
      <c r="AR242" s="324"/>
      <c r="AS242" s="324"/>
      <c r="AT242" s="324"/>
      <c r="AU242" s="324"/>
      <c r="AV242" s="324"/>
      <c r="AW242" s="324"/>
      <c r="AX242" s="324"/>
      <c r="AY242" s="324"/>
      <c r="AZ242" s="324"/>
    </row>
    <row r="243" spans="1:52">
      <c r="A243"/>
      <c r="B243"/>
      <c r="C243"/>
      <c r="D243"/>
      <c r="E243"/>
      <c r="F243"/>
      <c r="G243"/>
      <c r="H243"/>
      <c r="I243"/>
      <c r="J243"/>
      <c r="K243"/>
      <c r="L243"/>
      <c r="M243"/>
      <c r="N243" s="324"/>
      <c r="O243" s="324"/>
      <c r="P243" s="324"/>
      <c r="Q243" s="324"/>
      <c r="R243" s="324"/>
      <c r="S243" s="324"/>
      <c r="T243" s="324"/>
      <c r="U243" s="324"/>
      <c r="V243" s="324"/>
      <c r="W243" s="324"/>
      <c r="X243" s="324"/>
      <c r="Y243" s="324"/>
      <c r="Z243" s="324"/>
      <c r="AA243" s="324"/>
      <c r="AB243" s="324"/>
      <c r="AC243" s="324"/>
      <c r="AD243" s="324"/>
      <c r="AE243" s="324"/>
      <c r="AF243" s="324"/>
      <c r="AG243" s="324"/>
      <c r="AH243" s="324"/>
      <c r="AI243" s="324"/>
      <c r="AJ243" s="324"/>
      <c r="AK243" s="324"/>
      <c r="AL243" s="324"/>
      <c r="AM243" s="324"/>
      <c r="AN243" s="324"/>
      <c r="AO243" s="324"/>
      <c r="AP243" s="324"/>
      <c r="AQ243" s="324"/>
      <c r="AR243" s="324"/>
      <c r="AS243" s="324"/>
      <c r="AT243" s="324"/>
      <c r="AU243" s="324"/>
      <c r="AV243" s="324"/>
      <c r="AW243" s="324"/>
      <c r="AX243" s="324"/>
      <c r="AY243" s="324"/>
      <c r="AZ243" s="324"/>
    </row>
    <row r="244" spans="1:52">
      <c r="A244"/>
      <c r="B244"/>
      <c r="C244"/>
      <c r="D244"/>
      <c r="E244"/>
      <c r="F244"/>
      <c r="G244"/>
      <c r="H244"/>
      <c r="I244"/>
      <c r="J244"/>
      <c r="K244"/>
      <c r="L244"/>
      <c r="M244"/>
      <c r="N244" s="324"/>
      <c r="O244" s="324"/>
      <c r="P244" s="324"/>
      <c r="Q244" s="324"/>
      <c r="R244" s="324"/>
      <c r="S244" s="324"/>
      <c r="T244" s="324"/>
      <c r="U244" s="324"/>
      <c r="V244" s="324"/>
      <c r="W244" s="324"/>
      <c r="X244" s="324"/>
      <c r="Y244" s="324"/>
      <c r="Z244" s="324"/>
      <c r="AA244" s="324"/>
      <c r="AB244" s="324"/>
      <c r="AC244" s="324"/>
      <c r="AD244" s="324"/>
      <c r="AE244" s="324"/>
      <c r="AF244" s="324"/>
      <c r="AG244" s="324"/>
      <c r="AH244" s="324"/>
      <c r="AI244" s="324"/>
      <c r="AJ244" s="324"/>
      <c r="AK244" s="324"/>
      <c r="AL244" s="324"/>
      <c r="AM244" s="324"/>
      <c r="AN244" s="324"/>
      <c r="AO244" s="324"/>
      <c r="AP244" s="324"/>
      <c r="AQ244" s="324"/>
      <c r="AR244" s="324"/>
      <c r="AS244" s="324"/>
      <c r="AT244" s="324"/>
      <c r="AU244" s="324"/>
      <c r="AV244" s="324"/>
      <c r="AW244" s="324"/>
      <c r="AX244" s="324"/>
      <c r="AY244" s="324"/>
      <c r="AZ244" s="324"/>
    </row>
    <row r="245" spans="1:52">
      <c r="A245"/>
      <c r="B245"/>
      <c r="C245"/>
      <c r="D245"/>
      <c r="E245"/>
      <c r="F245"/>
      <c r="G245"/>
      <c r="H245"/>
      <c r="I245"/>
      <c r="J245"/>
      <c r="K245"/>
      <c r="L245"/>
      <c r="M245"/>
      <c r="N245" s="324"/>
      <c r="O245" s="324"/>
      <c r="P245" s="324"/>
      <c r="Q245" s="324"/>
      <c r="R245" s="324"/>
      <c r="S245" s="324"/>
      <c r="T245" s="324"/>
      <c r="U245" s="324"/>
      <c r="V245" s="324"/>
      <c r="W245" s="324"/>
      <c r="X245" s="324"/>
      <c r="Y245" s="324"/>
      <c r="Z245" s="324"/>
      <c r="AA245" s="324"/>
      <c r="AB245" s="324"/>
      <c r="AC245" s="324"/>
      <c r="AD245" s="324"/>
      <c r="AE245" s="324"/>
      <c r="AF245" s="324"/>
      <c r="AG245" s="324"/>
      <c r="AH245" s="324"/>
      <c r="AI245" s="324"/>
      <c r="AJ245" s="324"/>
      <c r="AK245" s="324"/>
      <c r="AL245" s="324"/>
      <c r="AM245" s="324"/>
      <c r="AN245" s="324"/>
      <c r="AO245" s="324"/>
      <c r="AP245" s="324"/>
      <c r="AQ245" s="324"/>
      <c r="AR245" s="324"/>
      <c r="AS245" s="324"/>
      <c r="AT245" s="324"/>
      <c r="AU245" s="324"/>
      <c r="AV245" s="324"/>
      <c r="AW245" s="324"/>
      <c r="AX245" s="324"/>
      <c r="AY245" s="324"/>
      <c r="AZ245" s="324"/>
    </row>
    <row r="246" spans="1:52">
      <c r="A246"/>
      <c r="B246"/>
      <c r="C246"/>
      <c r="D246"/>
      <c r="E246"/>
      <c r="F246"/>
      <c r="G246"/>
      <c r="H246"/>
      <c r="I246"/>
      <c r="J246"/>
      <c r="K246"/>
      <c r="L246"/>
      <c r="M246"/>
      <c r="N246" s="324"/>
      <c r="O246" s="324"/>
      <c r="P246" s="324"/>
      <c r="Q246" s="324"/>
      <c r="R246" s="324"/>
      <c r="S246" s="324"/>
      <c r="T246" s="324"/>
      <c r="U246" s="324"/>
      <c r="V246" s="324"/>
      <c r="W246" s="324"/>
      <c r="X246" s="324"/>
      <c r="Y246" s="324"/>
      <c r="Z246" s="324"/>
      <c r="AA246" s="324"/>
      <c r="AB246" s="324"/>
      <c r="AC246" s="324"/>
      <c r="AD246" s="324"/>
      <c r="AE246" s="324"/>
      <c r="AF246" s="324"/>
      <c r="AG246" s="324"/>
      <c r="AH246" s="324"/>
      <c r="AI246" s="324"/>
      <c r="AJ246" s="324"/>
      <c r="AK246" s="324"/>
      <c r="AL246" s="324"/>
      <c r="AM246" s="324"/>
      <c r="AN246" s="324"/>
      <c r="AO246" s="324"/>
      <c r="AP246" s="324"/>
      <c r="AQ246" s="324"/>
      <c r="AR246" s="324"/>
      <c r="AS246" s="324"/>
      <c r="AT246" s="324"/>
      <c r="AU246" s="324"/>
      <c r="AV246" s="324"/>
      <c r="AW246" s="324"/>
      <c r="AX246" s="324"/>
      <c r="AY246" s="324"/>
      <c r="AZ246" s="324"/>
    </row>
    <row r="247" spans="1:52">
      <c r="A247"/>
      <c r="B247"/>
      <c r="C247"/>
      <c r="D247"/>
      <c r="E247"/>
      <c r="F247"/>
      <c r="G247"/>
      <c r="H247"/>
      <c r="I247"/>
      <c r="J247"/>
      <c r="K247"/>
      <c r="L247"/>
      <c r="M247"/>
      <c r="N247" s="324"/>
      <c r="O247" s="324"/>
      <c r="P247" s="324"/>
      <c r="Q247" s="324"/>
      <c r="R247" s="324"/>
      <c r="S247" s="324"/>
      <c r="T247" s="324"/>
      <c r="U247" s="324"/>
      <c r="V247" s="324"/>
      <c r="W247" s="324"/>
      <c r="X247" s="324"/>
      <c r="Y247" s="324"/>
      <c r="Z247" s="324"/>
      <c r="AA247" s="324"/>
      <c r="AB247" s="324"/>
      <c r="AC247" s="324"/>
      <c r="AD247" s="324"/>
      <c r="AE247" s="324"/>
      <c r="AF247" s="324"/>
      <c r="AG247" s="324"/>
      <c r="AH247" s="324"/>
      <c r="AI247" s="324"/>
      <c r="AJ247" s="324"/>
      <c r="AK247" s="324"/>
      <c r="AL247" s="324"/>
      <c r="AM247" s="324"/>
      <c r="AN247" s="324"/>
      <c r="AO247" s="324"/>
      <c r="AP247" s="324"/>
      <c r="AQ247" s="324"/>
      <c r="AR247" s="324"/>
      <c r="AS247" s="324"/>
      <c r="AT247" s="324"/>
      <c r="AU247" s="324"/>
      <c r="AV247" s="324"/>
      <c r="AW247" s="324"/>
      <c r="AX247" s="324"/>
      <c r="AY247" s="324"/>
      <c r="AZ247" s="324"/>
    </row>
    <row r="248" spans="1:52">
      <c r="A248"/>
      <c r="B248"/>
      <c r="C248"/>
      <c r="D248"/>
      <c r="E248"/>
      <c r="F248"/>
      <c r="G248"/>
      <c r="H248"/>
      <c r="I248"/>
      <c r="J248"/>
      <c r="K248"/>
      <c r="L248"/>
      <c r="M248"/>
      <c r="N248" s="324"/>
      <c r="O248" s="324"/>
      <c r="P248" s="324"/>
      <c r="Q248" s="324"/>
      <c r="R248" s="324"/>
      <c r="S248" s="324"/>
      <c r="T248" s="324"/>
      <c r="U248" s="324"/>
      <c r="V248" s="324"/>
      <c r="W248" s="324"/>
      <c r="X248" s="324"/>
      <c r="Y248" s="324"/>
      <c r="Z248" s="324"/>
      <c r="AA248" s="324"/>
      <c r="AB248" s="324"/>
      <c r="AC248" s="324"/>
      <c r="AD248" s="324"/>
      <c r="AE248" s="324"/>
      <c r="AF248" s="324"/>
      <c r="AG248" s="324"/>
      <c r="AH248" s="324"/>
      <c r="AI248" s="324"/>
      <c r="AJ248" s="324"/>
      <c r="AK248" s="324"/>
      <c r="AL248" s="324"/>
      <c r="AM248" s="324"/>
      <c r="AN248" s="324"/>
      <c r="AO248" s="324"/>
      <c r="AP248" s="324"/>
      <c r="AQ248" s="324"/>
      <c r="AR248" s="324"/>
      <c r="AS248" s="324"/>
      <c r="AT248" s="324"/>
      <c r="AU248" s="324"/>
      <c r="AV248" s="324"/>
      <c r="AW248" s="324"/>
      <c r="AX248" s="324"/>
      <c r="AY248" s="324"/>
      <c r="AZ248" s="324"/>
    </row>
    <row r="249" spans="1:52">
      <c r="A249"/>
      <c r="B249"/>
      <c r="C249"/>
      <c r="D249"/>
      <c r="E249"/>
      <c r="F249"/>
      <c r="G249"/>
      <c r="H249"/>
      <c r="I249"/>
      <c r="J249"/>
      <c r="K249"/>
      <c r="L249"/>
      <c r="M249"/>
      <c r="N249" s="324"/>
      <c r="O249" s="324"/>
      <c r="P249" s="324"/>
      <c r="Q249" s="324"/>
      <c r="R249" s="324"/>
      <c r="S249" s="324"/>
      <c r="T249" s="324"/>
      <c r="U249" s="324"/>
      <c r="V249" s="324"/>
      <c r="W249" s="324"/>
      <c r="X249" s="324"/>
      <c r="Y249" s="324"/>
      <c r="Z249" s="324"/>
      <c r="AA249" s="324"/>
      <c r="AB249" s="324"/>
      <c r="AC249" s="324"/>
      <c r="AD249" s="324"/>
      <c r="AE249" s="324"/>
      <c r="AF249" s="324"/>
      <c r="AG249" s="324"/>
      <c r="AH249" s="324"/>
      <c r="AI249" s="324"/>
      <c r="AJ249" s="324"/>
      <c r="AK249" s="324"/>
      <c r="AL249" s="324"/>
      <c r="AM249" s="324"/>
      <c r="AN249" s="324"/>
      <c r="AO249" s="324"/>
      <c r="AP249" s="324"/>
      <c r="AQ249" s="324"/>
      <c r="AR249" s="324"/>
      <c r="AS249" s="324"/>
      <c r="AT249" s="324"/>
      <c r="AU249" s="324"/>
      <c r="AV249" s="324"/>
      <c r="AW249" s="324"/>
      <c r="AX249" s="324"/>
      <c r="AY249" s="324"/>
      <c r="AZ249" s="324"/>
    </row>
    <row r="250" spans="1:52">
      <c r="A250"/>
      <c r="B250"/>
      <c r="C250"/>
      <c r="D250"/>
      <c r="E250"/>
      <c r="F250"/>
      <c r="G250"/>
      <c r="H250"/>
      <c r="I250"/>
      <c r="J250"/>
      <c r="K250"/>
      <c r="L250"/>
      <c r="M250"/>
      <c r="N250" s="324"/>
      <c r="O250" s="324"/>
      <c r="P250" s="324"/>
      <c r="Q250" s="324"/>
      <c r="R250" s="324"/>
      <c r="S250" s="324"/>
      <c r="T250" s="324"/>
      <c r="U250" s="324"/>
      <c r="V250" s="324"/>
      <c r="W250" s="324"/>
      <c r="X250" s="324"/>
      <c r="Y250" s="324"/>
      <c r="Z250" s="324"/>
      <c r="AA250" s="324"/>
      <c r="AB250" s="324"/>
      <c r="AC250" s="324"/>
      <c r="AD250" s="324"/>
      <c r="AE250" s="324"/>
      <c r="AF250" s="324"/>
      <c r="AG250" s="324"/>
      <c r="AH250" s="324"/>
      <c r="AI250" s="324"/>
      <c r="AJ250" s="324"/>
      <c r="AK250" s="324"/>
      <c r="AL250" s="324"/>
      <c r="AM250" s="324"/>
      <c r="AN250" s="324"/>
      <c r="AO250" s="324"/>
      <c r="AP250" s="324"/>
      <c r="AQ250" s="324"/>
      <c r="AR250" s="324"/>
      <c r="AS250" s="324"/>
      <c r="AT250" s="324"/>
      <c r="AU250" s="324"/>
      <c r="AV250" s="324"/>
      <c r="AW250" s="324"/>
      <c r="AX250" s="324"/>
      <c r="AY250" s="324"/>
      <c r="AZ250" s="324"/>
    </row>
    <row r="251" spans="1:52">
      <c r="A251"/>
      <c r="B251"/>
      <c r="C251"/>
      <c r="D251"/>
      <c r="E251"/>
      <c r="F251"/>
      <c r="G251"/>
      <c r="H251"/>
      <c r="I251"/>
      <c r="J251"/>
      <c r="K251"/>
      <c r="L251"/>
      <c r="M251"/>
      <c r="N251" s="324"/>
      <c r="O251" s="324"/>
      <c r="P251" s="324"/>
      <c r="Q251" s="324"/>
      <c r="R251" s="324"/>
      <c r="S251" s="324"/>
      <c r="T251" s="324"/>
      <c r="U251" s="324"/>
      <c r="V251" s="324"/>
      <c r="W251" s="324"/>
      <c r="X251" s="324"/>
      <c r="Y251" s="324"/>
      <c r="Z251" s="324"/>
      <c r="AA251" s="324"/>
      <c r="AB251" s="324"/>
      <c r="AC251" s="324"/>
      <c r="AD251" s="324"/>
      <c r="AE251" s="324"/>
      <c r="AF251" s="324"/>
      <c r="AG251" s="324"/>
      <c r="AH251" s="324"/>
      <c r="AI251" s="324"/>
      <c r="AJ251" s="324"/>
      <c r="AK251" s="324"/>
      <c r="AL251" s="324"/>
      <c r="AM251" s="324"/>
      <c r="AN251" s="324"/>
      <c r="AO251" s="324"/>
      <c r="AP251" s="324"/>
      <c r="AQ251" s="324"/>
      <c r="AR251" s="324"/>
      <c r="AS251" s="324"/>
      <c r="AT251" s="324"/>
      <c r="AU251" s="324"/>
      <c r="AV251" s="324"/>
      <c r="AW251" s="324"/>
      <c r="AX251" s="324"/>
      <c r="AY251" s="324"/>
      <c r="AZ251" s="324"/>
    </row>
    <row r="252" spans="1:52">
      <c r="A252"/>
      <c r="B252"/>
      <c r="C252"/>
      <c r="D252"/>
      <c r="E252"/>
      <c r="F252"/>
      <c r="G252"/>
      <c r="H252"/>
      <c r="I252"/>
      <c r="J252"/>
      <c r="K252"/>
      <c r="L252"/>
      <c r="M252"/>
      <c r="N252" s="324"/>
      <c r="O252" s="324"/>
      <c r="P252" s="324"/>
      <c r="Q252" s="324"/>
      <c r="R252" s="324"/>
      <c r="S252" s="324"/>
      <c r="T252" s="324"/>
      <c r="U252" s="324"/>
      <c r="V252" s="324"/>
      <c r="W252" s="324"/>
      <c r="X252" s="324"/>
      <c r="Y252" s="324"/>
      <c r="Z252" s="324"/>
      <c r="AA252" s="324"/>
      <c r="AB252" s="324"/>
      <c r="AC252" s="324"/>
      <c r="AD252" s="324"/>
      <c r="AE252" s="324"/>
      <c r="AF252" s="324"/>
      <c r="AG252" s="324"/>
      <c r="AH252" s="324"/>
      <c r="AI252" s="324"/>
      <c r="AJ252" s="324"/>
      <c r="AK252" s="324"/>
      <c r="AL252" s="324"/>
      <c r="AM252" s="324"/>
      <c r="AN252" s="324"/>
      <c r="AO252" s="324"/>
      <c r="AP252" s="324"/>
      <c r="AQ252" s="324"/>
      <c r="AR252" s="324"/>
      <c r="AS252" s="324"/>
      <c r="AT252" s="324"/>
      <c r="AU252" s="324"/>
      <c r="AV252" s="324"/>
      <c r="AW252" s="324"/>
      <c r="AX252" s="324"/>
      <c r="AY252" s="324"/>
      <c r="AZ252" s="324"/>
    </row>
    <row r="253" spans="1:52">
      <c r="A253"/>
      <c r="B253"/>
      <c r="C253"/>
      <c r="D253"/>
      <c r="E253"/>
      <c r="F253"/>
      <c r="G253"/>
      <c r="H253"/>
      <c r="I253"/>
      <c r="J253"/>
      <c r="K253"/>
      <c r="L253"/>
      <c r="M253"/>
      <c r="N253" s="324"/>
      <c r="O253" s="324"/>
      <c r="P253" s="324"/>
      <c r="Q253" s="324"/>
      <c r="R253" s="324"/>
      <c r="S253" s="324"/>
      <c r="T253" s="324"/>
      <c r="U253" s="324"/>
      <c r="V253" s="324"/>
      <c r="W253" s="324"/>
      <c r="X253" s="324"/>
      <c r="Y253" s="324"/>
      <c r="Z253" s="324"/>
      <c r="AA253" s="324"/>
      <c r="AB253" s="324"/>
      <c r="AC253" s="324"/>
      <c r="AD253" s="324"/>
      <c r="AE253" s="324"/>
      <c r="AF253" s="324"/>
      <c r="AG253" s="324"/>
      <c r="AH253" s="324"/>
      <c r="AI253" s="324"/>
      <c r="AJ253" s="324"/>
      <c r="AK253" s="324"/>
      <c r="AL253" s="324"/>
      <c r="AM253" s="324"/>
      <c r="AN253" s="324"/>
      <c r="AO253" s="324"/>
      <c r="AP253" s="324"/>
      <c r="AQ253" s="324"/>
      <c r="AR253" s="324"/>
      <c r="AS253" s="324"/>
      <c r="AT253" s="324"/>
      <c r="AU253" s="324"/>
      <c r="AV253" s="324"/>
      <c r="AW253" s="324"/>
      <c r="AX253" s="324"/>
      <c r="AY253" s="324"/>
      <c r="AZ253" s="324"/>
    </row>
    <row r="254" spans="1:52">
      <c r="A254"/>
      <c r="B254"/>
      <c r="C254"/>
      <c r="D254"/>
      <c r="E254"/>
      <c r="F254"/>
      <c r="G254"/>
      <c r="H254"/>
      <c r="I254"/>
      <c r="J254"/>
      <c r="K254"/>
      <c r="L254"/>
      <c r="M254"/>
      <c r="N254" s="324"/>
      <c r="O254" s="324"/>
      <c r="P254" s="324"/>
      <c r="Q254" s="324"/>
      <c r="R254" s="324"/>
      <c r="S254" s="324"/>
      <c r="T254" s="324"/>
      <c r="U254" s="324"/>
      <c r="V254" s="324"/>
      <c r="W254" s="324"/>
      <c r="X254" s="324"/>
      <c r="Y254" s="324"/>
      <c r="Z254" s="324"/>
      <c r="AA254" s="324"/>
      <c r="AB254" s="324"/>
      <c r="AC254" s="324"/>
      <c r="AD254" s="324"/>
      <c r="AE254" s="324"/>
      <c r="AF254" s="324"/>
      <c r="AG254" s="324"/>
      <c r="AH254" s="324"/>
      <c r="AI254" s="324"/>
      <c r="AJ254" s="324"/>
      <c r="AK254" s="324"/>
      <c r="AL254" s="324"/>
      <c r="AM254" s="324"/>
      <c r="AN254" s="324"/>
      <c r="AO254" s="324"/>
      <c r="AP254" s="324"/>
      <c r="AQ254" s="324"/>
      <c r="AR254" s="324"/>
      <c r="AS254" s="324"/>
      <c r="AT254" s="324"/>
      <c r="AU254" s="324"/>
      <c r="AV254" s="324"/>
      <c r="AW254" s="324"/>
      <c r="AX254" s="324"/>
      <c r="AY254" s="324"/>
      <c r="AZ254" s="324"/>
    </row>
    <row r="255" spans="1:52">
      <c r="A255"/>
      <c r="B255"/>
      <c r="C255"/>
      <c r="D255"/>
      <c r="E255"/>
      <c r="F255"/>
      <c r="G255"/>
      <c r="H255"/>
      <c r="I255"/>
      <c r="J255"/>
      <c r="K255"/>
      <c r="L255"/>
      <c r="M255"/>
      <c r="N255" s="324"/>
      <c r="O255" s="324"/>
      <c r="P255" s="324"/>
      <c r="Q255" s="324"/>
      <c r="R255" s="324"/>
      <c r="S255" s="324"/>
      <c r="T255" s="324"/>
      <c r="U255" s="324"/>
      <c r="V255" s="324"/>
      <c r="W255" s="324"/>
      <c r="X255" s="324"/>
      <c r="Y255" s="324"/>
      <c r="Z255" s="324"/>
      <c r="AA255" s="324"/>
      <c r="AB255" s="324"/>
      <c r="AC255" s="324"/>
      <c r="AD255" s="324"/>
      <c r="AE255" s="324"/>
      <c r="AF255" s="324"/>
      <c r="AG255" s="324"/>
      <c r="AH255" s="324"/>
      <c r="AI255" s="324"/>
      <c r="AJ255" s="324"/>
      <c r="AK255" s="324"/>
      <c r="AL255" s="324"/>
      <c r="AM255" s="324"/>
      <c r="AN255" s="324"/>
      <c r="AO255" s="324"/>
      <c r="AP255" s="324"/>
      <c r="AQ255" s="324"/>
      <c r="AR255" s="324"/>
      <c r="AS255" s="324"/>
      <c r="AT255" s="324"/>
      <c r="AU255" s="324"/>
      <c r="AV255" s="324"/>
      <c r="AW255" s="324"/>
      <c r="AX255" s="324"/>
      <c r="AY255" s="324"/>
      <c r="AZ255" s="324"/>
    </row>
    <row r="256" spans="1:52">
      <c r="A256"/>
      <c r="B256"/>
      <c r="C256"/>
      <c r="D256"/>
      <c r="E256"/>
      <c r="F256"/>
      <c r="G256"/>
      <c r="H256"/>
      <c r="I256"/>
      <c r="J256"/>
      <c r="K256"/>
      <c r="L256"/>
      <c r="M256"/>
      <c r="N256" s="324"/>
      <c r="O256" s="324"/>
      <c r="P256" s="324"/>
      <c r="Q256" s="324"/>
      <c r="R256" s="324"/>
      <c r="S256" s="324"/>
      <c r="T256" s="324"/>
      <c r="U256" s="324"/>
      <c r="V256" s="324"/>
      <c r="W256" s="324"/>
      <c r="X256" s="324"/>
      <c r="Y256" s="324"/>
      <c r="Z256" s="324"/>
      <c r="AA256" s="324"/>
      <c r="AB256" s="324"/>
      <c r="AC256" s="324"/>
      <c r="AD256" s="324"/>
      <c r="AE256" s="324"/>
      <c r="AF256" s="324"/>
      <c r="AG256" s="324"/>
      <c r="AH256" s="324"/>
      <c r="AI256" s="324"/>
      <c r="AJ256" s="324"/>
      <c r="AK256" s="324"/>
      <c r="AL256" s="324"/>
      <c r="AM256" s="324"/>
      <c r="AN256" s="324"/>
      <c r="AO256" s="324"/>
      <c r="AP256" s="324"/>
      <c r="AQ256" s="324"/>
      <c r="AR256" s="324"/>
      <c r="AS256" s="324"/>
      <c r="AT256" s="324"/>
      <c r="AU256" s="324"/>
      <c r="AV256" s="324"/>
      <c r="AW256" s="324"/>
      <c r="AX256" s="324"/>
      <c r="AY256" s="324"/>
      <c r="AZ256" s="324"/>
    </row>
    <row r="257" spans="1:52">
      <c r="A257"/>
      <c r="B257"/>
      <c r="C257"/>
      <c r="D257"/>
      <c r="E257"/>
      <c r="F257"/>
      <c r="G257"/>
      <c r="H257"/>
      <c r="I257"/>
      <c r="J257"/>
      <c r="K257"/>
      <c r="L257"/>
      <c r="M257"/>
      <c r="N257" s="324"/>
      <c r="O257" s="324"/>
      <c r="P257" s="324"/>
      <c r="Q257" s="324"/>
      <c r="R257" s="324"/>
      <c r="S257" s="324"/>
      <c r="T257" s="324"/>
      <c r="U257" s="324"/>
      <c r="V257" s="324"/>
      <c r="W257" s="324"/>
      <c r="X257" s="324"/>
      <c r="Y257" s="324"/>
      <c r="Z257" s="324"/>
      <c r="AA257" s="324"/>
      <c r="AB257" s="324"/>
      <c r="AC257" s="324"/>
      <c r="AD257" s="324"/>
      <c r="AE257" s="324"/>
      <c r="AF257" s="324"/>
      <c r="AG257" s="324"/>
      <c r="AH257" s="324"/>
      <c r="AI257" s="324"/>
      <c r="AJ257" s="324"/>
      <c r="AK257" s="324"/>
      <c r="AL257" s="324"/>
      <c r="AM257" s="324"/>
      <c r="AN257" s="324"/>
      <c r="AO257" s="324"/>
      <c r="AP257" s="324"/>
      <c r="AQ257" s="324"/>
      <c r="AR257" s="324"/>
      <c r="AS257" s="324"/>
      <c r="AT257" s="324"/>
      <c r="AU257" s="324"/>
      <c r="AV257" s="324"/>
      <c r="AW257" s="324"/>
      <c r="AX257" s="324"/>
      <c r="AY257" s="324"/>
      <c r="AZ257" s="324"/>
    </row>
    <row r="258" spans="1:52">
      <c r="A258"/>
      <c r="B258"/>
      <c r="C258"/>
      <c r="D258"/>
      <c r="E258"/>
      <c r="F258"/>
      <c r="G258"/>
      <c r="H258"/>
      <c r="I258"/>
      <c r="J258"/>
      <c r="K258"/>
      <c r="L258"/>
      <c r="M258"/>
      <c r="N258" s="324"/>
      <c r="O258" s="324"/>
      <c r="P258" s="324"/>
      <c r="Q258" s="324"/>
      <c r="R258" s="324"/>
      <c r="S258" s="324"/>
      <c r="T258" s="324"/>
      <c r="U258" s="324"/>
      <c r="V258" s="324"/>
      <c r="W258" s="324"/>
      <c r="X258" s="324"/>
      <c r="Y258" s="324"/>
      <c r="Z258" s="324"/>
      <c r="AA258" s="324"/>
      <c r="AB258" s="324"/>
      <c r="AC258" s="324"/>
      <c r="AD258" s="324"/>
      <c r="AE258" s="324"/>
      <c r="AF258" s="324"/>
      <c r="AG258" s="324"/>
      <c r="AH258" s="324"/>
      <c r="AI258" s="324"/>
      <c r="AJ258" s="324"/>
      <c r="AK258" s="324"/>
      <c r="AL258" s="324"/>
      <c r="AM258" s="324"/>
      <c r="AN258" s="324"/>
      <c r="AO258" s="324"/>
      <c r="AP258" s="324"/>
      <c r="AQ258" s="324"/>
      <c r="AR258" s="324"/>
      <c r="AS258" s="324"/>
      <c r="AT258" s="324"/>
      <c r="AU258" s="324"/>
      <c r="AV258" s="324"/>
      <c r="AW258" s="324"/>
      <c r="AX258" s="324"/>
      <c r="AY258" s="324"/>
      <c r="AZ258" s="324"/>
    </row>
    <row r="259" spans="1:52">
      <c r="A259"/>
      <c r="B259"/>
      <c r="C259"/>
      <c r="D259"/>
      <c r="E259"/>
      <c r="F259"/>
      <c r="G259"/>
      <c r="H259"/>
      <c r="I259"/>
      <c r="J259"/>
      <c r="K259"/>
      <c r="L259"/>
      <c r="M259"/>
      <c r="N259" s="324"/>
      <c r="O259" s="324"/>
      <c r="P259" s="324"/>
      <c r="Q259" s="324"/>
      <c r="R259" s="324"/>
      <c r="S259" s="324"/>
      <c r="T259" s="324"/>
      <c r="U259" s="324"/>
      <c r="V259" s="324"/>
      <c r="W259" s="324"/>
      <c r="X259" s="324"/>
      <c r="Y259" s="324"/>
      <c r="Z259" s="324"/>
      <c r="AA259" s="324"/>
      <c r="AB259" s="324"/>
      <c r="AC259" s="324"/>
      <c r="AD259" s="324"/>
      <c r="AE259" s="324"/>
      <c r="AF259" s="324"/>
      <c r="AG259" s="324"/>
      <c r="AH259" s="324"/>
      <c r="AI259" s="324"/>
      <c r="AJ259" s="324"/>
      <c r="AK259" s="324"/>
      <c r="AL259" s="324"/>
      <c r="AM259" s="324"/>
      <c r="AN259" s="324"/>
      <c r="AO259" s="324"/>
      <c r="AP259" s="324"/>
      <c r="AQ259" s="324"/>
      <c r="AR259" s="324"/>
      <c r="AS259" s="324"/>
      <c r="AT259" s="324"/>
      <c r="AU259" s="324"/>
      <c r="AV259" s="324"/>
      <c r="AW259" s="324"/>
      <c r="AX259" s="324"/>
      <c r="AY259" s="324"/>
      <c r="AZ259" s="324"/>
    </row>
    <row r="260" spans="1:52">
      <c r="A260"/>
      <c r="B260"/>
      <c r="C260"/>
      <c r="D260"/>
      <c r="E260"/>
      <c r="F260"/>
      <c r="G260"/>
      <c r="H260"/>
      <c r="I260"/>
      <c r="J260"/>
      <c r="K260"/>
      <c r="L260"/>
      <c r="M260"/>
      <c r="N260" s="324"/>
      <c r="O260" s="324"/>
      <c r="P260" s="324"/>
      <c r="Q260" s="324"/>
      <c r="R260" s="324"/>
      <c r="S260" s="324"/>
      <c r="T260" s="324"/>
      <c r="U260" s="324"/>
      <c r="V260" s="324"/>
      <c r="W260" s="324"/>
      <c r="X260" s="324"/>
      <c r="Y260" s="324"/>
      <c r="Z260" s="324"/>
      <c r="AA260" s="324"/>
      <c r="AB260" s="324"/>
      <c r="AC260" s="324"/>
      <c r="AD260" s="324"/>
      <c r="AE260" s="324"/>
      <c r="AF260" s="324"/>
      <c r="AG260" s="324"/>
      <c r="AH260" s="324"/>
      <c r="AI260" s="324"/>
      <c r="AJ260" s="324"/>
      <c r="AK260" s="324"/>
      <c r="AL260" s="324"/>
      <c r="AM260" s="324"/>
      <c r="AN260" s="324"/>
      <c r="AO260" s="324"/>
      <c r="AP260" s="324"/>
      <c r="AQ260" s="324"/>
      <c r="AR260" s="324"/>
      <c r="AS260" s="324"/>
      <c r="AT260" s="324"/>
      <c r="AU260" s="324"/>
      <c r="AV260" s="324"/>
      <c r="AW260" s="324"/>
      <c r="AX260" s="324"/>
      <c r="AY260" s="324"/>
      <c r="AZ260" s="324"/>
    </row>
    <row r="261" spans="1:52">
      <c r="A261"/>
      <c r="B261"/>
      <c r="C261"/>
      <c r="D261"/>
      <c r="E261"/>
      <c r="F261"/>
      <c r="G261"/>
      <c r="H261"/>
      <c r="I261"/>
      <c r="J261"/>
      <c r="K261"/>
      <c r="L261"/>
      <c r="M261"/>
      <c r="N261" s="324"/>
      <c r="O261" s="324"/>
      <c r="P261" s="324"/>
      <c r="Q261" s="324"/>
      <c r="R261" s="324"/>
      <c r="S261" s="324"/>
      <c r="T261" s="324"/>
      <c r="U261" s="324"/>
      <c r="V261" s="324"/>
      <c r="W261" s="324"/>
      <c r="X261" s="324"/>
      <c r="Y261" s="324"/>
      <c r="Z261" s="324"/>
      <c r="AA261" s="324"/>
      <c r="AB261" s="324"/>
      <c r="AC261" s="324"/>
      <c r="AD261" s="324"/>
      <c r="AE261" s="324"/>
      <c r="AF261" s="324"/>
      <c r="AG261" s="324"/>
      <c r="AH261" s="324"/>
      <c r="AI261" s="324"/>
      <c r="AJ261" s="324"/>
      <c r="AK261" s="324"/>
      <c r="AL261" s="324"/>
      <c r="AM261" s="324"/>
      <c r="AN261" s="324"/>
      <c r="AO261" s="324"/>
      <c r="AP261" s="324"/>
      <c r="AQ261" s="324"/>
      <c r="AR261" s="324"/>
      <c r="AS261" s="324"/>
      <c r="AT261" s="324"/>
      <c r="AU261" s="324"/>
      <c r="AV261" s="324"/>
      <c r="AW261" s="324"/>
      <c r="AX261" s="324"/>
      <c r="AY261" s="324"/>
      <c r="AZ261" s="324"/>
    </row>
    <row r="262" spans="1:52">
      <c r="A262"/>
      <c r="B262"/>
      <c r="C262"/>
      <c r="D262"/>
      <c r="E262"/>
      <c r="F262"/>
      <c r="G262"/>
      <c r="H262"/>
      <c r="I262"/>
      <c r="J262"/>
      <c r="K262"/>
      <c r="L262"/>
      <c r="M262"/>
      <c r="N262" s="324"/>
      <c r="O262" s="324"/>
      <c r="P262" s="324"/>
      <c r="Q262" s="324"/>
      <c r="R262" s="324"/>
      <c r="S262" s="324"/>
      <c r="T262" s="324"/>
      <c r="U262" s="324"/>
      <c r="V262" s="324"/>
      <c r="W262" s="324"/>
      <c r="X262" s="324"/>
      <c r="Y262" s="324"/>
      <c r="Z262" s="324"/>
      <c r="AA262" s="324"/>
      <c r="AB262" s="324"/>
      <c r="AC262" s="324"/>
      <c r="AD262" s="324"/>
      <c r="AE262" s="324"/>
      <c r="AF262" s="324"/>
      <c r="AG262" s="324"/>
      <c r="AH262" s="324"/>
      <c r="AI262" s="324"/>
      <c r="AJ262" s="324"/>
      <c r="AK262" s="324"/>
      <c r="AL262" s="324"/>
      <c r="AM262" s="324"/>
      <c r="AN262" s="324"/>
      <c r="AO262" s="324"/>
      <c r="AP262" s="324"/>
      <c r="AQ262" s="324"/>
      <c r="AR262" s="324"/>
      <c r="AS262" s="324"/>
      <c r="AT262" s="324"/>
      <c r="AU262" s="324"/>
      <c r="AV262" s="324"/>
      <c r="AW262" s="324"/>
      <c r="AX262" s="324"/>
      <c r="AY262" s="324"/>
      <c r="AZ262" s="324"/>
    </row>
    <row r="263" spans="1:52">
      <c r="A263"/>
      <c r="B263"/>
      <c r="C263"/>
      <c r="D263"/>
      <c r="E263"/>
      <c r="F263"/>
      <c r="G263"/>
      <c r="H263"/>
      <c r="I263"/>
      <c r="J263"/>
      <c r="K263"/>
      <c r="L263"/>
      <c r="M263"/>
      <c r="N263" s="324"/>
      <c r="O263" s="324"/>
      <c r="P263" s="324"/>
      <c r="Q263" s="324"/>
      <c r="R263" s="324"/>
      <c r="S263" s="324"/>
      <c r="T263" s="324"/>
      <c r="U263" s="324"/>
      <c r="V263" s="324"/>
      <c r="W263" s="324"/>
      <c r="X263" s="324"/>
      <c r="Y263" s="324"/>
      <c r="Z263" s="324"/>
      <c r="AA263" s="324"/>
      <c r="AB263" s="324"/>
      <c r="AC263" s="324"/>
      <c r="AD263" s="324"/>
      <c r="AE263" s="324"/>
      <c r="AF263" s="324"/>
      <c r="AG263" s="324"/>
      <c r="AH263" s="324"/>
      <c r="AI263" s="324"/>
      <c r="AJ263" s="324"/>
      <c r="AK263" s="324"/>
      <c r="AL263" s="324"/>
      <c r="AM263" s="324"/>
      <c r="AN263" s="324"/>
      <c r="AO263" s="324"/>
      <c r="AP263" s="324"/>
      <c r="AQ263" s="324"/>
      <c r="AR263" s="324"/>
      <c r="AS263" s="324"/>
      <c r="AT263" s="324"/>
      <c r="AU263" s="324"/>
      <c r="AV263" s="324"/>
      <c r="AW263" s="324"/>
      <c r="AX263" s="324"/>
      <c r="AY263" s="324"/>
      <c r="AZ263" s="324"/>
    </row>
    <row r="264" spans="1:52">
      <c r="A264"/>
      <c r="B264"/>
      <c r="C264"/>
      <c r="D264"/>
      <c r="E264"/>
      <c r="F264"/>
      <c r="G264"/>
      <c r="H264"/>
      <c r="I264"/>
      <c r="J264"/>
      <c r="K264"/>
      <c r="L264"/>
      <c r="M264"/>
      <c r="N264" s="324"/>
      <c r="O264" s="324"/>
      <c r="P264" s="324"/>
      <c r="Q264" s="324"/>
      <c r="R264" s="324"/>
      <c r="S264" s="324"/>
      <c r="T264" s="324"/>
      <c r="U264" s="324"/>
      <c r="V264" s="324"/>
      <c r="W264" s="324"/>
      <c r="X264" s="324"/>
      <c r="Y264" s="324"/>
      <c r="Z264" s="324"/>
      <c r="AA264" s="324"/>
      <c r="AB264" s="324"/>
      <c r="AC264" s="324"/>
      <c r="AD264" s="324"/>
      <c r="AE264" s="324"/>
      <c r="AF264" s="324"/>
      <c r="AG264" s="324"/>
      <c r="AH264" s="324"/>
      <c r="AI264" s="324"/>
      <c r="AJ264" s="324"/>
      <c r="AK264" s="324"/>
      <c r="AL264" s="324"/>
      <c r="AM264" s="324"/>
      <c r="AN264" s="324"/>
      <c r="AO264" s="324"/>
      <c r="AP264" s="324"/>
      <c r="AQ264" s="324"/>
      <c r="AR264" s="324"/>
      <c r="AS264" s="324"/>
      <c r="AT264" s="324"/>
      <c r="AU264" s="324"/>
      <c r="AV264" s="324"/>
      <c r="AW264" s="324"/>
      <c r="AX264" s="324"/>
      <c r="AY264" s="324"/>
      <c r="AZ264" s="324"/>
    </row>
    <row r="265" spans="1:52">
      <c r="A265"/>
      <c r="B265"/>
      <c r="C265"/>
      <c r="D265"/>
      <c r="E265"/>
      <c r="F265"/>
      <c r="G265"/>
      <c r="H265"/>
      <c r="I265"/>
      <c r="J265"/>
      <c r="K265"/>
      <c r="L265"/>
      <c r="M265"/>
      <c r="N265" s="324"/>
      <c r="O265" s="324"/>
      <c r="P265" s="324"/>
      <c r="Q265" s="324"/>
      <c r="R265" s="324"/>
      <c r="S265" s="324"/>
      <c r="T265" s="324"/>
      <c r="U265" s="324"/>
      <c r="V265" s="324"/>
      <c r="W265" s="324"/>
      <c r="X265" s="324"/>
      <c r="Y265" s="324"/>
      <c r="Z265" s="324"/>
      <c r="AA265" s="324"/>
      <c r="AB265" s="324"/>
      <c r="AC265" s="324"/>
      <c r="AD265" s="324"/>
      <c r="AE265" s="324"/>
      <c r="AF265" s="324"/>
      <c r="AG265" s="324"/>
      <c r="AH265" s="324"/>
      <c r="AI265" s="324"/>
      <c r="AJ265" s="324"/>
      <c r="AK265" s="324"/>
      <c r="AL265" s="324"/>
      <c r="AM265" s="324"/>
      <c r="AN265" s="324"/>
      <c r="AO265" s="324"/>
      <c r="AP265" s="324"/>
      <c r="AQ265" s="324"/>
      <c r="AR265" s="324"/>
      <c r="AS265" s="324"/>
      <c r="AT265" s="324"/>
      <c r="AU265" s="324"/>
      <c r="AV265" s="324"/>
      <c r="AW265" s="324"/>
      <c r="AX265" s="324"/>
      <c r="AY265" s="324"/>
      <c r="AZ265" s="324"/>
    </row>
    <row r="266" spans="1:52">
      <c r="A266"/>
      <c r="B266"/>
      <c r="C266"/>
      <c r="D266"/>
      <c r="E266"/>
      <c r="F266"/>
      <c r="G266"/>
      <c r="H266"/>
      <c r="I266"/>
      <c r="J266"/>
      <c r="K266"/>
      <c r="L266"/>
      <c r="M266"/>
      <c r="N266" s="324"/>
      <c r="O266" s="324"/>
      <c r="P266" s="324"/>
      <c r="Q266" s="324"/>
      <c r="R266" s="324"/>
      <c r="S266" s="324"/>
      <c r="T266" s="324"/>
      <c r="U266" s="324"/>
      <c r="V266" s="324"/>
      <c r="W266" s="324"/>
      <c r="X266" s="324"/>
      <c r="Y266" s="324"/>
      <c r="Z266" s="324"/>
      <c r="AA266" s="324"/>
      <c r="AB266" s="324"/>
      <c r="AC266" s="324"/>
      <c r="AD266" s="324"/>
      <c r="AE266" s="324"/>
      <c r="AF266" s="324"/>
      <c r="AG266" s="324"/>
      <c r="AH266" s="324"/>
      <c r="AI266" s="324"/>
      <c r="AJ266" s="324"/>
      <c r="AK266" s="324"/>
      <c r="AL266" s="324"/>
      <c r="AM266" s="324"/>
      <c r="AN266" s="324"/>
      <c r="AO266" s="324"/>
      <c r="AP266" s="324"/>
      <c r="AQ266" s="324"/>
      <c r="AR266" s="324"/>
      <c r="AS266" s="324"/>
      <c r="AT266" s="324"/>
      <c r="AU266" s="324"/>
      <c r="AV266" s="324"/>
      <c r="AW266" s="324"/>
      <c r="AX266" s="324"/>
      <c r="AY266" s="324"/>
      <c r="AZ266" s="324"/>
    </row>
    <row r="267" spans="1:52">
      <c r="A267"/>
      <c r="B267"/>
      <c r="C267"/>
      <c r="D267"/>
      <c r="E267"/>
      <c r="F267"/>
      <c r="G267"/>
      <c r="H267"/>
      <c r="I267"/>
      <c r="J267"/>
      <c r="K267"/>
      <c r="L267"/>
      <c r="M267"/>
      <c r="N267" s="324"/>
      <c r="O267" s="324"/>
      <c r="P267" s="324"/>
      <c r="Q267" s="324"/>
      <c r="R267" s="324"/>
      <c r="S267" s="324"/>
      <c r="T267" s="324"/>
      <c r="U267" s="324"/>
      <c r="V267" s="324"/>
      <c r="W267" s="324"/>
      <c r="X267" s="324"/>
      <c r="Y267" s="324"/>
      <c r="Z267" s="324"/>
      <c r="AA267" s="324"/>
      <c r="AB267" s="324"/>
      <c r="AC267" s="324"/>
      <c r="AD267" s="324"/>
      <c r="AE267" s="324"/>
      <c r="AF267" s="324"/>
      <c r="AG267" s="324"/>
      <c r="AH267" s="324"/>
      <c r="AI267" s="324"/>
      <c r="AJ267" s="324"/>
      <c r="AK267" s="324"/>
      <c r="AL267" s="324"/>
      <c r="AM267" s="324"/>
      <c r="AN267" s="324"/>
      <c r="AO267" s="324"/>
      <c r="AP267" s="324"/>
      <c r="AQ267" s="324"/>
      <c r="AR267" s="324"/>
      <c r="AS267" s="324"/>
      <c r="AT267" s="324"/>
      <c r="AU267" s="324"/>
      <c r="AV267" s="324"/>
      <c r="AW267" s="324"/>
      <c r="AX267" s="324"/>
      <c r="AY267" s="324"/>
      <c r="AZ267" s="324"/>
    </row>
    <row r="268" spans="1:52">
      <c r="A268"/>
      <c r="B268"/>
      <c r="C268"/>
      <c r="D268"/>
      <c r="E268"/>
      <c r="F268"/>
      <c r="G268"/>
      <c r="H268"/>
      <c r="I268"/>
      <c r="J268"/>
      <c r="K268"/>
      <c r="L268"/>
      <c r="M268"/>
      <c r="N268" s="324"/>
      <c r="O268" s="324"/>
      <c r="P268" s="324"/>
      <c r="Q268" s="324"/>
      <c r="R268" s="324"/>
      <c r="S268" s="324"/>
      <c r="T268" s="324"/>
      <c r="U268" s="324"/>
      <c r="V268" s="324"/>
      <c r="W268" s="324"/>
      <c r="X268" s="324"/>
      <c r="Y268" s="324"/>
      <c r="Z268" s="324"/>
      <c r="AA268" s="324"/>
      <c r="AB268" s="324"/>
      <c r="AC268" s="324"/>
      <c r="AD268" s="324"/>
      <c r="AE268" s="324"/>
      <c r="AF268" s="324"/>
      <c r="AG268" s="324"/>
      <c r="AH268" s="324"/>
      <c r="AI268" s="324"/>
      <c r="AJ268" s="324"/>
      <c r="AK268" s="324"/>
      <c r="AL268" s="324"/>
      <c r="AM268" s="324"/>
      <c r="AN268" s="324"/>
      <c r="AO268" s="324"/>
      <c r="AP268" s="324"/>
      <c r="AQ268" s="324"/>
      <c r="AR268" s="324"/>
      <c r="AS268" s="324"/>
      <c r="AT268" s="324"/>
      <c r="AU268" s="324"/>
      <c r="AV268" s="324"/>
      <c r="AW268" s="324"/>
      <c r="AX268" s="324"/>
      <c r="AY268" s="324"/>
      <c r="AZ268" s="324"/>
    </row>
    <row r="269" spans="1:52">
      <c r="A269"/>
      <c r="B269"/>
      <c r="C269"/>
      <c r="D269"/>
      <c r="E269"/>
      <c r="F269"/>
      <c r="G269"/>
      <c r="H269"/>
      <c r="I269"/>
      <c r="J269"/>
      <c r="K269"/>
      <c r="L269"/>
      <c r="M269"/>
      <c r="N269" s="324"/>
      <c r="O269" s="324"/>
      <c r="P269" s="324"/>
      <c r="Q269" s="324"/>
      <c r="R269" s="324"/>
      <c r="S269" s="324"/>
      <c r="T269" s="324"/>
      <c r="U269" s="324"/>
      <c r="V269" s="324"/>
      <c r="W269" s="324"/>
      <c r="X269" s="324"/>
      <c r="Y269" s="324"/>
      <c r="Z269" s="324"/>
      <c r="AA269" s="324"/>
      <c r="AB269" s="324"/>
      <c r="AC269" s="324"/>
      <c r="AD269" s="324"/>
      <c r="AE269" s="324"/>
      <c r="AF269" s="324"/>
      <c r="AG269" s="324"/>
      <c r="AH269" s="324"/>
      <c r="AI269" s="324"/>
      <c r="AJ269" s="324"/>
      <c r="AK269" s="324"/>
      <c r="AL269" s="324"/>
      <c r="AM269" s="324"/>
      <c r="AN269" s="324"/>
      <c r="AO269" s="324"/>
      <c r="AP269" s="324"/>
      <c r="AQ269" s="324"/>
      <c r="AR269" s="324"/>
      <c r="AS269" s="324"/>
      <c r="AT269" s="324"/>
      <c r="AU269" s="324"/>
      <c r="AV269" s="324"/>
      <c r="AW269" s="324"/>
      <c r="AX269" s="324"/>
      <c r="AY269" s="324"/>
      <c r="AZ269" s="324"/>
    </row>
    <row r="270" spans="1:52">
      <c r="A270"/>
      <c r="B270"/>
      <c r="C270"/>
      <c r="D270"/>
      <c r="E270"/>
      <c r="F270"/>
      <c r="G270"/>
      <c r="H270"/>
      <c r="I270"/>
      <c r="J270"/>
      <c r="K270"/>
      <c r="L270"/>
      <c r="M270"/>
      <c r="N270" s="324"/>
      <c r="O270" s="324"/>
      <c r="P270" s="324"/>
      <c r="Q270" s="324"/>
      <c r="R270" s="324"/>
      <c r="S270" s="324"/>
      <c r="T270" s="324"/>
      <c r="U270" s="324"/>
      <c r="V270" s="324"/>
      <c r="W270" s="324"/>
      <c r="X270" s="324"/>
      <c r="Y270" s="324"/>
      <c r="Z270" s="324"/>
      <c r="AA270" s="324"/>
      <c r="AB270" s="324"/>
      <c r="AC270" s="324"/>
      <c r="AD270" s="324"/>
      <c r="AE270" s="324"/>
      <c r="AF270" s="324"/>
      <c r="AG270" s="324"/>
      <c r="AH270" s="324"/>
      <c r="AI270" s="324"/>
      <c r="AJ270" s="324"/>
      <c r="AK270" s="324"/>
      <c r="AL270" s="324"/>
      <c r="AM270" s="324"/>
      <c r="AN270" s="324"/>
      <c r="AO270" s="324"/>
      <c r="AP270" s="324"/>
      <c r="AQ270" s="324"/>
      <c r="AR270" s="324"/>
      <c r="AS270" s="324"/>
      <c r="AT270" s="324"/>
      <c r="AU270" s="324"/>
      <c r="AV270" s="324"/>
      <c r="AW270" s="324"/>
      <c r="AX270" s="324"/>
      <c r="AY270" s="324"/>
      <c r="AZ270" s="324"/>
    </row>
    <row r="271" spans="1:52">
      <c r="A271"/>
      <c r="B271"/>
      <c r="C271"/>
      <c r="D271"/>
      <c r="E271"/>
      <c r="F271"/>
      <c r="G271"/>
      <c r="H271"/>
      <c r="I271"/>
      <c r="J271"/>
      <c r="K271"/>
      <c r="L271"/>
      <c r="M271"/>
      <c r="N271" s="324"/>
      <c r="O271" s="324"/>
      <c r="P271" s="324"/>
      <c r="Q271" s="324"/>
      <c r="R271" s="324"/>
      <c r="S271" s="324"/>
      <c r="T271" s="324"/>
      <c r="U271" s="324"/>
      <c r="V271" s="324"/>
      <c r="W271" s="324"/>
      <c r="X271" s="324"/>
      <c r="Y271" s="324"/>
      <c r="Z271" s="324"/>
      <c r="AA271" s="324"/>
      <c r="AB271" s="324"/>
      <c r="AC271" s="324"/>
      <c r="AD271" s="324"/>
      <c r="AE271" s="324"/>
      <c r="AF271" s="324"/>
      <c r="AG271" s="324"/>
      <c r="AH271" s="324"/>
      <c r="AI271" s="324"/>
      <c r="AJ271" s="324"/>
      <c r="AK271" s="324"/>
      <c r="AL271" s="324"/>
      <c r="AM271" s="324"/>
      <c r="AN271" s="324"/>
      <c r="AO271" s="324"/>
      <c r="AP271" s="324"/>
      <c r="AQ271" s="324"/>
      <c r="AR271" s="324"/>
      <c r="AS271" s="324"/>
      <c r="AT271" s="324"/>
      <c r="AU271" s="324"/>
      <c r="AV271" s="324"/>
      <c r="AW271" s="324"/>
      <c r="AX271" s="324"/>
      <c r="AY271" s="324"/>
      <c r="AZ271" s="324"/>
    </row>
    <row r="272" spans="1:52">
      <c r="A272"/>
      <c r="B272"/>
      <c r="C272"/>
      <c r="D272"/>
      <c r="E272"/>
      <c r="F272"/>
      <c r="G272"/>
      <c r="H272"/>
      <c r="I272"/>
      <c r="J272"/>
      <c r="K272"/>
      <c r="L272"/>
      <c r="M272"/>
      <c r="N272" s="324"/>
      <c r="O272" s="324"/>
      <c r="P272" s="324"/>
      <c r="Q272" s="324"/>
      <c r="R272" s="324"/>
      <c r="S272" s="324"/>
      <c r="T272" s="324"/>
      <c r="U272" s="324"/>
      <c r="V272" s="324"/>
      <c r="W272" s="324"/>
      <c r="X272" s="324"/>
      <c r="Y272" s="324"/>
      <c r="Z272" s="324"/>
      <c r="AA272" s="324"/>
      <c r="AB272" s="324"/>
      <c r="AC272" s="324"/>
      <c r="AD272" s="324"/>
      <c r="AE272" s="324"/>
      <c r="AF272" s="324"/>
      <c r="AG272" s="324"/>
      <c r="AH272" s="324"/>
      <c r="AI272" s="324"/>
      <c r="AJ272" s="324"/>
      <c r="AK272" s="324"/>
      <c r="AL272" s="324"/>
      <c r="AM272" s="324"/>
      <c r="AN272" s="324"/>
      <c r="AO272" s="324"/>
      <c r="AP272" s="324"/>
      <c r="AQ272" s="324"/>
      <c r="AR272" s="324"/>
      <c r="AS272" s="324"/>
      <c r="AT272" s="324"/>
      <c r="AU272" s="324"/>
      <c r="AV272" s="324"/>
      <c r="AW272" s="324"/>
      <c r="AX272" s="324"/>
      <c r="AY272" s="324"/>
      <c r="AZ272" s="324"/>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A285"/>
      <c r="B285"/>
      <c r="C285"/>
      <c r="D285"/>
      <c r="E285"/>
      <c r="F285"/>
      <c r="G285"/>
      <c r="H285"/>
      <c r="I285"/>
      <c r="J285"/>
      <c r="K285"/>
      <c r="L285"/>
      <c r="M285"/>
      <c r="N285"/>
      <c r="O285"/>
      <c r="P285"/>
      <c r="Q285"/>
      <c r="R285"/>
    </row>
    <row r="286" spans="1:18">
      <c r="A286"/>
      <c r="B286"/>
      <c r="C286"/>
      <c r="D286"/>
      <c r="E286"/>
      <c r="F286"/>
      <c r="G286"/>
      <c r="H286"/>
      <c r="I286"/>
      <c r="J286"/>
      <c r="K286"/>
      <c r="L286"/>
      <c r="M286"/>
      <c r="N286"/>
      <c r="O286"/>
      <c r="P286"/>
      <c r="Q286"/>
      <c r="R286"/>
    </row>
    <row r="287" spans="1:18">
      <c r="A287"/>
      <c r="B287"/>
      <c r="C287"/>
      <c r="D287"/>
      <c r="E287"/>
      <c r="F287"/>
      <c r="G287"/>
      <c r="H287"/>
      <c r="I287"/>
      <c r="J287"/>
      <c r="K287"/>
      <c r="L287"/>
      <c r="M287"/>
      <c r="N287"/>
      <c r="O287"/>
      <c r="P287"/>
      <c r="Q287"/>
      <c r="R287"/>
    </row>
    <row r="288" spans="1:18">
      <c r="A288"/>
      <c r="B288"/>
      <c r="C288"/>
      <c r="D288"/>
      <c r="E288"/>
      <c r="F288"/>
      <c r="G288"/>
      <c r="H288"/>
      <c r="I288"/>
      <c r="J288"/>
      <c r="K288"/>
      <c r="L288"/>
      <c r="M288"/>
      <c r="N288"/>
      <c r="O288"/>
      <c r="P288"/>
      <c r="Q288"/>
      <c r="R288"/>
    </row>
    <row r="289" spans="1:18">
      <c r="A289"/>
      <c r="B289"/>
      <c r="C289"/>
      <c r="D289"/>
      <c r="E289"/>
      <c r="F289"/>
      <c r="G289"/>
      <c r="H289"/>
      <c r="I289"/>
      <c r="J289"/>
      <c r="K289"/>
      <c r="L289"/>
      <c r="M289"/>
      <c r="N289"/>
      <c r="O289"/>
      <c r="P289"/>
      <c r="Q289"/>
      <c r="R289"/>
    </row>
    <row r="290" spans="1:18">
      <c r="A290"/>
      <c r="B290"/>
      <c r="C290"/>
      <c r="D290"/>
      <c r="E290"/>
      <c r="F290"/>
      <c r="G290"/>
      <c r="H290"/>
      <c r="I290"/>
      <c r="J290"/>
      <c r="K290"/>
      <c r="L290"/>
      <c r="M290"/>
      <c r="N290"/>
      <c r="O290"/>
      <c r="P290"/>
      <c r="Q290"/>
      <c r="R290"/>
    </row>
    <row r="291" spans="1:18">
      <c r="A291"/>
      <c r="B291"/>
      <c r="C291"/>
      <c r="D291"/>
      <c r="E291"/>
      <c r="F291"/>
      <c r="G291"/>
      <c r="H291"/>
      <c r="I291"/>
      <c r="J291"/>
      <c r="K291"/>
      <c r="L291"/>
      <c r="M291"/>
      <c r="N291"/>
      <c r="O291"/>
      <c r="P291"/>
      <c r="Q291"/>
      <c r="R291"/>
    </row>
    <row r="292" spans="1:18">
      <c r="A292"/>
      <c r="B292"/>
      <c r="C292"/>
      <c r="D292"/>
      <c r="E292"/>
      <c r="F292"/>
      <c r="G292"/>
      <c r="H292"/>
      <c r="I292"/>
      <c r="J292"/>
      <c r="K292"/>
      <c r="L292"/>
      <c r="M292"/>
      <c r="N292"/>
      <c r="O292"/>
      <c r="P292"/>
      <c r="Q292"/>
      <c r="R292"/>
    </row>
    <row r="293" spans="1:18">
      <c r="A293"/>
      <c r="B293"/>
      <c r="C293"/>
      <c r="D293"/>
      <c r="E293"/>
      <c r="F293"/>
      <c r="G293"/>
      <c r="H293"/>
      <c r="I293"/>
      <c r="J293"/>
      <c r="K293"/>
      <c r="L293"/>
      <c r="M293"/>
      <c r="N293"/>
      <c r="O293"/>
      <c r="P293"/>
      <c r="Q293"/>
      <c r="R293"/>
    </row>
    <row r="294" spans="1:18">
      <c r="A294"/>
      <c r="B294"/>
      <c r="C294"/>
      <c r="D294"/>
      <c r="E294"/>
      <c r="F294"/>
      <c r="G294"/>
      <c r="H294"/>
      <c r="I294"/>
      <c r="J294"/>
      <c r="K294"/>
      <c r="L294"/>
      <c r="M294"/>
      <c r="N294"/>
      <c r="O294"/>
      <c r="P294"/>
      <c r="Q294"/>
      <c r="R294"/>
    </row>
    <row r="295" spans="1:18">
      <c r="A295"/>
      <c r="B295"/>
      <c r="C295"/>
      <c r="D295"/>
      <c r="E295"/>
      <c r="F295"/>
      <c r="G295"/>
      <c r="H295"/>
      <c r="I295"/>
      <c r="J295"/>
      <c r="K295"/>
      <c r="L295"/>
      <c r="M295"/>
      <c r="N295"/>
      <c r="O295"/>
      <c r="P295"/>
      <c r="Q295"/>
      <c r="R295"/>
    </row>
    <row r="296" spans="1:18">
      <c r="A296"/>
      <c r="B296"/>
      <c r="C296"/>
      <c r="D296"/>
      <c r="E296"/>
      <c r="F296"/>
      <c r="G296"/>
      <c r="H296"/>
      <c r="I296"/>
      <c r="J296"/>
      <c r="K296"/>
      <c r="L296"/>
      <c r="M296"/>
      <c r="N296"/>
      <c r="O296"/>
      <c r="P296"/>
      <c r="Q296"/>
      <c r="R296"/>
    </row>
    <row r="297" spans="1:18">
      <c r="A297"/>
      <c r="B297"/>
      <c r="C297"/>
      <c r="D297"/>
      <c r="E297"/>
      <c r="F297"/>
      <c r="G297"/>
      <c r="H297"/>
      <c r="I297"/>
      <c r="J297"/>
      <c r="K297"/>
      <c r="L297"/>
      <c r="M297"/>
      <c r="N297"/>
      <c r="O297"/>
      <c r="P297"/>
      <c r="Q297"/>
      <c r="R297"/>
    </row>
    <row r="298" spans="1:18">
      <c r="A298"/>
      <c r="B298"/>
      <c r="C298"/>
      <c r="D298"/>
      <c r="E298"/>
      <c r="F298"/>
      <c r="G298"/>
      <c r="H298"/>
      <c r="I298"/>
      <c r="J298"/>
      <c r="K298"/>
      <c r="L298"/>
      <c r="M298"/>
      <c r="N298"/>
      <c r="O298"/>
      <c r="P298"/>
      <c r="Q298"/>
      <c r="R298"/>
    </row>
    <row r="299" spans="1:18">
      <c r="A299"/>
      <c r="B299"/>
      <c r="C299"/>
      <c r="D299"/>
      <c r="E299"/>
      <c r="F299"/>
      <c r="G299"/>
      <c r="H299"/>
      <c r="I299"/>
      <c r="J299"/>
      <c r="K299"/>
      <c r="L299"/>
      <c r="M299"/>
      <c r="N299"/>
      <c r="O299"/>
      <c r="P299"/>
      <c r="Q299"/>
      <c r="R299"/>
    </row>
    <row r="300" spans="1:18">
      <c r="A300"/>
      <c r="B300"/>
      <c r="C300"/>
      <c r="D300"/>
      <c r="E300"/>
      <c r="F300"/>
      <c r="G300"/>
      <c r="H300"/>
      <c r="I300"/>
      <c r="J300"/>
      <c r="K300"/>
      <c r="L300"/>
      <c r="M300"/>
      <c r="N300"/>
      <c r="O300"/>
      <c r="P300"/>
      <c r="Q300"/>
      <c r="R300"/>
    </row>
    <row r="301" spans="1:18">
      <c r="A301"/>
      <c r="B301"/>
      <c r="C301"/>
      <c r="D301"/>
      <c r="E301"/>
      <c r="F301"/>
      <c r="G301"/>
      <c r="H301"/>
      <c r="I301"/>
      <c r="J301"/>
      <c r="K301"/>
      <c r="L301"/>
      <c r="M301"/>
      <c r="N301"/>
      <c r="O301"/>
      <c r="P301"/>
      <c r="Q301"/>
      <c r="R301"/>
    </row>
    <row r="302" spans="1:18">
      <c r="A302"/>
      <c r="B302"/>
      <c r="C302"/>
      <c r="D302"/>
      <c r="E302"/>
      <c r="F302"/>
      <c r="G302"/>
      <c r="H302"/>
      <c r="I302"/>
      <c r="J302"/>
      <c r="K302"/>
      <c r="L302"/>
      <c r="M302"/>
      <c r="N302"/>
      <c r="O302"/>
      <c r="P302"/>
      <c r="Q302"/>
      <c r="R302"/>
    </row>
    <row r="303" spans="1:18">
      <c r="A303"/>
      <c r="B303"/>
      <c r="C303"/>
      <c r="D303"/>
      <c r="E303"/>
      <c r="F303"/>
      <c r="G303"/>
      <c r="H303"/>
      <c r="I303"/>
      <c r="J303"/>
      <c r="K303"/>
      <c r="L303"/>
      <c r="M303"/>
      <c r="N303"/>
      <c r="O303"/>
      <c r="P303"/>
      <c r="Q303"/>
      <c r="R303"/>
    </row>
    <row r="304" spans="1:18">
      <c r="A304"/>
      <c r="B304"/>
      <c r="C304"/>
      <c r="D304"/>
      <c r="E304"/>
      <c r="F304"/>
      <c r="G304"/>
      <c r="H304"/>
      <c r="I304"/>
      <c r="J304"/>
      <c r="K304"/>
      <c r="L304"/>
      <c r="M304"/>
      <c r="N304"/>
      <c r="O304"/>
      <c r="P304"/>
      <c r="Q304"/>
      <c r="R304"/>
    </row>
    <row r="305" spans="1:18">
      <c r="A305"/>
      <c r="B305"/>
      <c r="C305"/>
      <c r="D305"/>
      <c r="E305"/>
      <c r="F305"/>
      <c r="G305"/>
      <c r="H305"/>
      <c r="I305"/>
      <c r="J305"/>
      <c r="K305"/>
      <c r="L305"/>
      <c r="M305"/>
      <c r="N305"/>
      <c r="O305"/>
      <c r="P305"/>
      <c r="Q305"/>
      <c r="R305"/>
    </row>
    <row r="306" spans="1:18">
      <c r="A306"/>
      <c r="B306"/>
      <c r="C306"/>
      <c r="D306"/>
      <c r="E306"/>
      <c r="F306"/>
      <c r="G306"/>
      <c r="H306"/>
      <c r="I306"/>
      <c r="J306"/>
      <c r="K306"/>
      <c r="L306"/>
      <c r="M306"/>
      <c r="N306"/>
      <c r="O306"/>
      <c r="P306"/>
      <c r="Q306"/>
      <c r="R306"/>
    </row>
    <row r="307" spans="1:18">
      <c r="A307"/>
      <c r="B307"/>
      <c r="C307"/>
      <c r="D307"/>
      <c r="E307"/>
      <c r="F307"/>
      <c r="G307"/>
      <c r="H307"/>
      <c r="I307"/>
      <c r="J307"/>
      <c r="K307"/>
      <c r="L307"/>
      <c r="M307"/>
      <c r="N307"/>
      <c r="O307"/>
      <c r="P307"/>
      <c r="Q307"/>
      <c r="R307"/>
    </row>
    <row r="308" spans="1:18">
      <c r="A308"/>
      <c r="B308"/>
      <c r="C308"/>
      <c r="D308"/>
      <c r="E308"/>
      <c r="F308"/>
      <c r="G308"/>
      <c r="H308"/>
      <c r="I308"/>
      <c r="J308"/>
      <c r="K308"/>
      <c r="L308"/>
      <c r="M308"/>
      <c r="N308"/>
      <c r="O308"/>
      <c r="P308"/>
      <c r="Q308"/>
      <c r="R308"/>
    </row>
    <row r="309" spans="1:18">
      <c r="A309"/>
      <c r="B309"/>
      <c r="C309"/>
      <c r="D309"/>
      <c r="E309"/>
      <c r="F309"/>
      <c r="G309"/>
      <c r="H309"/>
      <c r="I309"/>
      <c r="J309"/>
      <c r="K309"/>
      <c r="L309"/>
      <c r="M309"/>
      <c r="N309"/>
      <c r="O309"/>
      <c r="P309"/>
      <c r="Q309"/>
      <c r="R309"/>
    </row>
    <row r="310" spans="1:18">
      <c r="A310"/>
      <c r="B310"/>
      <c r="C310"/>
      <c r="D310"/>
      <c r="E310"/>
      <c r="F310"/>
      <c r="G310"/>
      <c r="H310"/>
      <c r="I310"/>
      <c r="J310"/>
      <c r="K310"/>
      <c r="L310"/>
      <c r="M310"/>
      <c r="N310"/>
      <c r="O310"/>
      <c r="P310"/>
      <c r="Q310"/>
      <c r="R310"/>
    </row>
    <row r="311" spans="1:18">
      <c r="A311"/>
      <c r="B311"/>
      <c r="C311"/>
      <c r="D311"/>
      <c r="E311"/>
      <c r="F311"/>
      <c r="G311"/>
      <c r="H311"/>
      <c r="I311"/>
      <c r="J311"/>
      <c r="K311"/>
      <c r="L311"/>
      <c r="M311"/>
      <c r="N311"/>
      <c r="O311"/>
      <c r="P311"/>
      <c r="Q311"/>
      <c r="R311"/>
    </row>
    <row r="312" spans="1:18">
      <c r="A312"/>
      <c r="B312"/>
      <c r="C312"/>
      <c r="D312"/>
      <c r="E312"/>
      <c r="F312"/>
      <c r="G312"/>
      <c r="H312"/>
      <c r="I312"/>
      <c r="J312"/>
      <c r="K312"/>
      <c r="L312"/>
      <c r="M312"/>
      <c r="N312"/>
      <c r="O312"/>
      <c r="P312"/>
      <c r="Q312"/>
      <c r="R312"/>
    </row>
    <row r="313" spans="1:18">
      <c r="A313"/>
      <c r="B313"/>
      <c r="C313"/>
      <c r="D313"/>
      <c r="E313"/>
      <c r="F313"/>
      <c r="G313"/>
      <c r="H313"/>
      <c r="I313"/>
      <c r="J313"/>
      <c r="K313"/>
      <c r="L313"/>
      <c r="M313"/>
      <c r="N313"/>
      <c r="O313"/>
      <c r="P313"/>
      <c r="Q313"/>
      <c r="R313"/>
    </row>
    <row r="314" spans="1:18">
      <c r="A314"/>
      <c r="B314"/>
      <c r="C314"/>
      <c r="D314"/>
      <c r="E314"/>
      <c r="F314"/>
      <c r="G314"/>
      <c r="H314"/>
      <c r="I314"/>
      <c r="J314"/>
      <c r="K314"/>
      <c r="L314"/>
      <c r="M314"/>
      <c r="N314"/>
      <c r="O314"/>
      <c r="P314"/>
      <c r="Q314"/>
      <c r="R314"/>
    </row>
    <row r="315" spans="1:18">
      <c r="A315"/>
      <c r="B315"/>
      <c r="C315"/>
      <c r="D315"/>
      <c r="E315"/>
      <c r="F315"/>
      <c r="G315"/>
      <c r="H315"/>
      <c r="I315"/>
      <c r="J315"/>
      <c r="K315"/>
      <c r="L315"/>
      <c r="M315"/>
      <c r="N315"/>
      <c r="O315"/>
      <c r="P315"/>
      <c r="Q315"/>
      <c r="R315"/>
    </row>
    <row r="316" spans="1:18">
      <c r="A316"/>
      <c r="B316"/>
      <c r="C316"/>
      <c r="D316"/>
      <c r="E316"/>
      <c r="F316"/>
      <c r="G316"/>
      <c r="H316"/>
      <c r="I316"/>
      <c r="J316"/>
      <c r="K316"/>
      <c r="L316"/>
      <c r="M316"/>
      <c r="N316"/>
      <c r="O316"/>
      <c r="P316"/>
      <c r="Q316"/>
      <c r="R316"/>
    </row>
    <row r="317" spans="1:18">
      <c r="A317"/>
      <c r="B317"/>
      <c r="C317"/>
      <c r="D317"/>
      <c r="E317"/>
      <c r="F317"/>
      <c r="G317"/>
      <c r="H317"/>
      <c r="I317"/>
      <c r="J317"/>
      <c r="K317"/>
      <c r="L317"/>
      <c r="M317"/>
      <c r="N317"/>
      <c r="O317"/>
      <c r="P317"/>
      <c r="Q317"/>
      <c r="R317"/>
    </row>
    <row r="318" spans="1:18">
      <c r="A318"/>
      <c r="B318"/>
      <c r="C318"/>
      <c r="D318"/>
      <c r="E318"/>
      <c r="F318"/>
      <c r="G318"/>
      <c r="H318"/>
      <c r="I318"/>
      <c r="J318"/>
      <c r="K318"/>
      <c r="L318"/>
      <c r="M318"/>
      <c r="N318"/>
      <c r="O318"/>
      <c r="P318"/>
      <c r="Q318"/>
      <c r="R318"/>
    </row>
    <row r="319" spans="1:18">
      <c r="A319"/>
      <c r="B319"/>
      <c r="C319"/>
      <c r="D319"/>
      <c r="E319"/>
      <c r="F319"/>
      <c r="G319"/>
      <c r="H319"/>
      <c r="I319"/>
      <c r="J319"/>
      <c r="K319"/>
      <c r="L319"/>
      <c r="M319"/>
      <c r="N319"/>
      <c r="O319"/>
      <c r="P319"/>
      <c r="Q319"/>
      <c r="R319"/>
    </row>
    <row r="320" spans="1:18">
      <c r="A320"/>
      <c r="B320"/>
      <c r="C320"/>
      <c r="D320"/>
      <c r="E320"/>
      <c r="F320"/>
      <c r="G320"/>
      <c r="H320"/>
      <c r="I320"/>
      <c r="J320"/>
      <c r="K320"/>
      <c r="L320"/>
      <c r="M320"/>
      <c r="N320"/>
      <c r="O320"/>
      <c r="P320"/>
      <c r="Q320"/>
      <c r="R320"/>
    </row>
    <row r="321" spans="1:18">
      <c r="A321"/>
      <c r="B321"/>
      <c r="C321"/>
      <c r="D321"/>
      <c r="E321"/>
      <c r="F321"/>
      <c r="G321"/>
      <c r="H321"/>
      <c r="I321"/>
      <c r="J321"/>
      <c r="K321"/>
      <c r="L321"/>
      <c r="M321"/>
      <c r="N321"/>
      <c r="O321"/>
      <c r="P321"/>
      <c r="Q321"/>
      <c r="R321"/>
    </row>
    <row r="322" spans="1:18">
      <c r="A322"/>
      <c r="B322"/>
      <c r="C322"/>
      <c r="D322"/>
      <c r="E322"/>
      <c r="F322"/>
      <c r="G322"/>
      <c r="H322"/>
      <c r="I322"/>
      <c r="J322"/>
      <c r="K322"/>
      <c r="L322"/>
      <c r="M322"/>
      <c r="N322"/>
      <c r="O322"/>
      <c r="P322"/>
      <c r="Q322"/>
      <c r="R322"/>
    </row>
    <row r="323" spans="1:18">
      <c r="A323"/>
      <c r="B323"/>
      <c r="C323"/>
      <c r="D323"/>
      <c r="E323"/>
      <c r="F323"/>
      <c r="G323"/>
      <c r="H323"/>
      <c r="I323"/>
      <c r="J323"/>
      <c r="K323"/>
      <c r="L323"/>
      <c r="M323"/>
      <c r="N323"/>
      <c r="O323"/>
      <c r="P323"/>
      <c r="Q323"/>
      <c r="R323"/>
    </row>
    <row r="324" spans="1:18">
      <c r="A324"/>
      <c r="B324"/>
      <c r="C324"/>
      <c r="D324"/>
      <c r="E324"/>
      <c r="F324"/>
      <c r="G324"/>
      <c r="H324"/>
      <c r="I324"/>
      <c r="J324"/>
      <c r="K324"/>
      <c r="L324"/>
      <c r="M324"/>
      <c r="N324"/>
      <c r="O324"/>
      <c r="P324"/>
      <c r="Q324"/>
      <c r="R324"/>
    </row>
    <row r="325" spans="1:18">
      <c r="A325"/>
      <c r="B325"/>
      <c r="C325"/>
      <c r="D325"/>
      <c r="E325"/>
      <c r="F325"/>
      <c r="G325"/>
      <c r="H325"/>
      <c r="I325"/>
      <c r="J325"/>
      <c r="K325"/>
      <c r="L325"/>
      <c r="M325"/>
      <c r="N325"/>
      <c r="O325"/>
      <c r="P325"/>
      <c r="Q325"/>
      <c r="R325"/>
    </row>
    <row r="326" spans="1:18">
      <c r="A326"/>
      <c r="B326"/>
      <c r="C326"/>
      <c r="D326"/>
      <c r="E326"/>
      <c r="F326"/>
      <c r="G326"/>
      <c r="H326"/>
      <c r="I326"/>
      <c r="J326"/>
      <c r="K326"/>
      <c r="L326"/>
      <c r="M326"/>
      <c r="N326"/>
      <c r="O326"/>
      <c r="P326"/>
      <c r="Q326"/>
      <c r="R326"/>
    </row>
    <row r="327" spans="1:18">
      <c r="A327"/>
      <c r="B327"/>
      <c r="C327"/>
      <c r="D327"/>
      <c r="E327"/>
      <c r="F327"/>
      <c r="G327"/>
      <c r="H327"/>
      <c r="I327"/>
      <c r="J327"/>
      <c r="K327"/>
      <c r="L327"/>
      <c r="M327"/>
      <c r="N327"/>
      <c r="O327"/>
      <c r="P327"/>
      <c r="Q327"/>
      <c r="R327"/>
    </row>
    <row r="328" spans="1:18">
      <c r="A328"/>
      <c r="B328"/>
      <c r="C328"/>
      <c r="D328"/>
      <c r="E328"/>
      <c r="F328"/>
      <c r="G328"/>
      <c r="H328"/>
      <c r="I328"/>
      <c r="J328"/>
      <c r="K328"/>
      <c r="L328"/>
      <c r="M328"/>
      <c r="N328"/>
      <c r="O328"/>
      <c r="P328"/>
      <c r="Q328"/>
      <c r="R328"/>
    </row>
    <row r="329" spans="1:18">
      <c r="A329"/>
      <c r="B329"/>
      <c r="C329"/>
      <c r="D329"/>
      <c r="E329"/>
      <c r="F329"/>
      <c r="G329"/>
      <c r="H329"/>
      <c r="I329"/>
      <c r="J329"/>
      <c r="K329"/>
      <c r="L329"/>
      <c r="M329"/>
      <c r="N329"/>
      <c r="O329"/>
      <c r="P329"/>
      <c r="Q329"/>
      <c r="R329"/>
    </row>
    <row r="330" spans="1:18">
      <c r="A330"/>
      <c r="B330"/>
      <c r="C330"/>
      <c r="D330"/>
      <c r="E330"/>
      <c r="F330"/>
      <c r="G330"/>
      <c r="H330"/>
      <c r="I330"/>
      <c r="J330"/>
      <c r="K330"/>
      <c r="L330"/>
      <c r="M330"/>
      <c r="N330"/>
      <c r="O330"/>
      <c r="P330"/>
      <c r="Q330"/>
      <c r="R330"/>
    </row>
    <row r="331" spans="1:18">
      <c r="A331"/>
      <c r="B331"/>
      <c r="C331"/>
      <c r="D331"/>
      <c r="E331"/>
      <c r="F331"/>
      <c r="G331"/>
      <c r="H331"/>
      <c r="I331"/>
      <c r="J331"/>
      <c r="K331"/>
      <c r="L331"/>
      <c r="M331"/>
      <c r="N331"/>
      <c r="O331"/>
      <c r="P331"/>
      <c r="Q331"/>
      <c r="R331"/>
    </row>
    <row r="332" spans="1:18">
      <c r="A332"/>
      <c r="B332"/>
      <c r="C332"/>
      <c r="D332"/>
      <c r="E332"/>
      <c r="F332"/>
      <c r="G332"/>
      <c r="H332"/>
      <c r="I332"/>
      <c r="J332"/>
      <c r="K332"/>
      <c r="L332"/>
      <c r="M332"/>
      <c r="N332"/>
      <c r="O332"/>
      <c r="P332"/>
      <c r="Q332"/>
      <c r="R332"/>
    </row>
    <row r="333" spans="1:18">
      <c r="A333"/>
      <c r="B333"/>
      <c r="C333"/>
      <c r="D333"/>
      <c r="E333"/>
      <c r="F333"/>
      <c r="G333"/>
      <c r="H333"/>
      <c r="I333"/>
      <c r="J333"/>
      <c r="K333"/>
      <c r="L333"/>
      <c r="M333"/>
      <c r="N333"/>
      <c r="O333"/>
      <c r="P333"/>
      <c r="Q333"/>
      <c r="R333"/>
    </row>
    <row r="334" spans="1:18">
      <c r="A334"/>
      <c r="B334"/>
      <c r="C334"/>
      <c r="D334"/>
      <c r="E334"/>
      <c r="F334"/>
      <c r="G334"/>
      <c r="H334"/>
      <c r="I334"/>
      <c r="J334"/>
      <c r="K334"/>
      <c r="L334"/>
      <c r="M334"/>
      <c r="N334"/>
      <c r="O334"/>
      <c r="P334"/>
      <c r="Q334"/>
      <c r="R334"/>
    </row>
    <row r="335" spans="1:18">
      <c r="A335"/>
      <c r="B335"/>
      <c r="C335"/>
      <c r="D335"/>
      <c r="E335"/>
      <c r="F335"/>
      <c r="G335"/>
      <c r="H335"/>
      <c r="I335"/>
      <c r="J335"/>
      <c r="K335"/>
      <c r="L335"/>
      <c r="M335"/>
      <c r="N335"/>
      <c r="O335"/>
      <c r="P335"/>
      <c r="Q335"/>
      <c r="R335"/>
    </row>
    <row r="336" spans="1:18">
      <c r="A336"/>
      <c r="B336"/>
      <c r="C336"/>
      <c r="D336"/>
      <c r="E336"/>
      <c r="F336"/>
      <c r="G336"/>
      <c r="H336"/>
      <c r="I336"/>
      <c r="J336"/>
      <c r="K336"/>
      <c r="L336"/>
      <c r="M336"/>
      <c r="N336"/>
      <c r="O336"/>
      <c r="P336"/>
      <c r="Q336"/>
      <c r="R336"/>
    </row>
    <row r="337" spans="1:18">
      <c r="A337"/>
      <c r="B337"/>
      <c r="C337"/>
      <c r="D337"/>
      <c r="E337"/>
      <c r="F337"/>
      <c r="G337"/>
      <c r="H337"/>
      <c r="I337"/>
      <c r="J337"/>
      <c r="K337"/>
      <c r="L337"/>
      <c r="M337"/>
      <c r="N337"/>
      <c r="O337"/>
      <c r="P337"/>
      <c r="Q337"/>
      <c r="R337"/>
    </row>
    <row r="338" spans="1:18">
      <c r="A338"/>
      <c r="B338"/>
      <c r="C338"/>
      <c r="D338"/>
      <c r="E338"/>
      <c r="F338"/>
      <c r="G338"/>
      <c r="H338"/>
      <c r="I338"/>
      <c r="J338"/>
      <c r="K338"/>
      <c r="L338"/>
      <c r="M338"/>
      <c r="N338"/>
      <c r="O338"/>
      <c r="P338"/>
      <c r="Q338"/>
      <c r="R338"/>
    </row>
    <row r="339" spans="1:18">
      <c r="A339"/>
      <c r="B339"/>
      <c r="C339"/>
      <c r="D339"/>
      <c r="E339"/>
      <c r="F339"/>
      <c r="G339"/>
      <c r="H339"/>
      <c r="I339"/>
      <c r="J339"/>
      <c r="K339"/>
      <c r="L339"/>
      <c r="M339"/>
      <c r="N339"/>
      <c r="O339"/>
      <c r="P339"/>
      <c r="Q339"/>
      <c r="R339"/>
    </row>
    <row r="340" spans="1:18">
      <c r="A340"/>
      <c r="B340"/>
      <c r="C340"/>
      <c r="D340"/>
      <c r="E340"/>
      <c r="F340"/>
      <c r="G340"/>
      <c r="H340"/>
      <c r="I340"/>
      <c r="J340"/>
      <c r="K340"/>
      <c r="L340"/>
      <c r="M340"/>
      <c r="N340"/>
      <c r="O340"/>
      <c r="P340"/>
      <c r="Q340"/>
      <c r="R340"/>
    </row>
    <row r="341" spans="1:18">
      <c r="A341"/>
      <c r="B341"/>
      <c r="C341"/>
      <c r="D341"/>
      <c r="E341"/>
      <c r="F341"/>
      <c r="G341"/>
      <c r="H341"/>
      <c r="I341"/>
      <c r="J341"/>
      <c r="K341"/>
      <c r="L341"/>
      <c r="M341"/>
      <c r="N341"/>
      <c r="O341"/>
      <c r="P341"/>
      <c r="Q341"/>
      <c r="R341"/>
    </row>
    <row r="342" spans="1:18">
      <c r="A342"/>
      <c r="B342"/>
      <c r="C342"/>
      <c r="D342"/>
      <c r="E342"/>
      <c r="F342"/>
      <c r="G342"/>
      <c r="H342"/>
      <c r="I342"/>
      <c r="J342"/>
      <c r="K342"/>
      <c r="L342"/>
      <c r="M342"/>
      <c r="N342"/>
      <c r="O342"/>
      <c r="P342"/>
      <c r="Q342"/>
      <c r="R342"/>
    </row>
    <row r="343" spans="1:18">
      <c r="A343"/>
      <c r="B343"/>
      <c r="C343"/>
      <c r="D343"/>
      <c r="E343"/>
      <c r="F343"/>
      <c r="G343"/>
      <c r="H343"/>
      <c r="I343"/>
      <c r="J343"/>
      <c r="K343"/>
      <c r="L343"/>
      <c r="M343"/>
      <c r="N343"/>
      <c r="O343"/>
      <c r="P343"/>
      <c r="Q343"/>
      <c r="R343"/>
    </row>
    <row r="344" spans="1:18">
      <c r="A344"/>
      <c r="B344"/>
      <c r="C344"/>
      <c r="D344"/>
      <c r="E344"/>
      <c r="F344"/>
      <c r="G344"/>
      <c r="H344"/>
      <c r="I344"/>
      <c r="J344"/>
      <c r="K344"/>
      <c r="L344"/>
      <c r="M344"/>
      <c r="N344"/>
      <c r="O344"/>
      <c r="P344"/>
      <c r="Q344"/>
      <c r="R344"/>
    </row>
    <row r="345" spans="1:18">
      <c r="A345"/>
      <c r="B345"/>
      <c r="C345"/>
      <c r="D345"/>
      <c r="E345"/>
      <c r="F345"/>
      <c r="G345"/>
      <c r="H345"/>
      <c r="I345"/>
      <c r="J345"/>
      <c r="K345"/>
      <c r="L345"/>
      <c r="M345"/>
      <c r="N345"/>
      <c r="O345"/>
      <c r="P345"/>
      <c r="Q345"/>
      <c r="R345"/>
    </row>
    <row r="346" spans="1:18">
      <c r="A346"/>
      <c r="B346"/>
      <c r="C346"/>
      <c r="D346"/>
      <c r="E346"/>
      <c r="F346"/>
      <c r="G346"/>
      <c r="H346"/>
      <c r="I346"/>
      <c r="J346"/>
      <c r="K346"/>
      <c r="L346"/>
      <c r="M346"/>
      <c r="N346"/>
      <c r="O346"/>
      <c r="P346"/>
      <c r="Q346"/>
      <c r="R346"/>
    </row>
    <row r="347" spans="1:18">
      <c r="A347"/>
      <c r="B347"/>
      <c r="C347"/>
      <c r="D347"/>
      <c r="E347"/>
      <c r="F347"/>
      <c r="G347"/>
      <c r="H347"/>
      <c r="I347"/>
      <c r="J347"/>
      <c r="K347"/>
      <c r="L347"/>
      <c r="M347"/>
      <c r="N347"/>
      <c r="O347"/>
      <c r="P347"/>
      <c r="Q347"/>
      <c r="R347"/>
    </row>
    <row r="348" spans="1:18">
      <c r="A348"/>
      <c r="B348"/>
      <c r="C348"/>
      <c r="D348"/>
      <c r="E348"/>
      <c r="F348"/>
      <c r="G348"/>
      <c r="H348"/>
      <c r="I348"/>
      <c r="J348"/>
      <c r="K348"/>
      <c r="L348"/>
      <c r="M348"/>
      <c r="N348"/>
      <c r="O348"/>
      <c r="P348"/>
      <c r="Q348"/>
      <c r="R348"/>
    </row>
    <row r="349" spans="1:18">
      <c r="A349"/>
      <c r="B349"/>
      <c r="C349"/>
      <c r="D349"/>
      <c r="E349"/>
      <c r="F349"/>
      <c r="G349"/>
      <c r="H349"/>
      <c r="I349"/>
      <c r="J349"/>
      <c r="K349"/>
      <c r="L349"/>
      <c r="M349"/>
      <c r="N349"/>
      <c r="O349"/>
      <c r="P349"/>
      <c r="Q349"/>
      <c r="R349"/>
    </row>
    <row r="350" spans="1:18">
      <c r="A350"/>
      <c r="B350"/>
      <c r="C350"/>
      <c r="D350"/>
      <c r="E350"/>
      <c r="F350"/>
      <c r="G350"/>
      <c r="H350"/>
      <c r="I350"/>
      <c r="J350"/>
      <c r="K350"/>
      <c r="L350"/>
      <c r="M350"/>
      <c r="N350"/>
      <c r="O350"/>
      <c r="P350"/>
      <c r="Q350"/>
      <c r="R350"/>
    </row>
    <row r="351" spans="1:18">
      <c r="A351"/>
      <c r="B351"/>
      <c r="C351"/>
      <c r="D351"/>
      <c r="E351"/>
      <c r="F351"/>
      <c r="G351"/>
      <c r="H351"/>
      <c r="I351"/>
      <c r="J351"/>
      <c r="K351"/>
      <c r="L351"/>
      <c r="M351"/>
      <c r="N351"/>
      <c r="O351"/>
      <c r="P351"/>
      <c r="Q351"/>
      <c r="R351"/>
    </row>
    <row r="352" spans="1:18">
      <c r="A352"/>
      <c r="B352"/>
      <c r="C352"/>
      <c r="D352"/>
      <c r="E352"/>
      <c r="F352"/>
      <c r="G352"/>
      <c r="H352"/>
      <c r="I352"/>
      <c r="J352"/>
      <c r="K352"/>
      <c r="L352"/>
      <c r="M352"/>
      <c r="N352"/>
      <c r="O352"/>
      <c r="P352"/>
      <c r="Q352"/>
      <c r="R352"/>
    </row>
    <row r="353" spans="1:18">
      <c r="A353"/>
      <c r="B353"/>
      <c r="C353"/>
      <c r="D353"/>
      <c r="E353"/>
      <c r="F353"/>
      <c r="G353"/>
      <c r="H353"/>
      <c r="I353"/>
      <c r="J353"/>
      <c r="K353"/>
      <c r="L353"/>
      <c r="M353"/>
      <c r="N353"/>
      <c r="O353"/>
      <c r="P353"/>
      <c r="Q353"/>
      <c r="R353"/>
    </row>
    <row r="354" spans="1:18">
      <c r="A354"/>
      <c r="B354"/>
      <c r="C354"/>
      <c r="D354"/>
      <c r="E354"/>
      <c r="F354"/>
      <c r="G354"/>
      <c r="H354"/>
      <c r="I354"/>
      <c r="J354"/>
      <c r="K354"/>
      <c r="L354"/>
      <c r="M354"/>
      <c r="N354"/>
      <c r="O354"/>
      <c r="P354"/>
      <c r="Q354"/>
      <c r="R354"/>
    </row>
    <row r="355" spans="1:18">
      <c r="A355"/>
      <c r="B355"/>
      <c r="C355"/>
      <c r="D355"/>
      <c r="E355"/>
      <c r="F355"/>
      <c r="G355"/>
      <c r="H355"/>
      <c r="I355"/>
      <c r="J355"/>
      <c r="K355"/>
      <c r="L355"/>
      <c r="M355"/>
      <c r="N355"/>
      <c r="O355"/>
      <c r="P355"/>
      <c r="Q355"/>
      <c r="R355"/>
    </row>
    <row r="356" spans="1:18">
      <c r="A356"/>
      <c r="B356"/>
      <c r="C356"/>
      <c r="D356"/>
      <c r="E356"/>
      <c r="F356"/>
      <c r="G356"/>
      <c r="H356"/>
      <c r="I356"/>
      <c r="J356"/>
      <c r="K356"/>
      <c r="L356"/>
      <c r="M356"/>
      <c r="N356"/>
      <c r="O356"/>
      <c r="P356"/>
      <c r="Q356"/>
      <c r="R356"/>
    </row>
    <row r="357" spans="1:18">
      <c r="A357"/>
      <c r="B357"/>
      <c r="C357"/>
      <c r="D357"/>
      <c r="E357"/>
      <c r="F357"/>
      <c r="G357"/>
      <c r="H357"/>
      <c r="I357"/>
      <c r="J357"/>
      <c r="K357"/>
      <c r="L357"/>
      <c r="M357"/>
      <c r="N357"/>
      <c r="O357"/>
      <c r="P357"/>
      <c r="Q357"/>
      <c r="R357"/>
    </row>
    <row r="358" spans="1:18">
      <c r="A358"/>
      <c r="B358"/>
      <c r="C358"/>
      <c r="D358"/>
      <c r="E358"/>
      <c r="F358"/>
      <c r="G358"/>
      <c r="H358"/>
      <c r="I358"/>
      <c r="J358"/>
      <c r="K358"/>
      <c r="L358"/>
      <c r="M358"/>
      <c r="N358"/>
      <c r="O358"/>
      <c r="P358"/>
      <c r="Q358"/>
      <c r="R358"/>
    </row>
    <row r="359" spans="1:18">
      <c r="A359"/>
      <c r="B359"/>
      <c r="C359"/>
      <c r="D359"/>
      <c r="E359"/>
      <c r="F359"/>
      <c r="G359"/>
      <c r="H359"/>
      <c r="I359"/>
      <c r="J359"/>
      <c r="K359"/>
      <c r="L359"/>
      <c r="M359"/>
      <c r="N359"/>
      <c r="O359"/>
      <c r="P359"/>
      <c r="Q359"/>
      <c r="R359"/>
    </row>
    <row r="360" spans="1:18">
      <c r="A360"/>
      <c r="B360"/>
      <c r="C360"/>
      <c r="D360"/>
      <c r="E360"/>
      <c r="F360"/>
      <c r="G360"/>
      <c r="H360"/>
      <c r="I360"/>
      <c r="J360"/>
      <c r="K360"/>
      <c r="L360"/>
      <c r="M360"/>
      <c r="N360"/>
      <c r="O360"/>
      <c r="P360"/>
      <c r="Q360"/>
      <c r="R360"/>
    </row>
    <row r="361" spans="1:18">
      <c r="A361"/>
      <c r="B361"/>
      <c r="C361"/>
      <c r="D361"/>
      <c r="E361"/>
      <c r="F361"/>
      <c r="G361"/>
      <c r="H361"/>
      <c r="I361"/>
      <c r="J361"/>
      <c r="K361"/>
      <c r="L361"/>
      <c r="M361"/>
      <c r="N361"/>
      <c r="O361"/>
      <c r="P361"/>
      <c r="Q361"/>
      <c r="R361"/>
    </row>
    <row r="362" spans="1:18">
      <c r="A362"/>
      <c r="B362"/>
      <c r="C362"/>
      <c r="D362"/>
      <c r="E362"/>
      <c r="F362"/>
      <c r="G362"/>
      <c r="H362"/>
      <c r="I362"/>
      <c r="J362"/>
      <c r="K362"/>
      <c r="L362"/>
      <c r="M362"/>
      <c r="N362"/>
      <c r="O362"/>
      <c r="P362"/>
      <c r="Q362"/>
      <c r="R362"/>
    </row>
    <row r="363" spans="1:18">
      <c r="A363"/>
      <c r="B363"/>
      <c r="C363"/>
      <c r="D363"/>
      <c r="E363"/>
      <c r="F363"/>
      <c r="G363"/>
      <c r="H363"/>
      <c r="I363"/>
      <c r="J363"/>
      <c r="K363"/>
      <c r="L363"/>
      <c r="M363"/>
      <c r="N363"/>
      <c r="O363"/>
      <c r="P363"/>
      <c r="Q363"/>
      <c r="R363"/>
    </row>
    <row r="364" spans="1:18">
      <c r="A364"/>
      <c r="B364"/>
      <c r="C364"/>
      <c r="D364"/>
      <c r="E364"/>
      <c r="F364"/>
      <c r="G364"/>
      <c r="H364"/>
      <c r="I364"/>
      <c r="J364"/>
      <c r="K364"/>
      <c r="L364"/>
      <c r="M364"/>
      <c r="N364"/>
      <c r="O364"/>
      <c r="P364"/>
      <c r="Q364"/>
      <c r="R364"/>
    </row>
    <row r="365" spans="1:18">
      <c r="A365"/>
      <c r="B365"/>
      <c r="C365"/>
      <c r="D365"/>
      <c r="E365"/>
      <c r="F365"/>
      <c r="G365"/>
      <c r="H365"/>
      <c r="I365"/>
      <c r="J365"/>
      <c r="K365"/>
      <c r="L365"/>
      <c r="M365"/>
      <c r="N365"/>
      <c r="O365"/>
      <c r="P365"/>
      <c r="Q365"/>
      <c r="R365"/>
    </row>
    <row r="366" spans="1:18">
      <c r="A366"/>
      <c r="B366"/>
      <c r="C366"/>
      <c r="D366"/>
      <c r="E366"/>
      <c r="F366"/>
      <c r="G366"/>
      <c r="H366"/>
      <c r="I366"/>
      <c r="J366"/>
      <c r="K366"/>
      <c r="L366"/>
      <c r="M366"/>
      <c r="N366"/>
      <c r="O366"/>
      <c r="P366"/>
      <c r="Q366"/>
      <c r="R366"/>
    </row>
    <row r="367" spans="1:18">
      <c r="A367"/>
      <c r="B367"/>
      <c r="C367"/>
      <c r="D367"/>
      <c r="E367"/>
      <c r="F367"/>
      <c r="G367"/>
      <c r="H367"/>
      <c r="I367"/>
      <c r="J367"/>
      <c r="K367"/>
      <c r="L367"/>
      <c r="M367"/>
      <c r="N367"/>
      <c r="O367"/>
      <c r="P367"/>
      <c r="Q367"/>
      <c r="R367"/>
    </row>
    <row r="368" spans="1:18">
      <c r="A368"/>
      <c r="B368"/>
      <c r="C368"/>
      <c r="D368"/>
      <c r="E368"/>
      <c r="F368"/>
      <c r="G368"/>
      <c r="H368"/>
      <c r="I368"/>
      <c r="J368"/>
      <c r="K368"/>
      <c r="L368"/>
      <c r="M368"/>
      <c r="N368"/>
      <c r="O368"/>
      <c r="P368"/>
      <c r="Q368"/>
      <c r="R368"/>
    </row>
    <row r="369" spans="1:18">
      <c r="A369"/>
      <c r="B369"/>
      <c r="C369"/>
      <c r="D369"/>
      <c r="E369"/>
      <c r="F369"/>
      <c r="G369"/>
      <c r="H369"/>
      <c r="I369"/>
      <c r="J369"/>
      <c r="K369"/>
      <c r="L369"/>
      <c r="M369"/>
      <c r="N369"/>
      <c r="O369"/>
      <c r="P369"/>
      <c r="Q369"/>
      <c r="R369"/>
    </row>
    <row r="370" spans="1:18">
      <c r="A370"/>
      <c r="B370"/>
      <c r="C370"/>
      <c r="D370"/>
      <c r="E370"/>
      <c r="F370"/>
      <c r="G370"/>
      <c r="H370"/>
      <c r="I370"/>
      <c r="J370"/>
      <c r="K370"/>
      <c r="L370"/>
      <c r="M370"/>
      <c r="N370"/>
      <c r="O370"/>
      <c r="P370"/>
      <c r="Q370"/>
      <c r="R370"/>
    </row>
    <row r="371" spans="1:18">
      <c r="A371"/>
      <c r="B371"/>
      <c r="C371"/>
      <c r="D371"/>
      <c r="E371"/>
      <c r="F371"/>
      <c r="G371"/>
      <c r="H371"/>
      <c r="I371"/>
      <c r="J371"/>
      <c r="K371"/>
      <c r="L371"/>
      <c r="M371"/>
      <c r="N371"/>
      <c r="O371"/>
      <c r="P371"/>
      <c r="Q371"/>
      <c r="R371"/>
    </row>
    <row r="372" spans="1:18">
      <c r="A372"/>
      <c r="B372"/>
      <c r="C372"/>
      <c r="D372"/>
      <c r="E372"/>
      <c r="F372"/>
      <c r="G372"/>
      <c r="H372"/>
      <c r="I372"/>
      <c r="J372"/>
      <c r="K372"/>
      <c r="L372"/>
      <c r="M372"/>
      <c r="N372"/>
      <c r="O372"/>
      <c r="P372"/>
      <c r="Q372"/>
      <c r="R372"/>
    </row>
    <row r="373" spans="1:18">
      <c r="A373"/>
      <c r="B373"/>
      <c r="C373"/>
      <c r="D373"/>
      <c r="E373"/>
      <c r="F373"/>
      <c r="G373"/>
      <c r="H373"/>
      <c r="I373"/>
      <c r="J373"/>
      <c r="K373"/>
      <c r="L373"/>
      <c r="M373"/>
      <c r="N373"/>
      <c r="O373"/>
      <c r="P373"/>
      <c r="Q373"/>
      <c r="R373"/>
    </row>
    <row r="374" spans="1:18">
      <c r="A374"/>
      <c r="B374"/>
      <c r="C374"/>
      <c r="D374"/>
      <c r="E374"/>
      <c r="F374"/>
      <c r="G374"/>
      <c r="H374"/>
      <c r="I374"/>
      <c r="J374"/>
      <c r="K374"/>
      <c r="L374"/>
      <c r="M374"/>
      <c r="N374"/>
      <c r="O374"/>
      <c r="P374"/>
      <c r="Q374"/>
      <c r="R374"/>
    </row>
    <row r="375" spans="1:18">
      <c r="A375"/>
      <c r="B375"/>
      <c r="C375"/>
      <c r="D375"/>
      <c r="E375"/>
      <c r="F375"/>
      <c r="G375"/>
      <c r="H375"/>
      <c r="I375"/>
      <c r="J375"/>
      <c r="K375"/>
      <c r="L375"/>
      <c r="M375"/>
      <c r="N375"/>
      <c r="O375"/>
      <c r="P375"/>
      <c r="Q375"/>
      <c r="R375"/>
    </row>
    <row r="376" spans="1:18">
      <c r="A376"/>
      <c r="B376"/>
      <c r="C376"/>
      <c r="D376"/>
      <c r="E376"/>
      <c r="F376"/>
      <c r="G376"/>
      <c r="H376"/>
      <c r="I376"/>
      <c r="J376"/>
      <c r="K376"/>
      <c r="L376"/>
      <c r="M376"/>
      <c r="N376"/>
      <c r="O376"/>
      <c r="P376"/>
      <c r="Q376"/>
      <c r="R376"/>
    </row>
    <row r="377" spans="1:18">
      <c r="A377"/>
      <c r="B377"/>
      <c r="C377"/>
      <c r="D377"/>
      <c r="E377"/>
      <c r="F377"/>
      <c r="G377"/>
      <c r="H377"/>
      <c r="I377"/>
      <c r="J377"/>
      <c r="K377"/>
      <c r="L377"/>
      <c r="M377"/>
      <c r="N377"/>
      <c r="O377"/>
      <c r="P377"/>
      <c r="Q377"/>
      <c r="R377"/>
    </row>
    <row r="378" spans="1:18">
      <c r="A378"/>
      <c r="B378"/>
      <c r="C378"/>
      <c r="D378"/>
      <c r="E378"/>
      <c r="F378"/>
      <c r="G378"/>
      <c r="H378"/>
      <c r="I378"/>
      <c r="J378"/>
      <c r="K378"/>
      <c r="L378"/>
      <c r="M378"/>
      <c r="N378"/>
      <c r="O378"/>
      <c r="P378"/>
      <c r="Q378"/>
      <c r="R378"/>
    </row>
    <row r="379" spans="1:18">
      <c r="A379"/>
      <c r="B379"/>
      <c r="C379"/>
      <c r="D379"/>
      <c r="E379"/>
      <c r="F379"/>
      <c r="G379"/>
      <c r="H379"/>
      <c r="I379"/>
      <c r="J379"/>
      <c r="K379"/>
      <c r="L379"/>
      <c r="M379"/>
      <c r="N379"/>
      <c r="O379"/>
      <c r="P379"/>
      <c r="Q379"/>
      <c r="R379"/>
    </row>
    <row r="380" spans="1:18">
      <c r="A380"/>
      <c r="B380"/>
      <c r="C380"/>
      <c r="D380"/>
      <c r="E380"/>
      <c r="F380"/>
      <c r="G380"/>
      <c r="H380"/>
      <c r="I380"/>
      <c r="J380"/>
      <c r="K380"/>
      <c r="L380"/>
      <c r="M380"/>
      <c r="N380"/>
      <c r="O380"/>
      <c r="P380"/>
      <c r="Q380"/>
      <c r="R380"/>
    </row>
    <row r="381" spans="1:18">
      <c r="A381"/>
      <c r="B381"/>
      <c r="C381"/>
      <c r="D381"/>
      <c r="E381"/>
      <c r="F381"/>
      <c r="G381"/>
      <c r="H381"/>
      <c r="I381"/>
      <c r="J381"/>
      <c r="K381"/>
      <c r="L381"/>
      <c r="M381"/>
      <c r="N381"/>
      <c r="O381"/>
      <c r="P381"/>
      <c r="Q381"/>
      <c r="R381"/>
    </row>
    <row r="382" spans="1:18">
      <c r="A382"/>
      <c r="B382"/>
      <c r="C382"/>
      <c r="D382"/>
      <c r="E382"/>
      <c r="F382"/>
      <c r="G382"/>
      <c r="H382"/>
      <c r="I382"/>
      <c r="J382"/>
      <c r="K382"/>
      <c r="L382"/>
      <c r="M382"/>
      <c r="N382"/>
      <c r="O382"/>
      <c r="P382"/>
      <c r="Q382"/>
      <c r="R382"/>
    </row>
    <row r="383" spans="1:18">
      <c r="A383"/>
      <c r="B383"/>
      <c r="C383"/>
      <c r="D383"/>
      <c r="E383"/>
      <c r="F383"/>
      <c r="G383"/>
      <c r="H383"/>
      <c r="I383"/>
      <c r="J383"/>
      <c r="K383"/>
      <c r="L383"/>
      <c r="M383"/>
      <c r="N383"/>
      <c r="O383"/>
      <c r="P383"/>
      <c r="Q383"/>
      <c r="R383"/>
    </row>
    <row r="384" spans="1:18">
      <c r="A384"/>
      <c r="B384"/>
      <c r="C384"/>
      <c r="D384"/>
      <c r="E384"/>
      <c r="F384"/>
      <c r="G384"/>
      <c r="H384"/>
      <c r="I384"/>
      <c r="J384"/>
      <c r="K384"/>
      <c r="L384"/>
      <c r="M384"/>
      <c r="N384"/>
      <c r="O384"/>
      <c r="P384"/>
      <c r="Q384"/>
      <c r="R384"/>
    </row>
    <row r="385" spans="1:18">
      <c r="A385"/>
      <c r="B385"/>
      <c r="C385"/>
      <c r="D385"/>
      <c r="E385"/>
      <c r="F385"/>
      <c r="G385"/>
      <c r="H385"/>
      <c r="I385"/>
      <c r="J385"/>
      <c r="K385"/>
      <c r="L385"/>
      <c r="M385"/>
      <c r="N385"/>
      <c r="O385"/>
      <c r="P385"/>
      <c r="Q385"/>
      <c r="R385"/>
    </row>
    <row r="386" spans="1:18">
      <c r="A386"/>
      <c r="B386"/>
      <c r="C386"/>
      <c r="D386"/>
      <c r="E386"/>
      <c r="F386"/>
      <c r="G386"/>
      <c r="H386"/>
      <c r="I386"/>
      <c r="J386"/>
      <c r="K386"/>
      <c r="L386"/>
      <c r="M386"/>
      <c r="N386"/>
      <c r="O386"/>
      <c r="P386"/>
      <c r="Q386"/>
      <c r="R386"/>
    </row>
    <row r="387" spans="1:18">
      <c r="A387"/>
      <c r="B387"/>
      <c r="C387"/>
      <c r="D387"/>
      <c r="E387"/>
      <c r="F387"/>
      <c r="G387"/>
      <c r="H387"/>
      <c r="I387"/>
      <c r="J387"/>
      <c r="K387"/>
      <c r="L387"/>
      <c r="M387"/>
      <c r="N387"/>
      <c r="O387"/>
      <c r="P387"/>
      <c r="Q387"/>
      <c r="R387"/>
    </row>
    <row r="388" spans="1:18">
      <c r="A388"/>
      <c r="B388"/>
      <c r="C388"/>
      <c r="D388"/>
      <c r="E388"/>
      <c r="F388"/>
      <c r="G388"/>
      <c r="H388"/>
      <c r="I388"/>
      <c r="J388"/>
      <c r="K388"/>
      <c r="L388"/>
      <c r="M388"/>
      <c r="N388"/>
      <c r="O388"/>
      <c r="P388"/>
      <c r="Q388"/>
      <c r="R388"/>
    </row>
    <row r="389" spans="1:18">
      <c r="A389"/>
      <c r="B389"/>
      <c r="C389"/>
      <c r="D389"/>
      <c r="E389"/>
      <c r="F389"/>
      <c r="G389"/>
      <c r="H389"/>
      <c r="I389"/>
      <c r="J389"/>
      <c r="K389"/>
      <c r="L389"/>
      <c r="M389"/>
      <c r="N389"/>
      <c r="O389"/>
      <c r="P389"/>
      <c r="Q389"/>
      <c r="R389"/>
    </row>
    <row r="390" spans="1:18">
      <c r="A390"/>
      <c r="B390"/>
      <c r="C390"/>
      <c r="D390"/>
      <c r="E390"/>
      <c r="F390"/>
      <c r="G390"/>
      <c r="H390"/>
      <c r="I390"/>
      <c r="J390"/>
      <c r="K390"/>
      <c r="L390"/>
      <c r="M390"/>
      <c r="N390"/>
      <c r="O390"/>
      <c r="P390"/>
      <c r="Q390"/>
      <c r="R390"/>
    </row>
    <row r="391" spans="1:18">
      <c r="A391"/>
      <c r="B391"/>
      <c r="C391"/>
      <c r="D391"/>
      <c r="E391"/>
      <c r="F391"/>
      <c r="G391"/>
      <c r="H391"/>
      <c r="I391"/>
      <c r="J391"/>
      <c r="K391"/>
      <c r="L391"/>
      <c r="M391"/>
      <c r="N391"/>
      <c r="O391"/>
      <c r="P391"/>
      <c r="Q391"/>
      <c r="R391"/>
    </row>
    <row r="392" spans="1:18">
      <c r="A392"/>
      <c r="B392"/>
      <c r="C392"/>
      <c r="D392"/>
      <c r="E392"/>
      <c r="F392"/>
      <c r="G392"/>
      <c r="H392"/>
      <c r="I392"/>
      <c r="J392"/>
      <c r="K392"/>
      <c r="L392"/>
      <c r="M392"/>
      <c r="N392"/>
      <c r="O392"/>
      <c r="P392"/>
      <c r="Q392"/>
      <c r="R392"/>
    </row>
    <row r="393" spans="1:18">
      <c r="A393"/>
      <c r="B393"/>
      <c r="C393"/>
      <c r="D393"/>
      <c r="E393"/>
      <c r="F393"/>
      <c r="G393"/>
      <c r="H393"/>
      <c r="I393"/>
      <c r="J393"/>
      <c r="K393"/>
      <c r="L393"/>
      <c r="M393"/>
      <c r="N393"/>
      <c r="O393"/>
      <c r="P393"/>
      <c r="Q393"/>
      <c r="R393"/>
    </row>
    <row r="394" spans="1:18">
      <c r="A394"/>
      <c r="B394"/>
      <c r="C394"/>
      <c r="D394"/>
      <c r="E394"/>
      <c r="F394"/>
      <c r="G394"/>
      <c r="H394"/>
      <c r="I394"/>
      <c r="J394"/>
      <c r="K394"/>
      <c r="L394"/>
      <c r="M394"/>
      <c r="N394"/>
      <c r="O394"/>
      <c r="P394"/>
      <c r="Q394"/>
      <c r="R394"/>
    </row>
    <row r="395" spans="1:18">
      <c r="A395"/>
      <c r="B395"/>
      <c r="C395"/>
      <c r="D395"/>
      <c r="E395"/>
      <c r="F395"/>
      <c r="G395"/>
      <c r="H395"/>
      <c r="I395"/>
      <c r="J395"/>
      <c r="K395"/>
      <c r="L395"/>
      <c r="M395"/>
      <c r="N395"/>
      <c r="O395"/>
      <c r="P395"/>
      <c r="Q395"/>
      <c r="R395"/>
    </row>
    <row r="396" spans="1:18">
      <c r="A396"/>
      <c r="B396"/>
      <c r="C396"/>
      <c r="D396"/>
      <c r="E396"/>
      <c r="F396"/>
      <c r="G396"/>
      <c r="H396"/>
      <c r="I396"/>
      <c r="J396"/>
      <c r="K396"/>
      <c r="L396"/>
      <c r="M396"/>
      <c r="N396"/>
      <c r="O396"/>
      <c r="P396"/>
      <c r="Q396"/>
      <c r="R396"/>
    </row>
    <row r="397" spans="1:18">
      <c r="A397"/>
      <c r="B397"/>
      <c r="C397"/>
      <c r="D397"/>
      <c r="E397"/>
      <c r="F397"/>
      <c r="G397"/>
      <c r="H397"/>
      <c r="I397"/>
      <c r="J397"/>
      <c r="K397"/>
      <c r="L397"/>
      <c r="M397"/>
      <c r="N397"/>
      <c r="O397"/>
      <c r="P397"/>
      <c r="Q397"/>
      <c r="R397"/>
    </row>
    <row r="398" spans="1:18">
      <c r="A398"/>
      <c r="B398"/>
      <c r="C398"/>
      <c r="D398"/>
      <c r="E398"/>
      <c r="F398"/>
      <c r="G398"/>
      <c r="H398"/>
      <c r="I398"/>
      <c r="J398"/>
      <c r="K398"/>
      <c r="L398"/>
      <c r="M398"/>
      <c r="N398"/>
      <c r="O398"/>
      <c r="P398"/>
      <c r="Q398"/>
      <c r="R398"/>
    </row>
    <row r="399" spans="1:18">
      <c r="A399"/>
      <c r="B399"/>
      <c r="C399"/>
      <c r="D399"/>
      <c r="E399"/>
      <c r="F399"/>
      <c r="G399"/>
      <c r="H399"/>
      <c r="I399"/>
      <c r="J399"/>
      <c r="K399"/>
      <c r="L399"/>
      <c r="M399"/>
      <c r="N399"/>
      <c r="O399"/>
      <c r="P399"/>
      <c r="Q399"/>
      <c r="R399"/>
    </row>
    <row r="400" spans="1:18">
      <c r="A400"/>
      <c r="B400"/>
      <c r="C400"/>
      <c r="D400"/>
      <c r="E400"/>
      <c r="F400"/>
      <c r="G400"/>
      <c r="H400"/>
      <c r="I400"/>
      <c r="J400"/>
      <c r="K400"/>
      <c r="L400"/>
      <c r="M400"/>
      <c r="N400"/>
      <c r="O400"/>
      <c r="P400"/>
      <c r="Q400"/>
      <c r="R400"/>
    </row>
    <row r="401" spans="1:18">
      <c r="A401"/>
      <c r="B401"/>
      <c r="C401"/>
      <c r="D401"/>
      <c r="E401"/>
      <c r="F401"/>
      <c r="G401"/>
      <c r="H401"/>
      <c r="I401"/>
      <c r="J401"/>
      <c r="K401"/>
      <c r="L401"/>
      <c r="M401"/>
      <c r="N401"/>
      <c r="O401"/>
      <c r="P401"/>
      <c r="Q401"/>
      <c r="R401"/>
    </row>
    <row r="402" spans="1:18">
      <c r="A402"/>
      <c r="B402"/>
      <c r="C402"/>
      <c r="D402"/>
      <c r="E402"/>
      <c r="F402"/>
      <c r="G402"/>
      <c r="H402"/>
      <c r="I402"/>
      <c r="J402"/>
      <c r="K402"/>
      <c r="L402"/>
      <c r="M402"/>
      <c r="N402"/>
      <c r="O402"/>
      <c r="P402"/>
      <c r="Q402"/>
      <c r="R402"/>
    </row>
  </sheetData>
  <sheetProtection selectLockedCells="1" selectUnlockedCells="1"/>
  <pageMargins left="0.75" right="0.75" top="1" bottom="1" header="0.5" footer="0.5"/>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8" tint="-0.249977111117893"/>
  </sheetPr>
  <dimension ref="B1:AJ401"/>
  <sheetViews>
    <sheetView topLeftCell="T1" zoomScale="75" zoomScaleNormal="75" workbookViewId="0">
      <selection activeCell="A13" sqref="A13"/>
    </sheetView>
  </sheetViews>
  <sheetFormatPr baseColWidth="10" defaultColWidth="15.1640625" defaultRowHeight="13"/>
  <cols>
    <col min="1" max="1" width="0" style="176" hidden="1" customWidth="1"/>
    <col min="2" max="2" width="15.1640625" style="165"/>
    <col min="3" max="4" width="15.1640625" style="165" hidden="1" customWidth="1"/>
    <col min="5" max="5" width="21.1640625" style="165" hidden="1" customWidth="1"/>
    <col min="6" max="6" width="50.83203125" style="165" hidden="1" customWidth="1"/>
    <col min="7" max="7" width="9.83203125" style="165" hidden="1" customWidth="1"/>
    <col min="8" max="8" width="11" style="165" hidden="1" customWidth="1"/>
    <col min="9" max="9" width="17.83203125" style="165" hidden="1" customWidth="1"/>
    <col min="10" max="10" width="35.33203125" style="165" hidden="1" customWidth="1"/>
    <col min="11" max="11" width="25.83203125" style="165" hidden="1" customWidth="1"/>
    <col min="12" max="12" width="19.6640625" style="165" customWidth="1"/>
    <col min="13" max="20" width="7.83203125" style="165" customWidth="1"/>
    <col min="21" max="21" width="25.5" style="165" customWidth="1"/>
    <col min="22" max="22" width="15.1640625" style="165" customWidth="1"/>
    <col min="23" max="23" width="16" style="165" customWidth="1"/>
    <col min="24" max="24" width="15.1640625" style="165" customWidth="1"/>
    <col min="25" max="25" width="12.6640625" style="165" customWidth="1"/>
    <col min="26" max="26" width="9.5" style="165" customWidth="1"/>
    <col min="27" max="27" width="14.33203125" style="165" customWidth="1"/>
    <col min="28" max="28" width="15.1640625" style="176" customWidth="1"/>
    <col min="29" max="29" width="16.83203125" style="176" customWidth="1"/>
    <col min="30" max="36" width="15.1640625" style="176" customWidth="1"/>
    <col min="37" max="16384" width="15.1640625" style="176"/>
  </cols>
  <sheetData>
    <row r="1" spans="2:36" s="148" customFormat="1"/>
    <row r="2" spans="2:36" s="150" customFormat="1">
      <c r="B2" s="149" t="s">
        <v>469</v>
      </c>
      <c r="D2" s="149"/>
    </row>
    <row r="3" spans="2:36" s="152" customFormat="1">
      <c r="B3" s="151"/>
      <c r="G3" s="153"/>
      <c r="H3" s="153"/>
      <c r="I3" s="153"/>
      <c r="J3" s="184"/>
      <c r="K3" s="185"/>
      <c r="L3" s="154"/>
      <c r="M3" s="1685" t="s">
        <v>112</v>
      </c>
      <c r="N3" s="1686"/>
      <c r="O3" s="1685" t="s">
        <v>98</v>
      </c>
      <c r="P3" s="1687"/>
      <c r="Q3" s="1686"/>
      <c r="R3" s="1685" t="s">
        <v>99</v>
      </c>
      <c r="S3" s="1687"/>
      <c r="T3" s="1687"/>
      <c r="U3" s="192"/>
      <c r="AD3" s="155"/>
      <c r="AE3" s="155"/>
      <c r="AF3" s="193"/>
      <c r="AG3" s="156"/>
      <c r="AH3" s="157"/>
      <c r="AI3" s="158"/>
      <c r="AJ3" s="159"/>
    </row>
    <row r="4" spans="2:36" s="152" customFormat="1" ht="20" customHeight="1">
      <c r="B4" s="151"/>
      <c r="D4" s="160"/>
      <c r="E4" s="160"/>
      <c r="F4" s="161"/>
      <c r="G4" s="160"/>
      <c r="H4" s="160"/>
      <c r="I4" s="160"/>
      <c r="J4" s="186"/>
      <c r="K4" s="187"/>
      <c r="L4" s="162" t="s">
        <v>121</v>
      </c>
      <c r="M4" s="1540"/>
      <c r="N4" s="1540"/>
      <c r="O4" s="1540"/>
      <c r="P4" s="1540"/>
      <c r="Q4" s="1540"/>
      <c r="R4" s="1540"/>
      <c r="S4" s="1540"/>
      <c r="T4" s="1688"/>
      <c r="U4" s="192"/>
      <c r="AD4" s="155"/>
      <c r="AE4" s="155"/>
      <c r="AF4" s="193"/>
      <c r="AG4" s="156"/>
      <c r="AH4" s="157"/>
      <c r="AI4" s="158"/>
      <c r="AJ4" s="159"/>
    </row>
    <row r="5" spans="2:36" s="152" customFormat="1" ht="20" customHeight="1">
      <c r="B5" s="151"/>
      <c r="D5" s="160"/>
      <c r="E5" s="160"/>
      <c r="F5" s="161"/>
      <c r="G5" s="160"/>
      <c r="H5" s="160"/>
      <c r="I5" s="160"/>
      <c r="J5" s="186"/>
      <c r="K5" s="187"/>
      <c r="L5" s="162" t="s">
        <v>122</v>
      </c>
      <c r="M5" s="1540"/>
      <c r="N5" s="1540"/>
      <c r="O5" s="1540"/>
      <c r="P5" s="1540"/>
      <c r="Q5" s="1540"/>
      <c r="R5" s="1540"/>
      <c r="S5" s="1540"/>
      <c r="T5" s="1688"/>
      <c r="U5" s="192"/>
      <c r="AD5" s="155"/>
      <c r="AE5" s="155"/>
      <c r="AF5" s="193"/>
      <c r="AG5" s="156"/>
      <c r="AH5" s="157"/>
      <c r="AI5" s="158"/>
      <c r="AJ5" s="159"/>
    </row>
    <row r="6" spans="2:36" s="152" customFormat="1" ht="20" customHeight="1">
      <c r="B6" s="151"/>
      <c r="D6" s="160"/>
      <c r="E6" s="160"/>
      <c r="F6" s="161"/>
      <c r="G6" s="160"/>
      <c r="H6" s="160"/>
      <c r="I6" s="160"/>
      <c r="J6" s="186"/>
      <c r="K6" s="187"/>
      <c r="L6" s="162" t="s">
        <v>123</v>
      </c>
      <c r="M6" s="1540"/>
      <c r="N6" s="1540"/>
      <c r="O6" s="1540"/>
      <c r="P6" s="1540"/>
      <c r="Q6" s="1540"/>
      <c r="R6" s="1540"/>
      <c r="S6" s="1540"/>
      <c r="T6" s="1688"/>
      <c r="U6" s="192"/>
      <c r="AD6" s="155"/>
      <c r="AE6" s="155"/>
      <c r="AF6" s="193"/>
      <c r="AG6" s="156"/>
      <c r="AH6" s="157"/>
      <c r="AI6" s="158"/>
      <c r="AJ6" s="159"/>
    </row>
    <row r="7" spans="2:36" s="152" customFormat="1" ht="20" customHeight="1">
      <c r="B7" s="151"/>
      <c r="D7" s="160"/>
      <c r="E7" s="160"/>
      <c r="F7" s="161"/>
      <c r="G7" s="160"/>
      <c r="H7" s="160"/>
      <c r="I7" s="160"/>
      <c r="J7" s="186"/>
      <c r="K7" s="187"/>
      <c r="L7" s="162" t="s">
        <v>124</v>
      </c>
      <c r="M7" s="1540"/>
      <c r="N7" s="1540"/>
      <c r="O7" s="1540"/>
      <c r="P7" s="1540"/>
      <c r="Q7" s="1540"/>
      <c r="R7" s="1540"/>
      <c r="S7" s="1540"/>
      <c r="T7" s="1688"/>
      <c r="U7" s="192"/>
      <c r="AD7" s="155"/>
      <c r="AE7" s="155"/>
      <c r="AF7" s="193"/>
      <c r="AG7" s="156"/>
      <c r="AH7" s="157"/>
      <c r="AI7" s="158"/>
      <c r="AJ7" s="159"/>
    </row>
    <row r="8" spans="2:36" s="152" customFormat="1" ht="20" customHeight="1">
      <c r="B8" s="151"/>
      <c r="D8" s="160"/>
      <c r="E8" s="160"/>
      <c r="F8" s="161"/>
      <c r="G8" s="160"/>
      <c r="H8" s="160"/>
      <c r="I8" s="160"/>
      <c r="J8" s="186"/>
      <c r="K8" s="187"/>
      <c r="L8" s="162" t="s">
        <v>125</v>
      </c>
      <c r="M8" s="1540"/>
      <c r="N8" s="1540"/>
      <c r="O8" s="1540"/>
      <c r="P8" s="1540"/>
      <c r="Q8" s="1540"/>
      <c r="R8" s="1540"/>
      <c r="S8" s="1540"/>
      <c r="T8" s="1688"/>
      <c r="U8" s="192"/>
      <c r="AD8" s="155"/>
      <c r="AE8" s="155"/>
      <c r="AF8" s="193"/>
      <c r="AG8" s="156"/>
      <c r="AH8" s="157"/>
      <c r="AI8" s="158"/>
      <c r="AJ8" s="159"/>
    </row>
    <row r="9" spans="2:36" s="152" customFormat="1" ht="20" customHeight="1">
      <c r="B9" s="151"/>
      <c r="D9" s="160"/>
      <c r="E9" s="160"/>
      <c r="F9" s="161"/>
      <c r="G9" s="160"/>
      <c r="H9" s="160"/>
      <c r="I9" s="160"/>
      <c r="J9" s="186"/>
      <c r="K9" s="187"/>
      <c r="L9" s="162" t="s">
        <v>126</v>
      </c>
      <c r="M9" s="1540"/>
      <c r="N9" s="1540"/>
      <c r="O9" s="1540"/>
      <c r="P9" s="1540"/>
      <c r="Q9" s="1540"/>
      <c r="R9" s="1540"/>
      <c r="S9" s="1540"/>
      <c r="T9" s="1688"/>
      <c r="U9" s="192"/>
      <c r="AD9" s="155"/>
      <c r="AE9" s="155"/>
      <c r="AF9" s="193"/>
      <c r="AG9" s="156"/>
      <c r="AH9" s="157"/>
      <c r="AI9" s="158"/>
      <c r="AJ9" s="159"/>
    </row>
    <row r="10" spans="2:36" s="152" customFormat="1" ht="20" customHeight="1">
      <c r="B10" s="151"/>
      <c r="D10" s="160"/>
      <c r="E10" s="160"/>
      <c r="F10" s="161"/>
      <c r="G10" s="160"/>
      <c r="H10" s="160"/>
      <c r="I10" s="160"/>
      <c r="J10" s="186"/>
      <c r="K10" s="187"/>
      <c r="L10" s="162" t="s">
        <v>127</v>
      </c>
      <c r="M10" s="1540"/>
      <c r="N10" s="1540"/>
      <c r="O10" s="1540"/>
      <c r="P10" s="1540"/>
      <c r="Q10" s="1540"/>
      <c r="R10" s="1540"/>
      <c r="S10" s="1540"/>
      <c r="T10" s="1688"/>
      <c r="U10" s="192"/>
      <c r="AD10" s="155"/>
      <c r="AE10" s="155"/>
      <c r="AF10" s="193"/>
      <c r="AG10" s="156"/>
      <c r="AH10" s="157"/>
      <c r="AI10" s="158"/>
      <c r="AJ10" s="159"/>
    </row>
    <row r="11" spans="2:36" s="152" customFormat="1" ht="20" customHeight="1">
      <c r="B11" s="151"/>
      <c r="D11" s="160"/>
      <c r="E11" s="160"/>
      <c r="F11" s="161"/>
      <c r="G11" s="160"/>
      <c r="H11" s="160"/>
      <c r="I11" s="160"/>
      <c r="J11" s="186"/>
      <c r="K11" s="187"/>
      <c r="L11" s="162" t="s">
        <v>128</v>
      </c>
      <c r="M11" s="1540"/>
      <c r="N11" s="1540"/>
      <c r="O11" s="1540"/>
      <c r="P11" s="1540"/>
      <c r="Q11" s="1540"/>
      <c r="R11" s="1540"/>
      <c r="S11" s="1540"/>
      <c r="T11" s="1688"/>
      <c r="U11" s="192"/>
      <c r="AD11" s="155"/>
      <c r="AE11" s="155"/>
      <c r="AF11" s="193"/>
      <c r="AG11" s="156"/>
      <c r="AH11" s="157"/>
      <c r="AI11" s="158"/>
      <c r="AJ11" s="159"/>
    </row>
    <row r="12" spans="2:36" s="152" customFormat="1" ht="20" customHeight="1">
      <c r="B12" s="151"/>
      <c r="D12" s="160"/>
      <c r="E12" s="160"/>
      <c r="F12" s="161"/>
      <c r="G12" s="160"/>
      <c r="H12" s="160"/>
      <c r="I12" s="160"/>
      <c r="J12" s="186"/>
      <c r="K12" s="187"/>
      <c r="L12" s="162" t="s">
        <v>129</v>
      </c>
      <c r="M12" s="1540"/>
      <c r="N12" s="1540"/>
      <c r="O12" s="1540"/>
      <c r="P12" s="1540"/>
      <c r="Q12" s="1540"/>
      <c r="R12" s="1540"/>
      <c r="S12" s="1540"/>
      <c r="T12" s="1688"/>
      <c r="U12" s="192"/>
      <c r="AD12" s="155"/>
      <c r="AE12" s="155"/>
      <c r="AF12" s="193"/>
      <c r="AG12" s="156"/>
      <c r="AH12" s="157"/>
      <c r="AI12" s="158"/>
      <c r="AJ12" s="159"/>
    </row>
    <row r="13" spans="2:36" s="152" customFormat="1" ht="20" customHeight="1">
      <c r="B13" s="151"/>
      <c r="D13" s="160"/>
      <c r="E13" s="160"/>
      <c r="F13" s="161"/>
      <c r="G13" s="160"/>
      <c r="H13" s="160"/>
      <c r="I13" s="160"/>
      <c r="J13" s="188"/>
      <c r="K13" s="189"/>
      <c r="L13" s="163" t="s">
        <v>130</v>
      </c>
      <c r="M13" s="1689"/>
      <c r="N13" s="1689"/>
      <c r="O13" s="1689"/>
      <c r="P13" s="1689"/>
      <c r="Q13" s="1689"/>
      <c r="R13" s="1689"/>
      <c r="S13" s="1689"/>
      <c r="T13" s="1690"/>
      <c r="U13" s="192"/>
      <c r="AD13" s="155"/>
      <c r="AE13" s="155"/>
      <c r="AF13" s="193"/>
      <c r="AG13" s="156"/>
      <c r="AH13" s="157"/>
      <c r="AI13" s="158"/>
      <c r="AJ13" s="159"/>
    </row>
    <row r="14" spans="2:36" s="150" customFormat="1"/>
    <row r="15" spans="2:36" s="148" customFormat="1"/>
    <row r="16" spans="2:36" s="148" customFormat="1"/>
    <row r="17" spans="2:36" s="150" customFormat="1">
      <c r="B17" s="149" t="s">
        <v>470</v>
      </c>
      <c r="D17" s="149"/>
    </row>
    <row r="18" spans="2:36" s="165" customFormat="1">
      <c r="B18" s="164"/>
      <c r="G18" s="153"/>
      <c r="H18" s="153"/>
      <c r="I18" s="153"/>
      <c r="J18" s="177"/>
      <c r="K18" s="178"/>
      <c r="L18" s="166"/>
      <c r="M18" s="1685" t="s">
        <v>112</v>
      </c>
      <c r="N18" s="1686"/>
      <c r="O18" s="1685" t="s">
        <v>98</v>
      </c>
      <c r="P18" s="1687"/>
      <c r="Q18" s="1686"/>
      <c r="R18" s="1685" t="s">
        <v>99</v>
      </c>
      <c r="S18" s="1687"/>
      <c r="T18" s="1687"/>
      <c r="U18" s="157"/>
      <c r="V18" s="152"/>
      <c r="W18" s="152"/>
      <c r="X18" s="152"/>
      <c r="Y18" s="152"/>
      <c r="Z18" s="152"/>
      <c r="AA18" s="152"/>
      <c r="AB18" s="152"/>
      <c r="AC18" s="152"/>
      <c r="AD18" s="155"/>
      <c r="AE18" s="167"/>
      <c r="AF18" s="194"/>
      <c r="AG18" s="156"/>
      <c r="AH18" s="157"/>
      <c r="AI18" s="156"/>
      <c r="AJ18" s="168"/>
    </row>
    <row r="19" spans="2:36" s="165" customFormat="1" ht="28">
      <c r="B19" s="164"/>
      <c r="G19" s="153"/>
      <c r="H19" s="153"/>
      <c r="I19" s="153"/>
      <c r="J19" s="179"/>
      <c r="K19" s="180"/>
      <c r="L19" s="169" t="s">
        <v>131</v>
      </c>
      <c r="M19" s="1540"/>
      <c r="N19" s="1540"/>
      <c r="O19" s="1540"/>
      <c r="P19" s="1540"/>
      <c r="Q19" s="1540"/>
      <c r="R19" s="1540"/>
      <c r="S19" s="1540"/>
      <c r="T19" s="1688"/>
      <c r="U19" s="157"/>
      <c r="V19" s="152"/>
      <c r="W19" s="152"/>
      <c r="X19" s="152"/>
      <c r="Y19" s="152"/>
      <c r="Z19" s="152"/>
      <c r="AA19" s="152"/>
      <c r="AB19" s="152"/>
      <c r="AC19" s="152"/>
      <c r="AD19" s="155"/>
      <c r="AE19" s="167"/>
      <c r="AF19" s="194"/>
      <c r="AG19" s="156"/>
      <c r="AH19" s="157"/>
      <c r="AI19" s="156"/>
      <c r="AJ19" s="168"/>
    </row>
    <row r="20" spans="2:36" s="165" customFormat="1" ht="14">
      <c r="B20" s="164"/>
      <c r="G20" s="153"/>
      <c r="H20" s="153"/>
      <c r="I20" s="153"/>
      <c r="J20" s="179"/>
      <c r="K20" s="180"/>
      <c r="L20" s="170" t="s">
        <v>132</v>
      </c>
      <c r="M20" s="1540"/>
      <c r="N20" s="1540"/>
      <c r="O20" s="1540"/>
      <c r="P20" s="1540"/>
      <c r="Q20" s="1540"/>
      <c r="R20" s="1540"/>
      <c r="S20" s="1540"/>
      <c r="T20" s="1688"/>
      <c r="U20" s="157"/>
      <c r="V20" s="152"/>
      <c r="W20" s="152"/>
      <c r="X20" s="152"/>
      <c r="Y20" s="152"/>
      <c r="Z20" s="152"/>
      <c r="AA20" s="152"/>
      <c r="AB20" s="152"/>
      <c r="AC20" s="152"/>
      <c r="AD20" s="155"/>
      <c r="AE20" s="167"/>
      <c r="AF20" s="194"/>
      <c r="AG20" s="156"/>
      <c r="AH20" s="157"/>
      <c r="AI20" s="156"/>
      <c r="AJ20" s="168"/>
    </row>
    <row r="21" spans="2:36" s="165" customFormat="1" ht="28">
      <c r="B21" s="164"/>
      <c r="G21" s="153"/>
      <c r="H21" s="153"/>
      <c r="I21" s="153"/>
      <c r="J21" s="179"/>
      <c r="K21" s="180"/>
      <c r="L21" s="170" t="s">
        <v>133</v>
      </c>
      <c r="M21" s="1540"/>
      <c r="N21" s="1540"/>
      <c r="O21" s="1540"/>
      <c r="P21" s="1540"/>
      <c r="Q21" s="1540"/>
      <c r="R21" s="1540"/>
      <c r="S21" s="1540"/>
      <c r="T21" s="1688"/>
      <c r="U21" s="157"/>
      <c r="V21" s="152"/>
      <c r="W21" s="152"/>
      <c r="X21" s="152"/>
      <c r="Y21" s="152"/>
      <c r="Z21" s="152"/>
      <c r="AA21" s="152"/>
      <c r="AB21" s="152"/>
      <c r="AC21" s="152"/>
      <c r="AD21" s="155"/>
      <c r="AE21" s="167"/>
      <c r="AF21" s="194"/>
      <c r="AG21" s="156"/>
      <c r="AH21" s="157"/>
      <c r="AI21" s="156"/>
      <c r="AJ21" s="168"/>
    </row>
    <row r="22" spans="2:36" s="165" customFormat="1" ht="14">
      <c r="B22" s="164"/>
      <c r="G22" s="153"/>
      <c r="H22" s="153"/>
      <c r="I22" s="153"/>
      <c r="J22" s="179"/>
      <c r="K22" s="180"/>
      <c r="L22" s="170" t="s">
        <v>134</v>
      </c>
      <c r="M22" s="1540"/>
      <c r="N22" s="1540"/>
      <c r="O22" s="1540"/>
      <c r="P22" s="1540"/>
      <c r="Q22" s="1540"/>
      <c r="R22" s="1540"/>
      <c r="S22" s="1540"/>
      <c r="T22" s="1688"/>
      <c r="U22" s="157"/>
      <c r="V22" s="152"/>
      <c r="W22" s="152"/>
      <c r="X22" s="152"/>
      <c r="Y22" s="152"/>
      <c r="Z22" s="152"/>
      <c r="AA22" s="152"/>
      <c r="AB22" s="152"/>
      <c r="AC22" s="152"/>
      <c r="AD22" s="155"/>
      <c r="AE22" s="167"/>
      <c r="AF22" s="194"/>
      <c r="AG22" s="156"/>
      <c r="AH22" s="157"/>
      <c r="AI22" s="156"/>
      <c r="AJ22" s="168"/>
    </row>
    <row r="23" spans="2:36" s="165" customFormat="1" ht="14">
      <c r="B23" s="164"/>
      <c r="G23" s="153"/>
      <c r="H23" s="153"/>
      <c r="I23" s="153"/>
      <c r="J23" s="179"/>
      <c r="K23" s="180"/>
      <c r="L23" s="170" t="s">
        <v>135</v>
      </c>
      <c r="M23" s="1540"/>
      <c r="N23" s="1540"/>
      <c r="O23" s="1540"/>
      <c r="P23" s="1540"/>
      <c r="Q23" s="1540"/>
      <c r="R23" s="1540"/>
      <c r="S23" s="1540"/>
      <c r="T23" s="1688"/>
      <c r="U23" s="157"/>
      <c r="V23" s="152"/>
      <c r="W23" s="152"/>
      <c r="X23" s="152"/>
      <c r="Y23" s="152"/>
      <c r="Z23" s="152"/>
      <c r="AA23" s="152"/>
      <c r="AB23" s="152"/>
      <c r="AC23" s="152"/>
      <c r="AD23" s="155"/>
      <c r="AE23" s="167"/>
      <c r="AF23" s="194"/>
      <c r="AG23" s="156"/>
      <c r="AH23" s="157"/>
      <c r="AI23" s="156"/>
      <c r="AJ23" s="168"/>
    </row>
    <row r="24" spans="2:36" s="165" customFormat="1" ht="42">
      <c r="B24" s="164"/>
      <c r="G24" s="153"/>
      <c r="H24" s="153"/>
      <c r="I24" s="153"/>
      <c r="J24" s="179"/>
      <c r="K24" s="180"/>
      <c r="L24" s="170" t="s">
        <v>136</v>
      </c>
      <c r="M24" s="1540"/>
      <c r="N24" s="1540"/>
      <c r="O24" s="1540"/>
      <c r="P24" s="1540"/>
      <c r="Q24" s="1540"/>
      <c r="R24" s="1540"/>
      <c r="S24" s="1540"/>
      <c r="T24" s="1688"/>
      <c r="U24" s="157"/>
      <c r="V24" s="152"/>
      <c r="W24" s="152"/>
      <c r="X24" s="152"/>
      <c r="Y24" s="152"/>
      <c r="Z24" s="152"/>
      <c r="AA24" s="152"/>
      <c r="AB24" s="152"/>
      <c r="AC24" s="152"/>
      <c r="AD24" s="155"/>
      <c r="AE24" s="167"/>
      <c r="AF24" s="194"/>
      <c r="AG24" s="156"/>
      <c r="AH24" s="157"/>
      <c r="AI24" s="156"/>
      <c r="AJ24" s="168"/>
    </row>
    <row r="25" spans="2:36" s="165" customFormat="1" ht="14">
      <c r="B25" s="164"/>
      <c r="G25" s="153"/>
      <c r="H25" s="153"/>
      <c r="I25" s="153"/>
      <c r="J25" s="179"/>
      <c r="K25" s="181"/>
      <c r="L25" s="171" t="s">
        <v>137</v>
      </c>
      <c r="M25" s="1540"/>
      <c r="N25" s="1540"/>
      <c r="O25" s="1540"/>
      <c r="P25" s="1540"/>
      <c r="Q25" s="1540"/>
      <c r="R25" s="1540"/>
      <c r="S25" s="1540"/>
      <c r="T25" s="1688"/>
      <c r="U25" s="157"/>
      <c r="V25" s="152"/>
      <c r="W25" s="152"/>
      <c r="X25" s="152"/>
      <c r="Y25" s="152"/>
      <c r="Z25" s="152"/>
      <c r="AA25" s="152"/>
      <c r="AB25" s="152"/>
      <c r="AC25" s="152"/>
      <c r="AD25" s="155"/>
      <c r="AE25" s="167"/>
      <c r="AF25" s="194"/>
      <c r="AG25" s="156"/>
      <c r="AH25" s="157"/>
      <c r="AI25" s="156"/>
      <c r="AJ25" s="168"/>
    </row>
    <row r="26" spans="2:36" s="165" customFormat="1" ht="14">
      <c r="B26" s="164"/>
      <c r="G26" s="153"/>
      <c r="H26" s="153"/>
      <c r="I26" s="153"/>
      <c r="J26" s="182"/>
      <c r="K26" s="183"/>
      <c r="L26" s="172" t="s">
        <v>138</v>
      </c>
      <c r="M26" s="173"/>
      <c r="N26" s="173"/>
      <c r="O26" s="173"/>
      <c r="P26" s="173"/>
      <c r="Q26" s="173"/>
      <c r="R26" s="173"/>
      <c r="S26" s="173"/>
      <c r="T26" s="173"/>
      <c r="U26" s="157"/>
      <c r="V26" s="152"/>
      <c r="W26" s="152"/>
      <c r="X26" s="152"/>
      <c r="Y26" s="152"/>
      <c r="Z26" s="152"/>
      <c r="AA26" s="152"/>
      <c r="AB26" s="152"/>
      <c r="AC26" s="152"/>
      <c r="AD26" s="155"/>
      <c r="AE26" s="167"/>
      <c r="AF26" s="194"/>
      <c r="AG26" s="156"/>
      <c r="AH26" s="157"/>
      <c r="AI26" s="156"/>
      <c r="AJ26" s="168"/>
    </row>
    <row r="27" spans="2:36" s="174" customFormat="1">
      <c r="B27" s="150"/>
      <c r="C27" s="150"/>
      <c r="D27" s="150"/>
      <c r="E27" s="150"/>
      <c r="F27" s="150"/>
      <c r="G27" s="150"/>
      <c r="H27" s="150"/>
      <c r="I27" s="150"/>
      <c r="J27" s="150"/>
      <c r="K27" s="150"/>
      <c r="L27" s="150"/>
      <c r="M27" s="150"/>
      <c r="N27" s="150"/>
      <c r="O27" s="150"/>
      <c r="P27" s="150"/>
      <c r="Q27" s="150"/>
      <c r="R27" s="150"/>
      <c r="S27" s="150"/>
      <c r="T27" s="150"/>
      <c r="U27" s="150"/>
      <c r="V27" s="150"/>
      <c r="W27" s="150"/>
      <c r="X27" s="150"/>
      <c r="Y27" s="150"/>
      <c r="Z27" s="150"/>
      <c r="AA27" s="150"/>
    </row>
    <row r="28" spans="2:36" s="175" customFormat="1">
      <c r="B28" s="148"/>
      <c r="C28" s="148"/>
      <c r="D28" s="148"/>
      <c r="E28" s="148"/>
      <c r="F28" s="148"/>
      <c r="G28" s="148"/>
      <c r="H28" s="148"/>
      <c r="I28" s="148"/>
      <c r="J28" s="148"/>
      <c r="K28" s="148"/>
      <c r="L28" s="148"/>
      <c r="M28" s="148"/>
      <c r="N28" s="148"/>
      <c r="O28" s="148"/>
      <c r="P28" s="148"/>
      <c r="Q28" s="148"/>
      <c r="R28" s="148"/>
      <c r="S28" s="148"/>
      <c r="T28" s="148"/>
      <c r="U28" s="148"/>
      <c r="V28" s="148"/>
      <c r="W28" s="148"/>
      <c r="X28" s="148"/>
      <c r="Y28" s="148"/>
      <c r="Z28" s="148"/>
      <c r="AA28" s="148"/>
    </row>
    <row r="29" spans="2:36" s="175" customFormat="1">
      <c r="B29" s="148"/>
      <c r="C29" s="148"/>
      <c r="D29" s="148"/>
      <c r="E29" s="148"/>
      <c r="F29" s="148"/>
      <c r="G29" s="148"/>
      <c r="H29" s="148"/>
      <c r="I29" s="148"/>
      <c r="J29" s="148"/>
      <c r="K29" s="148"/>
      <c r="L29" s="148"/>
      <c r="M29" s="148"/>
      <c r="N29" s="148"/>
      <c r="O29" s="148"/>
      <c r="P29" s="148"/>
      <c r="Q29" s="148"/>
      <c r="R29" s="148"/>
      <c r="S29" s="148"/>
      <c r="T29" s="148"/>
      <c r="U29" s="148"/>
      <c r="V29" s="148"/>
      <c r="W29" s="148"/>
      <c r="X29" s="148"/>
      <c r="Y29" s="148"/>
      <c r="Z29" s="148"/>
      <c r="AA29" s="148"/>
    </row>
    <row r="30" spans="2:36" s="175" customFormat="1">
      <c r="B30" s="148"/>
      <c r="C30" s="148"/>
      <c r="D30" s="148"/>
      <c r="E30" s="148"/>
      <c r="F30" s="148"/>
      <c r="G30" s="148"/>
      <c r="H30" s="148"/>
      <c r="I30" s="148"/>
      <c r="J30" s="148"/>
      <c r="K30" s="148"/>
      <c r="L30" s="148"/>
      <c r="M30" s="148"/>
      <c r="N30" s="148"/>
      <c r="O30" s="148"/>
      <c r="P30" s="148"/>
      <c r="Q30" s="148"/>
      <c r="R30" s="148"/>
      <c r="S30" s="148"/>
      <c r="T30" s="148"/>
      <c r="U30" s="148"/>
      <c r="V30" s="148"/>
      <c r="W30" s="148"/>
      <c r="X30" s="148"/>
      <c r="Y30" s="148"/>
      <c r="Z30" s="148"/>
      <c r="AA30" s="148"/>
    </row>
    <row r="31" spans="2:36" s="175" customFormat="1">
      <c r="B31" s="148"/>
      <c r="C31" s="148"/>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row>
    <row r="32" spans="2:36" s="175" customFormat="1">
      <c r="B32" s="148"/>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row>
    <row r="33" spans="2:27" s="175" customFormat="1">
      <c r="B33" s="148"/>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row>
    <row r="34" spans="2:27" s="175" customFormat="1">
      <c r="B34" s="148"/>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row>
    <row r="35" spans="2:27" s="175" customFormat="1">
      <c r="B35" s="148"/>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row>
    <row r="36" spans="2:27" s="175" customFormat="1">
      <c r="B36" s="148"/>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row>
    <row r="37" spans="2:27" s="175" customFormat="1">
      <c r="B37" s="148"/>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row>
    <row r="38" spans="2:27" s="175" customFormat="1">
      <c r="B38" s="148"/>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row>
    <row r="39" spans="2:27" s="175" customFormat="1">
      <c r="B39" s="148"/>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row>
    <row r="40" spans="2:27" s="175" customFormat="1">
      <c r="B40" s="148"/>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row>
    <row r="41" spans="2:27" s="175" customFormat="1">
      <c r="B41" s="148"/>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row>
    <row r="42" spans="2:27" s="175" customFormat="1">
      <c r="B42" s="148"/>
      <c r="C42" s="148"/>
      <c r="D42" s="148"/>
      <c r="E42" s="148"/>
      <c r="F42" s="148"/>
      <c r="G42" s="148"/>
      <c r="H42" s="148"/>
      <c r="I42" s="148"/>
      <c r="J42" s="148"/>
      <c r="K42" s="148"/>
      <c r="L42" s="148"/>
      <c r="M42" s="148"/>
      <c r="N42" s="148"/>
      <c r="O42" s="148"/>
      <c r="P42" s="148"/>
      <c r="Q42" s="148"/>
      <c r="R42" s="148"/>
      <c r="S42" s="148"/>
      <c r="T42" s="148"/>
      <c r="U42" s="148"/>
      <c r="V42" s="148"/>
      <c r="W42" s="148"/>
      <c r="X42" s="148"/>
      <c r="Y42" s="148"/>
      <c r="Z42" s="148"/>
      <c r="AA42" s="148"/>
    </row>
    <row r="43" spans="2:27" s="175" customFormat="1">
      <c r="B43" s="148"/>
      <c r="C43" s="148"/>
      <c r="D43" s="148"/>
      <c r="E43" s="148"/>
      <c r="F43" s="148"/>
      <c r="G43" s="148"/>
      <c r="H43" s="148"/>
      <c r="I43" s="148"/>
      <c r="J43" s="148"/>
      <c r="K43" s="148"/>
      <c r="L43" s="148"/>
      <c r="M43" s="148"/>
      <c r="N43" s="148"/>
      <c r="O43" s="148"/>
      <c r="P43" s="148"/>
      <c r="Q43" s="148"/>
      <c r="R43" s="148"/>
      <c r="S43" s="148"/>
      <c r="T43" s="148"/>
      <c r="U43" s="148"/>
      <c r="V43" s="148"/>
      <c r="W43" s="148"/>
      <c r="X43" s="148"/>
      <c r="Y43" s="148"/>
      <c r="Z43" s="148"/>
      <c r="AA43" s="148"/>
    </row>
    <row r="44" spans="2:27" s="175" customFormat="1">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8"/>
    </row>
    <row r="45" spans="2:27" s="175" customFormat="1">
      <c r="B45" s="148"/>
      <c r="C45" s="148"/>
      <c r="D45" s="148"/>
      <c r="E45" s="148"/>
      <c r="F45" s="148"/>
      <c r="G45" s="148"/>
      <c r="H45" s="148"/>
      <c r="I45" s="148"/>
      <c r="J45" s="148"/>
      <c r="K45" s="148"/>
      <c r="L45" s="148"/>
      <c r="M45" s="148"/>
      <c r="N45" s="148"/>
      <c r="O45" s="148"/>
      <c r="P45" s="148"/>
      <c r="Q45" s="148"/>
      <c r="R45" s="148"/>
      <c r="S45" s="148"/>
      <c r="T45" s="148"/>
      <c r="U45" s="148"/>
      <c r="V45" s="148"/>
      <c r="W45" s="148"/>
      <c r="X45" s="148"/>
      <c r="Y45" s="148"/>
      <c r="Z45" s="148"/>
      <c r="AA45" s="148"/>
    </row>
    <row r="46" spans="2:27" s="175" customFormat="1">
      <c r="B46" s="148"/>
      <c r="C46" s="148"/>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48"/>
    </row>
    <row r="47" spans="2:27" s="175" customFormat="1">
      <c r="B47" s="148"/>
      <c r="C47" s="148"/>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148"/>
    </row>
    <row r="48" spans="2:27" s="175" customFormat="1">
      <c r="B48" s="148"/>
      <c r="C48" s="148"/>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148"/>
    </row>
    <row r="49" spans="2:27" s="175" customFormat="1">
      <c r="B49" s="148"/>
      <c r="C49" s="148"/>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148"/>
    </row>
    <row r="50" spans="2:27" s="175" customFormat="1">
      <c r="B50" s="148"/>
      <c r="C50" s="148"/>
      <c r="D50" s="148"/>
      <c r="E50" s="148"/>
      <c r="F50" s="148"/>
      <c r="G50" s="148"/>
      <c r="H50" s="148"/>
      <c r="I50" s="148"/>
      <c r="J50" s="148"/>
      <c r="K50" s="148"/>
      <c r="L50" s="148"/>
      <c r="M50" s="148"/>
      <c r="N50" s="148"/>
      <c r="O50" s="148"/>
      <c r="P50" s="148"/>
      <c r="Q50" s="148"/>
      <c r="R50" s="148"/>
      <c r="S50" s="148"/>
      <c r="T50" s="148"/>
      <c r="U50" s="148"/>
      <c r="V50" s="148"/>
      <c r="W50" s="148"/>
      <c r="X50" s="148"/>
      <c r="Y50" s="148"/>
      <c r="Z50" s="148"/>
      <c r="AA50" s="148"/>
    </row>
    <row r="51" spans="2:27" s="175" customFormat="1">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row>
    <row r="52" spans="2:27" s="175" customFormat="1">
      <c r="B52" s="148"/>
      <c r="C52" s="148"/>
      <c r="D52" s="148"/>
      <c r="E52" s="148"/>
      <c r="F52" s="148"/>
      <c r="G52" s="148"/>
      <c r="H52" s="148"/>
      <c r="I52" s="148"/>
      <c r="J52" s="148"/>
      <c r="K52" s="148"/>
      <c r="L52" s="148"/>
      <c r="M52" s="148"/>
      <c r="N52" s="148"/>
      <c r="O52" s="148"/>
      <c r="P52" s="148"/>
      <c r="Q52" s="148"/>
      <c r="R52" s="148"/>
      <c r="S52" s="148"/>
      <c r="T52" s="148"/>
      <c r="U52" s="148"/>
      <c r="V52" s="148"/>
      <c r="W52" s="148"/>
      <c r="X52" s="148"/>
      <c r="Y52" s="148"/>
      <c r="Z52" s="148"/>
      <c r="AA52" s="148"/>
    </row>
    <row r="53" spans="2:27" s="175" customFormat="1">
      <c r="B53" s="148"/>
      <c r="C53" s="148"/>
      <c r="D53" s="148"/>
      <c r="E53" s="148"/>
      <c r="F53" s="148"/>
      <c r="G53" s="148"/>
      <c r="H53" s="148"/>
      <c r="I53" s="148"/>
      <c r="J53" s="148"/>
      <c r="K53" s="148"/>
      <c r="L53" s="148"/>
      <c r="M53" s="148"/>
      <c r="N53" s="148"/>
      <c r="O53" s="148"/>
      <c r="P53" s="148"/>
      <c r="Q53" s="148"/>
      <c r="R53" s="148"/>
      <c r="S53" s="148"/>
      <c r="T53" s="148"/>
      <c r="U53" s="148"/>
      <c r="V53" s="148"/>
      <c r="W53" s="148"/>
      <c r="X53" s="148"/>
      <c r="Y53" s="148"/>
      <c r="Z53" s="148"/>
      <c r="AA53" s="148"/>
    </row>
    <row r="54" spans="2:27" s="175" customFormat="1">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row>
    <row r="55" spans="2:27" s="175" customFormat="1">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row>
    <row r="56" spans="2:27" s="175" customFormat="1">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row>
    <row r="57" spans="2:27" s="175" customFormat="1">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row>
    <row r="58" spans="2:27" s="175" customFormat="1" ht="15.5" customHeight="1">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row>
    <row r="59" spans="2:27" s="175" customFormat="1" ht="15.5" customHeight="1">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row>
    <row r="60" spans="2:27" s="175" customFormat="1">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row>
    <row r="61" spans="2:27" s="175" customFormat="1">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row>
    <row r="62" spans="2:27" s="175" customFormat="1">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row>
    <row r="63" spans="2:27" s="175" customFormat="1">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row>
    <row r="64" spans="2:27" s="175" customFormat="1">
      <c r="B64" s="148"/>
      <c r="C64" s="148"/>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8"/>
    </row>
    <row r="65" spans="2:27" s="175" customFormat="1">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row>
    <row r="66" spans="2:27" s="175" customFormat="1">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48"/>
      <c r="AA66" s="148"/>
    </row>
    <row r="67" spans="2:27" s="175" customFormat="1">
      <c r="B67" s="148"/>
      <c r="C67" s="148"/>
      <c r="D67" s="148"/>
      <c r="E67" s="148"/>
      <c r="F67" s="148"/>
      <c r="G67" s="148"/>
      <c r="H67" s="148"/>
      <c r="I67" s="148"/>
      <c r="J67" s="148"/>
      <c r="K67" s="148"/>
      <c r="L67" s="148"/>
      <c r="M67" s="148"/>
      <c r="N67" s="148"/>
      <c r="O67" s="148"/>
      <c r="P67" s="148"/>
      <c r="Q67" s="148"/>
      <c r="R67" s="148"/>
      <c r="S67" s="148"/>
      <c r="T67" s="148"/>
      <c r="U67" s="148"/>
      <c r="V67" s="148"/>
      <c r="W67" s="148"/>
      <c r="X67" s="148"/>
      <c r="Y67" s="148"/>
      <c r="Z67" s="148"/>
      <c r="AA67" s="148"/>
    </row>
    <row r="68" spans="2:27" s="175" customFormat="1">
      <c r="B68" s="148"/>
      <c r="C68" s="148"/>
      <c r="D68" s="148"/>
      <c r="E68" s="148"/>
      <c r="F68" s="148"/>
      <c r="G68" s="148"/>
      <c r="H68" s="148"/>
      <c r="I68" s="148"/>
      <c r="J68" s="148"/>
      <c r="K68" s="148"/>
      <c r="L68" s="148"/>
      <c r="M68" s="148"/>
      <c r="N68" s="148"/>
      <c r="O68" s="148"/>
      <c r="P68" s="148"/>
      <c r="Q68" s="148"/>
      <c r="R68" s="148"/>
      <c r="S68" s="148"/>
      <c r="T68" s="148"/>
      <c r="U68" s="148"/>
      <c r="V68" s="148"/>
      <c r="W68" s="148"/>
      <c r="X68" s="148"/>
      <c r="Y68" s="148"/>
      <c r="Z68" s="148"/>
      <c r="AA68" s="148"/>
    </row>
    <row r="69" spans="2:27" s="175" customFormat="1">
      <c r="B69" s="148"/>
      <c r="C69" s="148"/>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48"/>
    </row>
    <row r="70" spans="2:27" s="175" customFormat="1">
      <c r="B70" s="148"/>
      <c r="C70" s="148"/>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148"/>
    </row>
    <row r="71" spans="2:27" s="175" customFormat="1">
      <c r="B71" s="148"/>
      <c r="C71" s="148"/>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148"/>
    </row>
    <row r="72" spans="2:27" s="175" customFormat="1">
      <c r="B72" s="148"/>
      <c r="C72" s="148"/>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148"/>
    </row>
    <row r="73" spans="2:27" s="175" customFormat="1">
      <c r="B73" s="148"/>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148"/>
    </row>
    <row r="74" spans="2:27" s="175" customFormat="1">
      <c r="B74" s="148"/>
      <c r="C74" s="148"/>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148"/>
    </row>
    <row r="75" spans="2:27" s="175" customFormat="1">
      <c r="B75" s="148"/>
      <c r="C75" s="148"/>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148"/>
    </row>
    <row r="76" spans="2:27" s="175" customFormat="1">
      <c r="B76" s="148"/>
      <c r="C76" s="148"/>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148"/>
    </row>
    <row r="77" spans="2:27" s="175" customFormat="1">
      <c r="B77" s="148"/>
      <c r="C77" s="14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48"/>
    </row>
    <row r="78" spans="2:27" s="175" customFormat="1">
      <c r="B78" s="148"/>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row>
    <row r="79" spans="2:27" s="175" customFormat="1">
      <c r="B79" s="148"/>
      <c r="C79" s="148"/>
      <c r="D79" s="148"/>
      <c r="E79" s="148"/>
      <c r="F79" s="148"/>
      <c r="G79" s="148"/>
      <c r="H79" s="148"/>
      <c r="I79" s="148"/>
      <c r="J79" s="148"/>
      <c r="K79" s="148"/>
      <c r="L79" s="148"/>
      <c r="M79" s="148"/>
      <c r="N79" s="148"/>
      <c r="O79" s="148"/>
      <c r="P79" s="148"/>
      <c r="Q79" s="148"/>
      <c r="R79" s="148"/>
      <c r="S79" s="148"/>
      <c r="T79" s="148"/>
      <c r="U79" s="148"/>
      <c r="V79" s="148"/>
      <c r="W79" s="148"/>
      <c r="X79" s="148"/>
      <c r="Y79" s="148"/>
      <c r="Z79" s="148"/>
      <c r="AA79" s="148"/>
    </row>
    <row r="80" spans="2:27" s="175" customFormat="1">
      <c r="B80" s="148"/>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row>
    <row r="81" spans="2:27" s="175" customFormat="1">
      <c r="B81" s="148"/>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row>
    <row r="82" spans="2:27" s="175" customFormat="1">
      <c r="B82" s="148"/>
      <c r="C82" s="148"/>
      <c r="D82" s="148"/>
      <c r="E82" s="148"/>
      <c r="F82" s="148"/>
      <c r="G82" s="148"/>
      <c r="H82" s="148"/>
      <c r="I82" s="148"/>
      <c r="J82" s="148"/>
      <c r="K82" s="148"/>
      <c r="L82" s="148"/>
      <c r="M82" s="148"/>
      <c r="N82" s="148"/>
      <c r="O82" s="148"/>
      <c r="P82" s="148"/>
      <c r="Q82" s="148"/>
      <c r="R82" s="148"/>
      <c r="S82" s="148"/>
      <c r="T82" s="148"/>
      <c r="U82" s="148"/>
      <c r="V82" s="148"/>
      <c r="W82" s="148"/>
      <c r="X82" s="148"/>
      <c r="Y82" s="148"/>
      <c r="Z82" s="148"/>
      <c r="AA82" s="148"/>
    </row>
    <row r="83" spans="2:27" s="175" customFormat="1">
      <c r="B83" s="148"/>
      <c r="C83" s="148"/>
      <c r="D83" s="148"/>
      <c r="E83" s="148"/>
      <c r="F83" s="148"/>
      <c r="G83" s="148"/>
      <c r="H83" s="148"/>
      <c r="I83" s="148"/>
      <c r="J83" s="148"/>
      <c r="K83" s="148"/>
      <c r="L83" s="148"/>
      <c r="M83" s="148"/>
      <c r="N83" s="148"/>
      <c r="O83" s="148"/>
      <c r="P83" s="148"/>
      <c r="Q83" s="148"/>
      <c r="R83" s="148"/>
      <c r="S83" s="148"/>
      <c r="T83" s="148"/>
      <c r="U83" s="148"/>
      <c r="V83" s="148"/>
      <c r="W83" s="148"/>
      <c r="X83" s="148"/>
      <c r="Y83" s="148"/>
      <c r="Z83" s="148"/>
      <c r="AA83" s="148"/>
    </row>
    <row r="84" spans="2:27" s="175" customFormat="1">
      <c r="B84" s="148"/>
      <c r="C84" s="148"/>
      <c r="D84" s="148"/>
      <c r="E84" s="148"/>
      <c r="F84" s="148"/>
      <c r="G84" s="148"/>
      <c r="H84" s="148"/>
      <c r="I84" s="148"/>
      <c r="J84" s="148"/>
      <c r="K84" s="148"/>
      <c r="L84" s="148"/>
      <c r="M84" s="148"/>
      <c r="N84" s="148"/>
      <c r="O84" s="148"/>
      <c r="P84" s="148"/>
      <c r="Q84" s="148"/>
      <c r="R84" s="148"/>
      <c r="S84" s="148"/>
      <c r="T84" s="148"/>
      <c r="U84" s="148"/>
      <c r="V84" s="148"/>
      <c r="W84" s="148"/>
      <c r="X84" s="148"/>
      <c r="Y84" s="148"/>
      <c r="Z84" s="148"/>
      <c r="AA84" s="148"/>
    </row>
    <row r="85" spans="2:27" s="175" customFormat="1">
      <c r="B85" s="148"/>
      <c r="C85" s="148"/>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148"/>
    </row>
    <row r="86" spans="2:27" s="175" customFormat="1">
      <c r="B86" s="148"/>
      <c r="C86" s="148"/>
      <c r="D86" s="148"/>
      <c r="E86" s="148"/>
      <c r="F86" s="148"/>
      <c r="G86" s="148"/>
      <c r="H86" s="148"/>
      <c r="I86" s="148"/>
      <c r="J86" s="148"/>
      <c r="K86" s="148"/>
      <c r="L86" s="148"/>
      <c r="M86" s="148"/>
      <c r="N86" s="148"/>
      <c r="O86" s="148"/>
      <c r="P86" s="148"/>
      <c r="Q86" s="148"/>
      <c r="R86" s="148"/>
      <c r="S86" s="148"/>
      <c r="T86" s="148"/>
      <c r="U86" s="148"/>
      <c r="V86" s="148"/>
      <c r="W86" s="148"/>
      <c r="X86" s="148"/>
      <c r="Y86" s="148"/>
      <c r="Z86" s="148"/>
      <c r="AA86" s="148"/>
    </row>
    <row r="87" spans="2:27" s="175" customFormat="1">
      <c r="B87" s="148"/>
      <c r="C87" s="148"/>
      <c r="D87" s="148"/>
      <c r="E87" s="148"/>
      <c r="F87" s="148"/>
      <c r="G87" s="148"/>
      <c r="H87" s="148"/>
      <c r="I87" s="148"/>
      <c r="J87" s="148"/>
      <c r="K87" s="148"/>
      <c r="L87" s="148"/>
      <c r="M87" s="148"/>
      <c r="N87" s="148"/>
      <c r="O87" s="148"/>
      <c r="P87" s="148"/>
      <c r="Q87" s="148"/>
      <c r="R87" s="148"/>
      <c r="S87" s="148"/>
      <c r="T87" s="148"/>
      <c r="U87" s="148"/>
      <c r="V87" s="148"/>
      <c r="W87" s="148"/>
      <c r="X87" s="148"/>
      <c r="Y87" s="148"/>
      <c r="Z87" s="148"/>
      <c r="AA87" s="148"/>
    </row>
    <row r="88" spans="2:27" s="175" customFormat="1">
      <c r="B88" s="148"/>
      <c r="C88" s="148"/>
      <c r="D88" s="148"/>
      <c r="E88" s="148"/>
      <c r="F88" s="148"/>
      <c r="G88" s="148"/>
      <c r="H88" s="148"/>
      <c r="I88" s="148"/>
      <c r="J88" s="148"/>
      <c r="K88" s="148"/>
      <c r="L88" s="148"/>
      <c r="M88" s="148"/>
      <c r="N88" s="148"/>
      <c r="O88" s="148"/>
      <c r="P88" s="148"/>
      <c r="Q88" s="148"/>
      <c r="R88" s="148"/>
      <c r="S88" s="148"/>
      <c r="T88" s="148"/>
      <c r="U88" s="148"/>
      <c r="V88" s="148"/>
      <c r="W88" s="148"/>
      <c r="X88" s="148"/>
      <c r="Y88" s="148"/>
      <c r="Z88" s="148"/>
      <c r="AA88" s="148"/>
    </row>
    <row r="89" spans="2:27" s="175" customFormat="1">
      <c r="B89" s="148"/>
      <c r="C89" s="148"/>
      <c r="D89" s="148"/>
      <c r="E89" s="148"/>
      <c r="F89" s="148"/>
      <c r="G89" s="148"/>
      <c r="H89" s="148"/>
      <c r="I89" s="148"/>
      <c r="J89" s="148"/>
      <c r="K89" s="148"/>
      <c r="L89" s="148"/>
      <c r="M89" s="148"/>
      <c r="N89" s="148"/>
      <c r="O89" s="148"/>
      <c r="P89" s="148"/>
      <c r="Q89" s="148"/>
      <c r="R89" s="148"/>
      <c r="S89" s="148"/>
      <c r="T89" s="148"/>
      <c r="U89" s="148"/>
      <c r="V89" s="148"/>
      <c r="W89" s="148"/>
      <c r="X89" s="148"/>
      <c r="Y89" s="148"/>
      <c r="Z89" s="148"/>
      <c r="AA89" s="148"/>
    </row>
    <row r="90" spans="2:27" s="175" customFormat="1">
      <c r="B90" s="148"/>
      <c r="C90" s="148"/>
      <c r="D90" s="148"/>
      <c r="E90" s="148"/>
      <c r="F90" s="148"/>
      <c r="G90" s="148"/>
      <c r="H90" s="148"/>
      <c r="I90" s="148"/>
      <c r="J90" s="148"/>
      <c r="K90" s="148"/>
      <c r="L90" s="148"/>
      <c r="M90" s="148"/>
      <c r="N90" s="148"/>
      <c r="O90" s="148"/>
      <c r="P90" s="148"/>
      <c r="Q90" s="148"/>
      <c r="R90" s="148"/>
      <c r="S90" s="148"/>
      <c r="T90" s="148"/>
      <c r="U90" s="148"/>
      <c r="V90" s="148"/>
      <c r="W90" s="148"/>
      <c r="X90" s="148"/>
      <c r="Y90" s="148"/>
      <c r="Z90" s="148"/>
      <c r="AA90" s="148"/>
    </row>
    <row r="91" spans="2:27" s="175" customFormat="1">
      <c r="B91" s="148"/>
      <c r="C91" s="148"/>
      <c r="D91" s="148"/>
      <c r="E91" s="148"/>
      <c r="F91" s="148"/>
      <c r="G91" s="148"/>
      <c r="H91" s="148"/>
      <c r="I91" s="148"/>
      <c r="J91" s="148"/>
      <c r="K91" s="148"/>
      <c r="L91" s="148"/>
      <c r="M91" s="148"/>
      <c r="N91" s="148"/>
      <c r="O91" s="148"/>
      <c r="P91" s="148"/>
      <c r="Q91" s="148"/>
      <c r="R91" s="148"/>
      <c r="S91" s="148"/>
      <c r="T91" s="148"/>
      <c r="U91" s="148"/>
      <c r="V91" s="148"/>
      <c r="W91" s="148"/>
      <c r="X91" s="148"/>
      <c r="Y91" s="148"/>
      <c r="Z91" s="148"/>
      <c r="AA91" s="148"/>
    </row>
    <row r="92" spans="2:27" s="175" customFormat="1">
      <c r="B92" s="148"/>
      <c r="C92" s="148"/>
      <c r="D92" s="148"/>
      <c r="E92" s="148"/>
      <c r="F92" s="148"/>
      <c r="G92" s="148"/>
      <c r="H92" s="148"/>
      <c r="I92" s="148"/>
      <c r="J92" s="148"/>
      <c r="K92" s="148"/>
      <c r="L92" s="148"/>
      <c r="M92" s="148"/>
      <c r="N92" s="148"/>
      <c r="O92" s="148"/>
      <c r="P92" s="148"/>
      <c r="Q92" s="148"/>
      <c r="R92" s="148"/>
      <c r="S92" s="148"/>
      <c r="T92" s="148"/>
      <c r="U92" s="148"/>
      <c r="V92" s="148"/>
      <c r="W92" s="148"/>
      <c r="X92" s="148"/>
      <c r="Y92" s="148"/>
      <c r="Z92" s="148"/>
      <c r="AA92" s="148"/>
    </row>
    <row r="93" spans="2:27" s="175" customFormat="1">
      <c r="B93" s="148"/>
      <c r="C93" s="148"/>
      <c r="D93" s="148"/>
      <c r="E93" s="148"/>
      <c r="F93" s="148"/>
      <c r="G93" s="148"/>
      <c r="H93" s="148"/>
      <c r="I93" s="148"/>
      <c r="J93" s="148"/>
      <c r="K93" s="148"/>
      <c r="L93" s="148"/>
      <c r="M93" s="148"/>
      <c r="N93" s="148"/>
      <c r="O93" s="148"/>
      <c r="P93" s="148"/>
      <c r="Q93" s="148"/>
      <c r="R93" s="148"/>
      <c r="S93" s="148"/>
      <c r="T93" s="148"/>
      <c r="U93" s="148"/>
      <c r="V93" s="148"/>
      <c r="W93" s="148"/>
      <c r="X93" s="148"/>
      <c r="Y93" s="148"/>
      <c r="Z93" s="148"/>
      <c r="AA93" s="148"/>
    </row>
    <row r="94" spans="2:27" s="175" customFormat="1">
      <c r="B94" s="148"/>
      <c r="C94" s="148"/>
      <c r="D94" s="148"/>
      <c r="E94" s="148"/>
      <c r="F94" s="148"/>
      <c r="G94" s="148"/>
      <c r="H94" s="148"/>
      <c r="I94" s="148"/>
      <c r="J94" s="148"/>
      <c r="K94" s="148"/>
      <c r="L94" s="148"/>
      <c r="M94" s="148"/>
      <c r="N94" s="148"/>
      <c r="O94" s="148"/>
      <c r="P94" s="148"/>
      <c r="Q94" s="148"/>
      <c r="R94" s="148"/>
      <c r="S94" s="148"/>
      <c r="T94" s="148"/>
      <c r="U94" s="148"/>
      <c r="V94" s="148"/>
      <c r="W94" s="148"/>
      <c r="X94" s="148"/>
      <c r="Y94" s="148"/>
      <c r="Z94" s="148"/>
      <c r="AA94" s="148"/>
    </row>
    <row r="95" spans="2:27" s="175" customFormat="1">
      <c r="B95" s="148"/>
      <c r="C95" s="148"/>
      <c r="D95" s="148"/>
      <c r="E95" s="148"/>
      <c r="F95" s="148"/>
      <c r="G95" s="148"/>
      <c r="H95" s="148"/>
      <c r="I95" s="148"/>
      <c r="J95" s="148"/>
      <c r="K95" s="148"/>
      <c r="L95" s="148"/>
      <c r="M95" s="148"/>
      <c r="N95" s="148"/>
      <c r="O95" s="148"/>
      <c r="P95" s="148"/>
      <c r="Q95" s="148"/>
      <c r="R95" s="148"/>
      <c r="S95" s="148"/>
      <c r="T95" s="148"/>
      <c r="U95" s="148"/>
      <c r="V95" s="148"/>
      <c r="W95" s="148"/>
      <c r="X95" s="148"/>
      <c r="Y95" s="148"/>
      <c r="Z95" s="148"/>
      <c r="AA95" s="148"/>
    </row>
    <row r="96" spans="2:27" s="175" customFormat="1">
      <c r="B96" s="148"/>
      <c r="C96" s="148"/>
      <c r="D96" s="148"/>
      <c r="E96" s="148"/>
      <c r="F96" s="148"/>
      <c r="G96" s="148"/>
      <c r="H96" s="148"/>
      <c r="I96" s="148"/>
      <c r="J96" s="148"/>
      <c r="K96" s="148"/>
      <c r="L96" s="148"/>
      <c r="M96" s="148"/>
      <c r="N96" s="148"/>
      <c r="O96" s="148"/>
      <c r="P96" s="148"/>
      <c r="Q96" s="148"/>
      <c r="R96" s="148"/>
      <c r="S96" s="148"/>
      <c r="T96" s="148"/>
      <c r="U96" s="148"/>
      <c r="V96" s="148"/>
      <c r="W96" s="148"/>
      <c r="X96" s="148"/>
      <c r="Y96" s="148"/>
      <c r="Z96" s="148"/>
      <c r="AA96" s="148"/>
    </row>
    <row r="97" spans="2:27" s="175" customFormat="1">
      <c r="B97" s="148"/>
      <c r="C97" s="148"/>
      <c r="D97" s="148"/>
      <c r="E97" s="148"/>
      <c r="F97" s="148"/>
      <c r="G97" s="148"/>
      <c r="H97" s="148"/>
      <c r="I97" s="148"/>
      <c r="J97" s="148"/>
      <c r="K97" s="148"/>
      <c r="L97" s="148"/>
      <c r="M97" s="148"/>
      <c r="N97" s="148"/>
      <c r="O97" s="148"/>
      <c r="P97" s="148"/>
      <c r="Q97" s="148"/>
      <c r="R97" s="148"/>
      <c r="S97" s="148"/>
      <c r="T97" s="148"/>
      <c r="U97" s="148"/>
      <c r="V97" s="148"/>
      <c r="W97" s="148"/>
      <c r="X97" s="148"/>
      <c r="Y97" s="148"/>
      <c r="Z97" s="148"/>
      <c r="AA97" s="148"/>
    </row>
    <row r="98" spans="2:27" s="175" customFormat="1">
      <c r="B98" s="148"/>
      <c r="C98" s="148"/>
      <c r="D98" s="148"/>
      <c r="E98" s="148"/>
      <c r="F98" s="148"/>
      <c r="G98" s="148"/>
      <c r="H98" s="148"/>
      <c r="I98" s="148"/>
      <c r="J98" s="148"/>
      <c r="K98" s="148"/>
      <c r="L98" s="148"/>
      <c r="M98" s="148"/>
      <c r="N98" s="148"/>
      <c r="O98" s="148"/>
      <c r="P98" s="148"/>
      <c r="Q98" s="148"/>
      <c r="R98" s="148"/>
      <c r="S98" s="148"/>
      <c r="T98" s="148"/>
      <c r="U98" s="148"/>
      <c r="V98" s="148"/>
      <c r="W98" s="148"/>
      <c r="X98" s="148"/>
      <c r="Y98" s="148"/>
      <c r="Z98" s="148"/>
      <c r="AA98" s="148"/>
    </row>
    <row r="99" spans="2:27" s="175" customFormat="1">
      <c r="B99" s="148"/>
      <c r="C99" s="148"/>
      <c r="D99" s="148"/>
      <c r="E99" s="148"/>
      <c r="F99" s="148"/>
      <c r="G99" s="148"/>
      <c r="H99" s="148"/>
      <c r="I99" s="148"/>
      <c r="J99" s="148"/>
      <c r="K99" s="148"/>
      <c r="L99" s="148"/>
      <c r="M99" s="148"/>
      <c r="N99" s="148"/>
      <c r="O99" s="148"/>
      <c r="P99" s="148"/>
      <c r="Q99" s="148"/>
      <c r="R99" s="148"/>
      <c r="S99" s="148"/>
      <c r="T99" s="148"/>
      <c r="U99" s="148"/>
      <c r="V99" s="148"/>
      <c r="W99" s="148"/>
      <c r="X99" s="148"/>
      <c r="Y99" s="148"/>
      <c r="Z99" s="148"/>
      <c r="AA99" s="148"/>
    </row>
    <row r="100" spans="2:27" s="175" customFormat="1">
      <c r="B100" s="148"/>
      <c r="C100" s="148"/>
      <c r="D100" s="148"/>
      <c r="E100" s="148"/>
      <c r="F100" s="148"/>
      <c r="G100" s="148"/>
      <c r="H100" s="148"/>
      <c r="I100" s="148"/>
      <c r="J100" s="148"/>
      <c r="K100" s="148"/>
      <c r="L100" s="148"/>
      <c r="M100" s="148"/>
      <c r="N100" s="148"/>
      <c r="O100" s="148"/>
      <c r="P100" s="148"/>
      <c r="Q100" s="148"/>
      <c r="R100" s="148"/>
      <c r="S100" s="148"/>
      <c r="T100" s="148"/>
      <c r="U100" s="148"/>
      <c r="V100" s="148"/>
      <c r="W100" s="148"/>
      <c r="X100" s="148"/>
      <c r="Y100" s="148"/>
      <c r="Z100" s="148"/>
      <c r="AA100" s="148"/>
    </row>
    <row r="101" spans="2:27" s="175" customFormat="1">
      <c r="B101" s="148"/>
      <c r="C101" s="148"/>
      <c r="D101" s="148"/>
      <c r="E101" s="148"/>
      <c r="F101" s="148"/>
      <c r="G101" s="148"/>
      <c r="H101" s="148"/>
      <c r="I101" s="148"/>
      <c r="J101" s="148"/>
      <c r="K101" s="148"/>
      <c r="L101" s="148"/>
      <c r="M101" s="148"/>
      <c r="N101" s="148"/>
      <c r="O101" s="148"/>
      <c r="P101" s="148"/>
      <c r="Q101" s="148"/>
      <c r="R101" s="148"/>
      <c r="S101" s="148"/>
      <c r="T101" s="148"/>
      <c r="U101" s="148"/>
      <c r="V101" s="148"/>
      <c r="W101" s="148"/>
      <c r="X101" s="148"/>
      <c r="Y101" s="148"/>
      <c r="Z101" s="148"/>
      <c r="AA101" s="148"/>
    </row>
    <row r="102" spans="2:27" s="175" customFormat="1">
      <c r="B102" s="148"/>
      <c r="C102" s="148"/>
      <c r="D102" s="148"/>
      <c r="E102" s="148"/>
      <c r="F102" s="148"/>
      <c r="G102" s="148"/>
      <c r="H102" s="148"/>
      <c r="I102" s="148"/>
      <c r="J102" s="148"/>
      <c r="K102" s="148"/>
      <c r="L102" s="148"/>
      <c r="M102" s="148"/>
      <c r="N102" s="148"/>
      <c r="O102" s="148"/>
      <c r="P102" s="148"/>
      <c r="Q102" s="148"/>
      <c r="R102" s="148"/>
      <c r="S102" s="148"/>
      <c r="T102" s="148"/>
      <c r="U102" s="148"/>
      <c r="V102" s="148"/>
      <c r="W102" s="148"/>
      <c r="X102" s="148"/>
      <c r="Y102" s="148"/>
      <c r="Z102" s="148"/>
      <c r="AA102" s="148"/>
    </row>
    <row r="103" spans="2:27" s="175" customFormat="1">
      <c r="B103" s="148"/>
      <c r="C103" s="148"/>
      <c r="D103" s="148"/>
      <c r="E103" s="148"/>
      <c r="F103" s="148"/>
      <c r="G103" s="148"/>
      <c r="H103" s="148"/>
      <c r="I103" s="148"/>
      <c r="J103" s="148"/>
      <c r="K103" s="148"/>
      <c r="L103" s="148"/>
      <c r="M103" s="148"/>
      <c r="N103" s="148"/>
      <c r="O103" s="148"/>
      <c r="P103" s="148"/>
      <c r="Q103" s="148"/>
      <c r="R103" s="148"/>
      <c r="S103" s="148"/>
      <c r="T103" s="148"/>
      <c r="U103" s="148"/>
      <c r="V103" s="148"/>
      <c r="W103" s="148"/>
      <c r="X103" s="148"/>
      <c r="Y103" s="148"/>
      <c r="Z103" s="148"/>
      <c r="AA103" s="148"/>
    </row>
    <row r="104" spans="2:27" s="175" customFormat="1">
      <c r="B104" s="148"/>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row>
    <row r="105" spans="2:27" s="175" customFormat="1">
      <c r="B105" s="148"/>
      <c r="C105" s="148"/>
      <c r="D105" s="148"/>
      <c r="E105" s="148"/>
      <c r="F105" s="148"/>
      <c r="G105" s="148"/>
      <c r="H105" s="148"/>
      <c r="I105" s="148"/>
      <c r="J105" s="148"/>
      <c r="K105" s="148"/>
      <c r="L105" s="148"/>
      <c r="M105" s="148"/>
      <c r="N105" s="148"/>
      <c r="O105" s="148"/>
      <c r="P105" s="148"/>
      <c r="Q105" s="148"/>
      <c r="R105" s="148"/>
      <c r="S105" s="148"/>
      <c r="T105" s="148"/>
      <c r="U105" s="148"/>
      <c r="V105" s="148"/>
      <c r="W105" s="148"/>
      <c r="X105" s="148"/>
      <c r="Y105" s="148"/>
      <c r="Z105" s="148"/>
      <c r="AA105" s="148"/>
    </row>
    <row r="106" spans="2:27" s="175" customFormat="1">
      <c r="B106" s="148"/>
      <c r="C106" s="148"/>
      <c r="D106" s="148"/>
      <c r="E106" s="148"/>
      <c r="F106" s="148"/>
      <c r="G106" s="148"/>
      <c r="H106" s="148"/>
      <c r="I106" s="148"/>
      <c r="J106" s="148"/>
      <c r="K106" s="148"/>
      <c r="L106" s="148"/>
      <c r="M106" s="148"/>
      <c r="N106" s="148"/>
      <c r="O106" s="148"/>
      <c r="P106" s="148"/>
      <c r="Q106" s="148"/>
      <c r="R106" s="148"/>
      <c r="S106" s="148"/>
      <c r="T106" s="148"/>
      <c r="U106" s="148"/>
      <c r="V106" s="148"/>
      <c r="W106" s="148"/>
      <c r="X106" s="148"/>
      <c r="Y106" s="148"/>
      <c r="Z106" s="148"/>
      <c r="AA106" s="148"/>
    </row>
    <row r="107" spans="2:27" s="175" customFormat="1">
      <c r="B107" s="148"/>
      <c r="C107" s="148"/>
      <c r="D107" s="148"/>
      <c r="E107" s="148"/>
      <c r="F107" s="148"/>
      <c r="G107" s="148"/>
      <c r="H107" s="148"/>
      <c r="I107" s="148"/>
      <c r="J107" s="148"/>
      <c r="K107" s="148"/>
      <c r="L107" s="148"/>
      <c r="M107" s="148"/>
      <c r="N107" s="148"/>
      <c r="O107" s="148"/>
      <c r="P107" s="148"/>
      <c r="Q107" s="148"/>
      <c r="R107" s="148"/>
      <c r="S107" s="148"/>
      <c r="T107" s="148"/>
      <c r="U107" s="148"/>
      <c r="V107" s="148"/>
      <c r="W107" s="148"/>
      <c r="X107" s="148"/>
      <c r="Y107" s="148"/>
      <c r="Z107" s="148"/>
      <c r="AA107" s="148"/>
    </row>
    <row r="108" spans="2:27" s="175" customFormat="1">
      <c r="B108" s="148"/>
      <c r="C108" s="148"/>
      <c r="D108" s="148"/>
      <c r="E108" s="148"/>
      <c r="F108" s="148"/>
      <c r="G108" s="148"/>
      <c r="H108" s="148"/>
      <c r="I108" s="148"/>
      <c r="J108" s="148"/>
      <c r="K108" s="148"/>
      <c r="L108" s="148"/>
      <c r="M108" s="148"/>
      <c r="N108" s="148"/>
      <c r="O108" s="148"/>
      <c r="P108" s="148"/>
      <c r="Q108" s="148"/>
      <c r="R108" s="148"/>
      <c r="S108" s="148"/>
      <c r="T108" s="148"/>
      <c r="U108" s="148"/>
      <c r="V108" s="148"/>
      <c r="W108" s="148"/>
      <c r="X108" s="148"/>
      <c r="Y108" s="148"/>
      <c r="Z108" s="148"/>
      <c r="AA108" s="148"/>
    </row>
    <row r="109" spans="2:27" s="175" customFormat="1">
      <c r="B109" s="148"/>
      <c r="C109" s="148"/>
      <c r="D109" s="148"/>
      <c r="E109" s="148"/>
      <c r="F109" s="148"/>
      <c r="G109" s="148"/>
      <c r="H109" s="148"/>
      <c r="I109" s="148"/>
      <c r="J109" s="148"/>
      <c r="K109" s="148"/>
      <c r="L109" s="148"/>
      <c r="M109" s="148"/>
      <c r="N109" s="148"/>
      <c r="O109" s="148"/>
      <c r="P109" s="148"/>
      <c r="Q109" s="148"/>
      <c r="R109" s="148"/>
      <c r="S109" s="148"/>
      <c r="T109" s="148"/>
      <c r="U109" s="148"/>
      <c r="V109" s="148"/>
      <c r="W109" s="148"/>
      <c r="X109" s="148"/>
      <c r="Y109" s="148"/>
      <c r="Z109" s="148"/>
      <c r="AA109" s="148"/>
    </row>
    <row r="110" spans="2:27" s="175" customFormat="1">
      <c r="B110" s="148"/>
      <c r="C110" s="148"/>
      <c r="D110" s="148"/>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row>
    <row r="111" spans="2:27" s="175" customFormat="1">
      <c r="B111" s="148"/>
      <c r="C111" s="148"/>
      <c r="D111" s="148"/>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row>
    <row r="112" spans="2:27" s="175" customFormat="1">
      <c r="B112" s="148"/>
      <c r="C112" s="148"/>
      <c r="D112" s="148"/>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row>
    <row r="113" spans="2:27" s="175" customFormat="1">
      <c r="B113" s="148"/>
      <c r="C113" s="148"/>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48"/>
      <c r="AA113" s="148"/>
    </row>
    <row r="114" spans="2:27" s="175" customFormat="1">
      <c r="B114" s="148"/>
      <c r="C114" s="148"/>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148"/>
    </row>
    <row r="115" spans="2:27" s="175" customFormat="1">
      <c r="B115" s="148"/>
      <c r="C115" s="148"/>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148"/>
    </row>
    <row r="116" spans="2:27" s="175" customFormat="1">
      <c r="B116" s="148"/>
      <c r="C116" s="148"/>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48"/>
      <c r="AA116" s="148"/>
    </row>
    <row r="117" spans="2:27" s="175" customFormat="1">
      <c r="B117" s="148"/>
      <c r="C117" s="148"/>
      <c r="D117" s="148"/>
      <c r="E117" s="148"/>
      <c r="F117" s="148"/>
      <c r="G117" s="148"/>
      <c r="H117" s="148"/>
      <c r="I117" s="148"/>
      <c r="J117" s="148"/>
      <c r="K117" s="148"/>
      <c r="L117" s="148"/>
      <c r="M117" s="148"/>
      <c r="N117" s="148"/>
      <c r="O117" s="148"/>
      <c r="P117" s="148"/>
      <c r="Q117" s="148"/>
      <c r="R117" s="148"/>
      <c r="S117" s="148"/>
      <c r="T117" s="148"/>
      <c r="U117" s="148"/>
      <c r="V117" s="148"/>
      <c r="W117" s="148"/>
      <c r="X117" s="148"/>
      <c r="Y117" s="148"/>
      <c r="Z117" s="148"/>
      <c r="AA117" s="148"/>
    </row>
    <row r="118" spans="2:27" s="175" customFormat="1">
      <c r="B118" s="148"/>
      <c r="C118" s="148"/>
      <c r="D118" s="148"/>
      <c r="E118" s="148"/>
      <c r="F118" s="148"/>
      <c r="G118" s="148"/>
      <c r="H118" s="148"/>
      <c r="I118" s="148"/>
      <c r="J118" s="148"/>
      <c r="K118" s="148"/>
      <c r="L118" s="148"/>
      <c r="M118" s="148"/>
      <c r="N118" s="148"/>
      <c r="O118" s="148"/>
      <c r="P118" s="148"/>
      <c r="Q118" s="148"/>
      <c r="R118" s="148"/>
      <c r="S118" s="148"/>
      <c r="T118" s="148"/>
      <c r="U118" s="148"/>
      <c r="V118" s="148"/>
      <c r="W118" s="148"/>
      <c r="X118" s="148"/>
      <c r="Y118" s="148"/>
      <c r="Z118" s="148"/>
      <c r="AA118" s="148"/>
    </row>
    <row r="119" spans="2:27" s="175" customFormat="1">
      <c r="B119" s="148"/>
      <c r="C119" s="148"/>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148"/>
    </row>
    <row r="120" spans="2:27" s="175" customFormat="1">
      <c r="B120" s="148"/>
      <c r="C120" s="148"/>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148"/>
    </row>
    <row r="121" spans="2:27" s="175" customFormat="1">
      <c r="B121" s="148"/>
      <c r="C121" s="148"/>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148"/>
    </row>
    <row r="122" spans="2:27" s="175" customFormat="1">
      <c r="B122" s="148"/>
      <c r="C122" s="148"/>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8"/>
    </row>
    <row r="123" spans="2:27" s="175" customFormat="1">
      <c r="B123" s="148"/>
      <c r="C123" s="148"/>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8"/>
    </row>
    <row r="124" spans="2:27" s="175" customFormat="1">
      <c r="B124" s="148"/>
      <c r="C124" s="148"/>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148"/>
    </row>
    <row r="125" spans="2:27" s="175" customFormat="1">
      <c r="B125" s="148"/>
      <c r="C125" s="148"/>
      <c r="D125" s="148"/>
      <c r="E125" s="148"/>
      <c r="F125" s="148"/>
      <c r="G125" s="148"/>
      <c r="H125" s="148"/>
      <c r="I125" s="148"/>
      <c r="J125" s="148"/>
      <c r="K125" s="148"/>
      <c r="L125" s="148"/>
      <c r="M125" s="148"/>
      <c r="N125" s="148"/>
      <c r="O125" s="148"/>
      <c r="P125" s="148"/>
      <c r="Q125" s="148"/>
      <c r="R125" s="148"/>
      <c r="S125" s="148"/>
      <c r="T125" s="148"/>
      <c r="U125" s="148"/>
      <c r="V125" s="148"/>
      <c r="W125" s="148"/>
      <c r="X125" s="148"/>
      <c r="Y125" s="148"/>
      <c r="Z125" s="148"/>
      <c r="AA125" s="148"/>
    </row>
    <row r="126" spans="2:27" s="175" customFormat="1">
      <c r="B126" s="148"/>
      <c r="C126" s="148"/>
      <c r="D126" s="148"/>
      <c r="E126" s="148"/>
      <c r="F126" s="148"/>
      <c r="G126" s="148"/>
      <c r="H126" s="148"/>
      <c r="I126" s="148"/>
      <c r="J126" s="148"/>
      <c r="K126" s="148"/>
      <c r="L126" s="148"/>
      <c r="M126" s="148"/>
      <c r="N126" s="148"/>
      <c r="O126" s="148"/>
      <c r="P126" s="148"/>
      <c r="Q126" s="148"/>
      <c r="R126" s="148"/>
      <c r="S126" s="148"/>
      <c r="T126" s="148"/>
      <c r="U126" s="148"/>
      <c r="V126" s="148"/>
      <c r="W126" s="148"/>
      <c r="X126" s="148"/>
      <c r="Y126" s="148"/>
      <c r="Z126" s="148"/>
      <c r="AA126" s="148"/>
    </row>
    <row r="127" spans="2:27" s="175" customFormat="1">
      <c r="B127" s="148"/>
      <c r="C127" s="148"/>
      <c r="D127" s="148"/>
      <c r="E127" s="148"/>
      <c r="F127" s="148"/>
      <c r="G127" s="148"/>
      <c r="H127" s="148"/>
      <c r="I127" s="148"/>
      <c r="J127" s="148"/>
      <c r="K127" s="148"/>
      <c r="L127" s="148"/>
      <c r="M127" s="148"/>
      <c r="N127" s="148"/>
      <c r="O127" s="148"/>
      <c r="P127" s="148"/>
      <c r="Q127" s="148"/>
      <c r="R127" s="148"/>
      <c r="S127" s="148"/>
      <c r="T127" s="148"/>
      <c r="U127" s="148"/>
      <c r="V127" s="148"/>
      <c r="W127" s="148"/>
      <c r="X127" s="148"/>
      <c r="Y127" s="148"/>
      <c r="Z127" s="148"/>
      <c r="AA127" s="148"/>
    </row>
    <row r="128" spans="2:27" s="175" customFormat="1">
      <c r="B128" s="148"/>
      <c r="C128" s="148"/>
      <c r="D128" s="148"/>
      <c r="E128" s="148"/>
      <c r="F128" s="148"/>
      <c r="G128" s="148"/>
      <c r="H128" s="148"/>
      <c r="I128" s="148"/>
      <c r="J128" s="148"/>
      <c r="K128" s="148"/>
      <c r="L128" s="148"/>
      <c r="M128" s="148"/>
      <c r="N128" s="148"/>
      <c r="O128" s="148"/>
      <c r="P128" s="148"/>
      <c r="Q128" s="148"/>
      <c r="R128" s="148"/>
      <c r="S128" s="148"/>
      <c r="T128" s="148"/>
      <c r="U128" s="148"/>
      <c r="V128" s="148"/>
      <c r="W128" s="148"/>
      <c r="X128" s="148"/>
      <c r="Y128" s="148"/>
      <c r="Z128" s="148"/>
      <c r="AA128" s="148"/>
    </row>
    <row r="129" spans="2:27" s="175" customFormat="1">
      <c r="B129" s="148"/>
      <c r="C129" s="148"/>
      <c r="D129" s="148"/>
      <c r="E129" s="148"/>
      <c r="F129" s="148"/>
      <c r="G129" s="148"/>
      <c r="H129" s="148"/>
      <c r="I129" s="148"/>
      <c r="J129" s="148"/>
      <c r="K129" s="148"/>
      <c r="L129" s="148"/>
      <c r="M129" s="148"/>
      <c r="N129" s="148"/>
      <c r="O129" s="148"/>
      <c r="P129" s="148"/>
      <c r="Q129" s="148"/>
      <c r="R129" s="148"/>
      <c r="S129" s="148"/>
      <c r="T129" s="148"/>
      <c r="U129" s="148"/>
      <c r="V129" s="148"/>
      <c r="W129" s="148"/>
      <c r="X129" s="148"/>
      <c r="Y129" s="148"/>
      <c r="Z129" s="148"/>
      <c r="AA129" s="148"/>
    </row>
    <row r="130" spans="2:27" s="175" customFormat="1">
      <c r="B130" s="148"/>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row>
    <row r="131" spans="2:27" s="175" customFormat="1">
      <c r="B131" s="148"/>
      <c r="C131" s="148"/>
      <c r="D131" s="148"/>
      <c r="E131" s="148"/>
      <c r="F131" s="148"/>
      <c r="G131" s="148"/>
      <c r="H131" s="148"/>
      <c r="I131" s="148"/>
      <c r="J131" s="148"/>
      <c r="K131" s="148"/>
      <c r="L131" s="148"/>
      <c r="M131" s="148"/>
      <c r="N131" s="148"/>
      <c r="O131" s="148"/>
      <c r="P131" s="148"/>
      <c r="Q131" s="148"/>
      <c r="R131" s="148"/>
      <c r="S131" s="148"/>
      <c r="T131" s="148"/>
      <c r="U131" s="148"/>
      <c r="V131" s="148"/>
      <c r="W131" s="148"/>
      <c r="X131" s="148"/>
      <c r="Y131" s="148"/>
      <c r="Z131" s="148"/>
      <c r="AA131" s="148"/>
    </row>
    <row r="132" spans="2:27" s="175" customFormat="1">
      <c r="B132" s="148"/>
      <c r="C132" s="148"/>
      <c r="D132" s="148"/>
      <c r="E132" s="148"/>
      <c r="F132" s="148"/>
      <c r="G132" s="148"/>
      <c r="H132" s="148"/>
      <c r="I132" s="148"/>
      <c r="J132" s="148"/>
      <c r="K132" s="148"/>
      <c r="L132" s="148"/>
      <c r="M132" s="148"/>
      <c r="N132" s="148"/>
      <c r="O132" s="148"/>
      <c r="P132" s="148"/>
      <c r="Q132" s="148"/>
      <c r="R132" s="148"/>
      <c r="S132" s="148"/>
      <c r="T132" s="148"/>
      <c r="U132" s="148"/>
      <c r="V132" s="148"/>
      <c r="W132" s="148"/>
      <c r="X132" s="148"/>
      <c r="Y132" s="148"/>
      <c r="Z132" s="148"/>
      <c r="AA132" s="148"/>
    </row>
    <row r="133" spans="2:27" s="175" customFormat="1">
      <c r="B133" s="148"/>
      <c r="C133" s="148"/>
      <c r="D133" s="148"/>
      <c r="E133" s="148"/>
      <c r="F133" s="148"/>
      <c r="G133" s="148"/>
      <c r="H133" s="148"/>
      <c r="I133" s="148"/>
      <c r="J133" s="148"/>
      <c r="K133" s="148"/>
      <c r="L133" s="148"/>
      <c r="M133" s="148"/>
      <c r="N133" s="148"/>
      <c r="O133" s="148"/>
      <c r="P133" s="148"/>
      <c r="Q133" s="148"/>
      <c r="R133" s="148"/>
      <c r="S133" s="148"/>
      <c r="T133" s="148"/>
      <c r="U133" s="148"/>
      <c r="V133" s="148"/>
      <c r="W133" s="148"/>
      <c r="X133" s="148"/>
      <c r="Y133" s="148"/>
      <c r="Z133" s="148"/>
      <c r="AA133" s="148"/>
    </row>
    <row r="134" spans="2:27" s="175" customFormat="1">
      <c r="B134" s="148"/>
      <c r="C134" s="148"/>
      <c r="D134" s="148"/>
      <c r="E134" s="148"/>
      <c r="F134" s="148"/>
      <c r="G134" s="148"/>
      <c r="H134" s="148"/>
      <c r="I134" s="148"/>
      <c r="J134" s="148"/>
      <c r="K134" s="148"/>
      <c r="L134" s="148"/>
      <c r="M134" s="148"/>
      <c r="N134" s="148"/>
      <c r="O134" s="148"/>
      <c r="P134" s="148"/>
      <c r="Q134" s="148"/>
      <c r="R134" s="148"/>
      <c r="S134" s="148"/>
      <c r="T134" s="148"/>
      <c r="U134" s="148"/>
      <c r="V134" s="148"/>
      <c r="W134" s="148"/>
      <c r="X134" s="148"/>
      <c r="Y134" s="148"/>
      <c r="Z134" s="148"/>
      <c r="AA134" s="148"/>
    </row>
    <row r="135" spans="2:27" s="175" customFormat="1">
      <c r="B135" s="148"/>
      <c r="C135" s="148"/>
      <c r="D135" s="148"/>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row>
    <row r="136" spans="2:27" s="175" customFormat="1">
      <c r="B136" s="148"/>
      <c r="C136" s="148"/>
      <c r="D136" s="148"/>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row>
    <row r="137" spans="2:27" s="175" customFormat="1">
      <c r="B137" s="148"/>
      <c r="C137" s="148"/>
      <c r="D137" s="148"/>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row>
    <row r="138" spans="2:27" s="175" customFormat="1">
      <c r="B138" s="148"/>
      <c r="C138" s="148"/>
      <c r="D138" s="148"/>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row>
    <row r="139" spans="2:27" s="175" customFormat="1">
      <c r="B139" s="148"/>
      <c r="C139" s="148"/>
      <c r="D139" s="148"/>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row>
    <row r="140" spans="2:27" s="175" customFormat="1">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row>
    <row r="141" spans="2:27" s="175" customFormat="1">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row>
    <row r="142" spans="2:27" s="175" customFormat="1">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row>
    <row r="143" spans="2:27" s="175" customFormat="1">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row>
    <row r="144" spans="2:27" s="175" customFormat="1">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row>
    <row r="145" spans="2:27" s="175" customFormat="1">
      <c r="B145" s="148"/>
      <c r="C145" s="148"/>
      <c r="D145" s="148"/>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row>
    <row r="146" spans="2:27" s="175" customFormat="1">
      <c r="B146" s="148"/>
      <c r="C146" s="148"/>
      <c r="D146" s="148"/>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row>
    <row r="147" spans="2:27" s="175" customFormat="1">
      <c r="B147" s="148"/>
      <c r="C147" s="148"/>
      <c r="D147" s="148"/>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row>
    <row r="148" spans="2:27" s="175" customFormat="1">
      <c r="B148" s="148"/>
      <c r="C148" s="148"/>
      <c r="D148" s="148"/>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row>
    <row r="149" spans="2:27" s="175" customFormat="1">
      <c r="B149" s="148"/>
      <c r="C149" s="148"/>
      <c r="D149" s="148"/>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row>
    <row r="150" spans="2:27" s="175" customFormat="1">
      <c r="B150" s="148"/>
      <c r="C150" s="148"/>
      <c r="D150" s="148"/>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row>
    <row r="151" spans="2:27" s="175" customFormat="1">
      <c r="B151" s="148"/>
      <c r="C151" s="148"/>
      <c r="D151" s="148"/>
      <c r="E151" s="148"/>
      <c r="F151" s="148"/>
      <c r="G151" s="148"/>
      <c r="H151" s="148"/>
      <c r="I151" s="148"/>
      <c r="J151" s="148"/>
      <c r="K151" s="148"/>
      <c r="L151" s="148"/>
      <c r="M151" s="148"/>
      <c r="N151" s="148"/>
      <c r="O151" s="148"/>
      <c r="P151" s="148"/>
      <c r="Q151" s="148"/>
      <c r="R151" s="148"/>
      <c r="S151" s="148"/>
      <c r="T151" s="148"/>
      <c r="U151" s="148"/>
      <c r="V151" s="148"/>
      <c r="W151" s="148"/>
      <c r="X151" s="148"/>
      <c r="Y151" s="148"/>
      <c r="Z151" s="148"/>
      <c r="AA151" s="148"/>
    </row>
    <row r="152" spans="2:27" s="175" customFormat="1">
      <c r="B152" s="148"/>
      <c r="C152" s="148"/>
      <c r="D152" s="148"/>
      <c r="E152" s="148"/>
      <c r="F152" s="148"/>
      <c r="G152" s="148"/>
      <c r="H152" s="148"/>
      <c r="I152" s="148"/>
      <c r="J152" s="148"/>
      <c r="K152" s="148"/>
      <c r="L152" s="148"/>
      <c r="M152" s="148"/>
      <c r="N152" s="148"/>
      <c r="O152" s="148"/>
      <c r="P152" s="148"/>
      <c r="Q152" s="148"/>
      <c r="R152" s="148"/>
      <c r="S152" s="148"/>
      <c r="T152" s="148"/>
      <c r="U152" s="148"/>
      <c r="V152" s="148"/>
      <c r="W152" s="148"/>
      <c r="X152" s="148"/>
      <c r="Y152" s="148"/>
      <c r="Z152" s="148"/>
      <c r="AA152" s="148"/>
    </row>
    <row r="153" spans="2:27" s="175" customFormat="1">
      <c r="B153" s="148"/>
      <c r="C153" s="148"/>
      <c r="D153" s="148"/>
      <c r="E153" s="148"/>
      <c r="F153" s="148"/>
      <c r="G153" s="148"/>
      <c r="H153" s="148"/>
      <c r="I153" s="148"/>
      <c r="J153" s="148"/>
      <c r="K153" s="148"/>
      <c r="L153" s="148"/>
      <c r="M153" s="148"/>
      <c r="N153" s="148"/>
      <c r="O153" s="148"/>
      <c r="P153" s="148"/>
      <c r="Q153" s="148"/>
      <c r="R153" s="148"/>
      <c r="S153" s="148"/>
      <c r="T153" s="148"/>
      <c r="U153" s="148"/>
      <c r="V153" s="148"/>
      <c r="W153" s="148"/>
      <c r="X153" s="148"/>
      <c r="Y153" s="148"/>
      <c r="Z153" s="148"/>
      <c r="AA153" s="148"/>
    </row>
    <row r="154" spans="2:27" s="175" customFormat="1">
      <c r="B154" s="148"/>
      <c r="C154" s="148"/>
      <c r="D154" s="148"/>
      <c r="E154" s="148"/>
      <c r="F154" s="148"/>
      <c r="G154" s="148"/>
      <c r="H154" s="148"/>
      <c r="I154" s="148"/>
      <c r="J154" s="148"/>
      <c r="K154" s="148"/>
      <c r="L154" s="148"/>
      <c r="M154" s="148"/>
      <c r="N154" s="148"/>
      <c r="O154" s="148"/>
      <c r="P154" s="148"/>
      <c r="Q154" s="148"/>
      <c r="R154" s="148"/>
      <c r="S154" s="148"/>
      <c r="T154" s="148"/>
      <c r="U154" s="148"/>
      <c r="V154" s="148"/>
      <c r="W154" s="148"/>
      <c r="X154" s="148"/>
      <c r="Y154" s="148"/>
      <c r="Z154" s="148"/>
      <c r="AA154" s="148"/>
    </row>
    <row r="155" spans="2:27" s="175" customFormat="1">
      <c r="B155" s="148"/>
      <c r="C155" s="148"/>
      <c r="D155" s="148"/>
      <c r="E155" s="148"/>
      <c r="F155" s="148"/>
      <c r="G155" s="148"/>
      <c r="H155" s="148"/>
      <c r="I155" s="148"/>
      <c r="J155" s="148"/>
      <c r="K155" s="148"/>
      <c r="L155" s="148"/>
      <c r="M155" s="148"/>
      <c r="N155" s="148"/>
      <c r="O155" s="148"/>
      <c r="P155" s="148"/>
      <c r="Q155" s="148"/>
      <c r="R155" s="148"/>
      <c r="S155" s="148"/>
      <c r="T155" s="148"/>
      <c r="U155" s="148"/>
      <c r="V155" s="148"/>
      <c r="W155" s="148"/>
      <c r="X155" s="148"/>
      <c r="Y155" s="148"/>
      <c r="Z155" s="148"/>
      <c r="AA155" s="148"/>
    </row>
    <row r="156" spans="2:27" s="175" customFormat="1">
      <c r="B156" s="148"/>
      <c r="C156" s="148"/>
      <c r="D156" s="148"/>
      <c r="E156" s="148"/>
      <c r="F156" s="148"/>
      <c r="G156" s="148"/>
      <c r="H156" s="148"/>
      <c r="I156" s="148"/>
      <c r="J156" s="148"/>
      <c r="K156" s="148"/>
      <c r="L156" s="148"/>
      <c r="M156" s="148"/>
      <c r="N156" s="148"/>
      <c r="O156" s="148"/>
      <c r="P156" s="148"/>
      <c r="Q156" s="148"/>
      <c r="R156" s="148"/>
      <c r="S156" s="148"/>
      <c r="T156" s="148"/>
      <c r="U156" s="148"/>
      <c r="V156" s="148"/>
      <c r="W156" s="148"/>
      <c r="X156" s="148"/>
      <c r="Y156" s="148"/>
      <c r="Z156" s="148"/>
      <c r="AA156" s="148"/>
    </row>
    <row r="157" spans="2:27" s="175" customFormat="1">
      <c r="B157" s="148"/>
      <c r="C157" s="148"/>
      <c r="D157" s="148"/>
      <c r="E157" s="148"/>
      <c r="F157" s="148"/>
      <c r="G157" s="148"/>
      <c r="H157" s="148"/>
      <c r="I157" s="148"/>
      <c r="J157" s="148"/>
      <c r="K157" s="148"/>
      <c r="L157" s="148"/>
      <c r="M157" s="148"/>
      <c r="N157" s="148"/>
      <c r="O157" s="148"/>
      <c r="P157" s="148"/>
      <c r="Q157" s="148"/>
      <c r="R157" s="148"/>
      <c r="S157" s="148"/>
      <c r="T157" s="148"/>
      <c r="U157" s="148"/>
      <c r="V157" s="148"/>
      <c r="W157" s="148"/>
      <c r="X157" s="148"/>
      <c r="Y157" s="148"/>
      <c r="Z157" s="148"/>
      <c r="AA157" s="148"/>
    </row>
    <row r="158" spans="2:27" s="175" customFormat="1">
      <c r="B158" s="148"/>
      <c r="C158" s="148"/>
      <c r="D158" s="148"/>
      <c r="E158" s="148"/>
      <c r="F158" s="148"/>
      <c r="G158" s="148"/>
      <c r="H158" s="148"/>
      <c r="I158" s="148"/>
      <c r="J158" s="148"/>
      <c r="K158" s="148"/>
      <c r="L158" s="148"/>
      <c r="M158" s="148"/>
      <c r="N158" s="148"/>
      <c r="O158" s="148"/>
      <c r="P158" s="148"/>
      <c r="Q158" s="148"/>
      <c r="R158" s="148"/>
      <c r="S158" s="148"/>
      <c r="T158" s="148"/>
      <c r="U158" s="148"/>
      <c r="V158" s="148"/>
      <c r="W158" s="148"/>
      <c r="X158" s="148"/>
      <c r="Y158" s="148"/>
      <c r="Z158" s="148"/>
      <c r="AA158" s="148"/>
    </row>
    <row r="159" spans="2:27" s="175" customFormat="1">
      <c r="B159" s="148"/>
      <c r="C159" s="148"/>
      <c r="D159" s="148"/>
      <c r="E159" s="148"/>
      <c r="F159" s="148"/>
      <c r="G159" s="148"/>
      <c r="H159" s="148"/>
      <c r="I159" s="148"/>
      <c r="J159" s="148"/>
      <c r="K159" s="148"/>
      <c r="L159" s="148"/>
      <c r="M159" s="148"/>
      <c r="N159" s="148"/>
      <c r="O159" s="148"/>
      <c r="P159" s="148"/>
      <c r="Q159" s="148"/>
      <c r="R159" s="148"/>
      <c r="S159" s="148"/>
      <c r="T159" s="148"/>
      <c r="U159" s="148"/>
      <c r="V159" s="148"/>
      <c r="W159" s="148"/>
      <c r="X159" s="148"/>
      <c r="Y159" s="148"/>
      <c r="Z159" s="148"/>
      <c r="AA159" s="148"/>
    </row>
    <row r="160" spans="2:27" s="175" customFormat="1">
      <c r="B160" s="148"/>
      <c r="C160" s="148"/>
      <c r="D160" s="148"/>
      <c r="E160" s="148"/>
      <c r="F160" s="148"/>
      <c r="G160" s="148"/>
      <c r="H160" s="148"/>
      <c r="I160" s="148"/>
      <c r="J160" s="148"/>
      <c r="K160" s="148"/>
      <c r="L160" s="148"/>
      <c r="M160" s="148"/>
      <c r="N160" s="148"/>
      <c r="O160" s="148"/>
      <c r="P160" s="148"/>
      <c r="Q160" s="148"/>
      <c r="R160" s="148"/>
      <c r="S160" s="148"/>
      <c r="T160" s="148"/>
      <c r="U160" s="148"/>
      <c r="V160" s="148"/>
      <c r="W160" s="148"/>
      <c r="X160" s="148"/>
      <c r="Y160" s="148"/>
      <c r="Z160" s="148"/>
      <c r="AA160" s="148"/>
    </row>
    <row r="161" spans="2:27" s="175" customFormat="1">
      <c r="B161" s="148"/>
      <c r="C161" s="148"/>
      <c r="D161" s="148"/>
      <c r="E161" s="148"/>
      <c r="F161" s="148"/>
      <c r="G161" s="148"/>
      <c r="H161" s="148"/>
      <c r="I161" s="148"/>
      <c r="J161" s="148"/>
      <c r="K161" s="148"/>
      <c r="L161" s="148"/>
      <c r="M161" s="148"/>
      <c r="N161" s="148"/>
      <c r="O161" s="148"/>
      <c r="P161" s="148"/>
      <c r="Q161" s="148"/>
      <c r="R161" s="148"/>
      <c r="S161" s="148"/>
      <c r="T161" s="148"/>
      <c r="U161" s="148"/>
      <c r="V161" s="148"/>
      <c r="W161" s="148"/>
      <c r="X161" s="148"/>
      <c r="Y161" s="148"/>
      <c r="Z161" s="148"/>
      <c r="AA161" s="148"/>
    </row>
    <row r="162" spans="2:27" s="175" customFormat="1">
      <c r="B162" s="148"/>
      <c r="C162" s="148"/>
      <c r="D162" s="148"/>
      <c r="E162" s="148"/>
      <c r="F162" s="148"/>
      <c r="G162" s="148"/>
      <c r="H162" s="148"/>
      <c r="I162" s="148"/>
      <c r="J162" s="148"/>
      <c r="K162" s="148"/>
      <c r="L162" s="148"/>
      <c r="M162" s="148"/>
      <c r="N162" s="148"/>
      <c r="O162" s="148"/>
      <c r="P162" s="148"/>
      <c r="Q162" s="148"/>
      <c r="R162" s="148"/>
      <c r="S162" s="148"/>
      <c r="T162" s="148"/>
      <c r="U162" s="148"/>
      <c r="V162" s="148"/>
      <c r="W162" s="148"/>
      <c r="X162" s="148"/>
      <c r="Y162" s="148"/>
      <c r="Z162" s="148"/>
      <c r="AA162" s="148"/>
    </row>
    <row r="163" spans="2:27" s="175" customFormat="1">
      <c r="B163" s="148"/>
      <c r="C163" s="148"/>
      <c r="D163" s="148"/>
      <c r="E163" s="148"/>
      <c r="F163" s="148"/>
      <c r="G163" s="148"/>
      <c r="H163" s="148"/>
      <c r="I163" s="148"/>
      <c r="J163" s="148"/>
      <c r="K163" s="148"/>
      <c r="L163" s="148"/>
      <c r="M163" s="148"/>
      <c r="N163" s="148"/>
      <c r="O163" s="148"/>
      <c r="P163" s="148"/>
      <c r="Q163" s="148"/>
      <c r="R163" s="148"/>
      <c r="S163" s="148"/>
      <c r="T163" s="148"/>
      <c r="U163" s="148"/>
      <c r="V163" s="148"/>
      <c r="W163" s="148"/>
      <c r="X163" s="148"/>
      <c r="Y163" s="148"/>
      <c r="Z163" s="148"/>
      <c r="AA163" s="148"/>
    </row>
    <row r="164" spans="2:27" s="175" customFormat="1">
      <c r="B164" s="148"/>
      <c r="C164" s="148"/>
      <c r="D164" s="148"/>
      <c r="E164" s="148"/>
      <c r="F164" s="148"/>
      <c r="G164" s="148"/>
      <c r="H164" s="148"/>
      <c r="I164" s="148"/>
      <c r="J164" s="148"/>
      <c r="K164" s="148"/>
      <c r="L164" s="148"/>
      <c r="M164" s="148"/>
      <c r="N164" s="148"/>
      <c r="O164" s="148"/>
      <c r="P164" s="148"/>
      <c r="Q164" s="148"/>
      <c r="R164" s="148"/>
      <c r="S164" s="148"/>
      <c r="T164" s="148"/>
      <c r="U164" s="148"/>
      <c r="V164" s="148"/>
      <c r="W164" s="148"/>
      <c r="X164" s="148"/>
      <c r="Y164" s="148"/>
      <c r="Z164" s="148"/>
      <c r="AA164" s="148"/>
    </row>
    <row r="165" spans="2:27" s="175" customFormat="1">
      <c r="B165" s="148"/>
      <c r="C165" s="148"/>
      <c r="D165" s="148"/>
      <c r="E165" s="148"/>
      <c r="F165" s="148"/>
      <c r="G165" s="148"/>
      <c r="H165" s="148"/>
      <c r="I165" s="148"/>
      <c r="J165" s="148"/>
      <c r="K165" s="148"/>
      <c r="L165" s="148"/>
      <c r="M165" s="148"/>
      <c r="N165" s="148"/>
      <c r="O165" s="148"/>
      <c r="P165" s="148"/>
      <c r="Q165" s="148"/>
      <c r="R165" s="148"/>
      <c r="S165" s="148"/>
      <c r="T165" s="148"/>
      <c r="U165" s="148"/>
      <c r="V165" s="148"/>
      <c r="W165" s="148"/>
      <c r="X165" s="148"/>
      <c r="Y165" s="148"/>
      <c r="Z165" s="148"/>
      <c r="AA165" s="148"/>
    </row>
    <row r="166" spans="2:27" s="175" customFormat="1">
      <c r="B166" s="148"/>
      <c r="C166" s="148"/>
      <c r="D166" s="148"/>
      <c r="E166" s="148"/>
      <c r="F166" s="148"/>
      <c r="G166" s="148"/>
      <c r="H166" s="148"/>
      <c r="I166" s="148"/>
      <c r="J166" s="148"/>
      <c r="K166" s="148"/>
      <c r="L166" s="148"/>
      <c r="M166" s="148"/>
      <c r="N166" s="148"/>
      <c r="O166" s="148"/>
      <c r="P166" s="148"/>
      <c r="Q166" s="148"/>
      <c r="R166" s="148"/>
      <c r="S166" s="148"/>
      <c r="T166" s="148"/>
      <c r="U166" s="148"/>
      <c r="V166" s="148"/>
      <c r="W166" s="148"/>
      <c r="X166" s="148"/>
      <c r="Y166" s="148"/>
      <c r="Z166" s="148"/>
      <c r="AA166" s="148"/>
    </row>
    <row r="167" spans="2:27" s="175" customFormat="1">
      <c r="B167" s="148"/>
      <c r="C167" s="148"/>
      <c r="D167" s="148"/>
      <c r="E167" s="148"/>
      <c r="F167" s="148"/>
      <c r="G167" s="148"/>
      <c r="H167" s="148"/>
      <c r="I167" s="148"/>
      <c r="J167" s="148"/>
      <c r="K167" s="148"/>
      <c r="L167" s="148"/>
      <c r="M167" s="148"/>
      <c r="N167" s="148"/>
      <c r="O167" s="148"/>
      <c r="P167" s="148"/>
      <c r="Q167" s="148"/>
      <c r="R167" s="148"/>
      <c r="S167" s="148"/>
      <c r="T167" s="148"/>
      <c r="U167" s="148"/>
      <c r="V167" s="148"/>
      <c r="W167" s="148"/>
      <c r="X167" s="148"/>
      <c r="Y167" s="148"/>
      <c r="Z167" s="148"/>
      <c r="AA167" s="148"/>
    </row>
    <row r="168" spans="2:27" s="175" customFormat="1">
      <c r="B168" s="148"/>
      <c r="C168" s="148"/>
      <c r="D168" s="148"/>
      <c r="E168" s="148"/>
      <c r="F168" s="148"/>
      <c r="G168" s="148"/>
      <c r="H168" s="148"/>
      <c r="I168" s="148"/>
      <c r="J168" s="148"/>
      <c r="K168" s="148"/>
      <c r="L168" s="148"/>
      <c r="M168" s="148"/>
      <c r="N168" s="148"/>
      <c r="O168" s="148"/>
      <c r="P168" s="148"/>
      <c r="Q168" s="148"/>
      <c r="R168" s="148"/>
      <c r="S168" s="148"/>
      <c r="T168" s="148"/>
      <c r="U168" s="148"/>
      <c r="V168" s="148"/>
      <c r="W168" s="148"/>
      <c r="X168" s="148"/>
      <c r="Y168" s="148"/>
      <c r="Z168" s="148"/>
      <c r="AA168" s="148"/>
    </row>
    <row r="169" spans="2:27" s="175" customFormat="1">
      <c r="B169" s="148"/>
      <c r="C169" s="148"/>
      <c r="D169" s="148"/>
      <c r="E169" s="148"/>
      <c r="F169" s="148"/>
      <c r="G169" s="148"/>
      <c r="H169" s="148"/>
      <c r="I169" s="148"/>
      <c r="J169" s="148"/>
      <c r="K169" s="148"/>
      <c r="L169" s="148"/>
      <c r="M169" s="148"/>
      <c r="N169" s="148"/>
      <c r="O169" s="148"/>
      <c r="P169" s="148"/>
      <c r="Q169" s="148"/>
      <c r="R169" s="148"/>
      <c r="S169" s="148"/>
      <c r="T169" s="148"/>
      <c r="U169" s="148"/>
      <c r="V169" s="148"/>
      <c r="W169" s="148"/>
      <c r="X169" s="148"/>
      <c r="Y169" s="148"/>
      <c r="Z169" s="148"/>
      <c r="AA169" s="148"/>
    </row>
    <row r="170" spans="2:27" s="175" customFormat="1">
      <c r="B170" s="148"/>
      <c r="C170" s="148"/>
      <c r="D170" s="148"/>
      <c r="E170" s="148"/>
      <c r="F170" s="148"/>
      <c r="G170" s="148"/>
      <c r="H170" s="148"/>
      <c r="I170" s="148"/>
      <c r="J170" s="148"/>
      <c r="K170" s="148"/>
      <c r="L170" s="148"/>
      <c r="M170" s="148"/>
      <c r="N170" s="148"/>
      <c r="O170" s="148"/>
      <c r="P170" s="148"/>
      <c r="Q170" s="148"/>
      <c r="R170" s="148"/>
      <c r="S170" s="148"/>
      <c r="T170" s="148"/>
      <c r="U170" s="148"/>
      <c r="V170" s="148"/>
      <c r="W170" s="148"/>
      <c r="X170" s="148"/>
      <c r="Y170" s="148"/>
      <c r="Z170" s="148"/>
      <c r="AA170" s="148"/>
    </row>
    <row r="171" spans="2:27" s="175" customFormat="1">
      <c r="B171" s="148"/>
      <c r="C171" s="148"/>
      <c r="D171" s="148"/>
      <c r="E171" s="148"/>
      <c r="F171" s="148"/>
      <c r="G171" s="148"/>
      <c r="H171" s="148"/>
      <c r="I171" s="148"/>
      <c r="J171" s="148"/>
      <c r="K171" s="148"/>
      <c r="L171" s="148"/>
      <c r="M171" s="148"/>
      <c r="N171" s="148"/>
      <c r="O171" s="148"/>
      <c r="P171" s="148"/>
      <c r="Q171" s="148"/>
      <c r="R171" s="148"/>
      <c r="S171" s="148"/>
      <c r="T171" s="148"/>
      <c r="U171" s="148"/>
      <c r="V171" s="148"/>
      <c r="W171" s="148"/>
      <c r="X171" s="148"/>
      <c r="Y171" s="148"/>
      <c r="Z171" s="148"/>
      <c r="AA171" s="148"/>
    </row>
    <row r="172" spans="2:27" s="175" customFormat="1">
      <c r="B172" s="148"/>
      <c r="C172" s="148"/>
      <c r="D172" s="148"/>
      <c r="E172" s="148"/>
      <c r="F172" s="148"/>
      <c r="G172" s="148"/>
      <c r="H172" s="148"/>
      <c r="I172" s="148"/>
      <c r="J172" s="148"/>
      <c r="K172" s="148"/>
      <c r="L172" s="148"/>
      <c r="M172" s="148"/>
      <c r="N172" s="148"/>
      <c r="O172" s="148"/>
      <c r="P172" s="148"/>
      <c r="Q172" s="148"/>
      <c r="R172" s="148"/>
      <c r="S172" s="148"/>
      <c r="T172" s="148"/>
      <c r="U172" s="148"/>
      <c r="V172" s="148"/>
      <c r="W172" s="148"/>
      <c r="X172" s="148"/>
      <c r="Y172" s="148"/>
      <c r="Z172" s="148"/>
      <c r="AA172" s="148"/>
    </row>
    <row r="173" spans="2:27" s="175" customFormat="1">
      <c r="B173" s="148"/>
      <c r="C173" s="148"/>
      <c r="D173" s="148"/>
      <c r="E173" s="148"/>
      <c r="F173" s="148"/>
      <c r="G173" s="148"/>
      <c r="H173" s="148"/>
      <c r="I173" s="148"/>
      <c r="J173" s="148"/>
      <c r="K173" s="148"/>
      <c r="L173" s="148"/>
      <c r="M173" s="148"/>
      <c r="N173" s="148"/>
      <c r="O173" s="148"/>
      <c r="P173" s="148"/>
      <c r="Q173" s="148"/>
      <c r="R173" s="148"/>
      <c r="S173" s="148"/>
      <c r="T173" s="148"/>
      <c r="U173" s="148"/>
      <c r="V173" s="148"/>
      <c r="W173" s="148"/>
      <c r="X173" s="148"/>
      <c r="Y173" s="148"/>
      <c r="Z173" s="148"/>
      <c r="AA173" s="148"/>
    </row>
    <row r="174" spans="2:27" s="175" customFormat="1">
      <c r="B174" s="148"/>
      <c r="C174" s="148"/>
      <c r="D174" s="148"/>
      <c r="E174" s="148"/>
      <c r="F174" s="148"/>
      <c r="G174" s="148"/>
      <c r="H174" s="148"/>
      <c r="I174" s="148"/>
      <c r="J174" s="148"/>
      <c r="K174" s="148"/>
      <c r="L174" s="148"/>
      <c r="M174" s="148"/>
      <c r="N174" s="148"/>
      <c r="O174" s="148"/>
      <c r="P174" s="148"/>
      <c r="Q174" s="148"/>
      <c r="R174" s="148"/>
      <c r="S174" s="148"/>
      <c r="T174" s="148"/>
      <c r="U174" s="148"/>
      <c r="V174" s="148"/>
      <c r="W174" s="148"/>
      <c r="X174" s="148"/>
      <c r="Y174" s="148"/>
      <c r="Z174" s="148"/>
      <c r="AA174" s="148"/>
    </row>
    <row r="175" spans="2:27" s="175" customFormat="1">
      <c r="B175" s="148"/>
      <c r="C175" s="148"/>
      <c r="D175" s="148"/>
      <c r="E175" s="148"/>
      <c r="F175" s="148"/>
      <c r="G175" s="148"/>
      <c r="H175" s="148"/>
      <c r="I175" s="148"/>
      <c r="J175" s="148"/>
      <c r="K175" s="148"/>
      <c r="L175" s="148"/>
      <c r="M175" s="148"/>
      <c r="N175" s="148"/>
      <c r="O175" s="148"/>
      <c r="P175" s="148"/>
      <c r="Q175" s="148"/>
      <c r="R175" s="148"/>
      <c r="S175" s="148"/>
      <c r="T175" s="148"/>
      <c r="U175" s="148"/>
      <c r="V175" s="148"/>
      <c r="W175" s="148"/>
      <c r="X175" s="148"/>
      <c r="Y175" s="148"/>
      <c r="Z175" s="148"/>
      <c r="AA175" s="148"/>
    </row>
    <row r="176" spans="2:27" s="175" customFormat="1">
      <c r="B176" s="148"/>
      <c r="C176" s="148"/>
      <c r="D176" s="148"/>
      <c r="E176" s="148"/>
      <c r="F176" s="148"/>
      <c r="G176" s="148"/>
      <c r="H176" s="148"/>
      <c r="I176" s="148"/>
      <c r="J176" s="148"/>
      <c r="K176" s="148"/>
      <c r="L176" s="148"/>
      <c r="M176" s="148"/>
      <c r="N176" s="148"/>
      <c r="O176" s="148"/>
      <c r="P176" s="148"/>
      <c r="Q176" s="148"/>
      <c r="R176" s="148"/>
      <c r="S176" s="148"/>
      <c r="T176" s="148"/>
      <c r="U176" s="148"/>
      <c r="V176" s="148"/>
      <c r="W176" s="148"/>
      <c r="X176" s="148"/>
      <c r="Y176" s="148"/>
      <c r="Z176" s="148"/>
      <c r="AA176" s="148"/>
    </row>
    <row r="177" spans="2:27" s="175" customFormat="1">
      <c r="B177" s="148"/>
      <c r="C177" s="148"/>
      <c r="D177" s="148"/>
      <c r="E177" s="148"/>
      <c r="F177" s="148"/>
      <c r="G177" s="148"/>
      <c r="H177" s="148"/>
      <c r="I177" s="148"/>
      <c r="J177" s="148"/>
      <c r="K177" s="148"/>
      <c r="L177" s="148"/>
      <c r="M177" s="148"/>
      <c r="N177" s="148"/>
      <c r="O177" s="148"/>
      <c r="P177" s="148"/>
      <c r="Q177" s="148"/>
      <c r="R177" s="148"/>
      <c r="S177" s="148"/>
      <c r="T177" s="148"/>
      <c r="U177" s="148"/>
      <c r="V177" s="148"/>
      <c r="W177" s="148"/>
      <c r="X177" s="148"/>
      <c r="Y177" s="148"/>
      <c r="Z177" s="148"/>
      <c r="AA177" s="148"/>
    </row>
    <row r="178" spans="2:27" s="175" customFormat="1">
      <c r="B178" s="148"/>
      <c r="C178" s="148"/>
      <c r="D178" s="148"/>
      <c r="E178" s="148"/>
      <c r="F178" s="148"/>
      <c r="G178" s="148"/>
      <c r="H178" s="148"/>
      <c r="I178" s="148"/>
      <c r="J178" s="148"/>
      <c r="K178" s="148"/>
      <c r="L178" s="148"/>
      <c r="M178" s="148"/>
      <c r="N178" s="148"/>
      <c r="O178" s="148"/>
      <c r="P178" s="148"/>
      <c r="Q178" s="148"/>
      <c r="R178" s="148"/>
      <c r="S178" s="148"/>
      <c r="T178" s="148"/>
      <c r="U178" s="148"/>
      <c r="V178" s="148"/>
      <c r="W178" s="148"/>
      <c r="X178" s="148"/>
      <c r="Y178" s="148"/>
      <c r="Z178" s="148"/>
      <c r="AA178" s="148"/>
    </row>
    <row r="179" spans="2:27" s="175" customFormat="1">
      <c r="B179" s="148"/>
      <c r="C179" s="148"/>
      <c r="D179" s="148"/>
      <c r="E179" s="148"/>
      <c r="F179" s="148"/>
      <c r="G179" s="148"/>
      <c r="H179" s="148"/>
      <c r="I179" s="148"/>
      <c r="J179" s="148"/>
      <c r="K179" s="148"/>
      <c r="L179" s="148"/>
      <c r="M179" s="148"/>
      <c r="N179" s="148"/>
      <c r="O179" s="148"/>
      <c r="P179" s="148"/>
      <c r="Q179" s="148"/>
      <c r="R179" s="148"/>
      <c r="S179" s="148"/>
      <c r="T179" s="148"/>
      <c r="U179" s="148"/>
      <c r="V179" s="148"/>
      <c r="W179" s="148"/>
      <c r="X179" s="148"/>
      <c r="Y179" s="148"/>
      <c r="Z179" s="148"/>
      <c r="AA179" s="148"/>
    </row>
    <row r="180" spans="2:27" s="175" customFormat="1">
      <c r="B180" s="148"/>
      <c r="C180" s="148"/>
      <c r="D180" s="148"/>
      <c r="E180" s="148"/>
      <c r="F180" s="148"/>
      <c r="G180" s="148"/>
      <c r="H180" s="148"/>
      <c r="I180" s="148"/>
      <c r="J180" s="148"/>
      <c r="K180" s="148"/>
      <c r="L180" s="148"/>
      <c r="M180" s="148"/>
      <c r="N180" s="148"/>
      <c r="O180" s="148"/>
      <c r="P180" s="148"/>
      <c r="Q180" s="148"/>
      <c r="R180" s="148"/>
      <c r="S180" s="148"/>
      <c r="T180" s="148"/>
      <c r="U180" s="148"/>
      <c r="V180" s="148"/>
      <c r="W180" s="148"/>
      <c r="X180" s="148"/>
      <c r="Y180" s="148"/>
      <c r="Z180" s="148"/>
      <c r="AA180" s="148"/>
    </row>
    <row r="181" spans="2:27" s="175" customFormat="1">
      <c r="B181" s="148"/>
      <c r="C181" s="148"/>
      <c r="D181" s="148"/>
      <c r="E181" s="148"/>
      <c r="F181" s="148"/>
      <c r="G181" s="148"/>
      <c r="H181" s="148"/>
      <c r="I181" s="148"/>
      <c r="J181" s="148"/>
      <c r="K181" s="148"/>
      <c r="L181" s="148"/>
      <c r="M181" s="148"/>
      <c r="N181" s="148"/>
      <c r="O181" s="148"/>
      <c r="P181" s="148"/>
      <c r="Q181" s="148"/>
      <c r="R181" s="148"/>
      <c r="S181" s="148"/>
      <c r="T181" s="148"/>
      <c r="U181" s="148"/>
      <c r="V181" s="148"/>
      <c r="W181" s="148"/>
      <c r="X181" s="148"/>
      <c r="Y181" s="148"/>
      <c r="Z181" s="148"/>
      <c r="AA181" s="148"/>
    </row>
    <row r="182" spans="2:27" s="175" customFormat="1">
      <c r="B182" s="148"/>
      <c r="C182" s="148"/>
      <c r="D182" s="148"/>
      <c r="E182" s="148"/>
      <c r="F182" s="148"/>
      <c r="G182" s="148"/>
      <c r="H182" s="148"/>
      <c r="I182" s="148"/>
      <c r="J182" s="148"/>
      <c r="K182" s="148"/>
      <c r="L182" s="148"/>
      <c r="M182" s="148"/>
      <c r="N182" s="148"/>
      <c r="O182" s="148"/>
      <c r="P182" s="148"/>
      <c r="Q182" s="148"/>
      <c r="R182" s="148"/>
      <c r="S182" s="148"/>
      <c r="T182" s="148"/>
      <c r="U182" s="148"/>
      <c r="V182" s="148"/>
      <c r="W182" s="148"/>
      <c r="X182" s="148"/>
      <c r="Y182" s="148"/>
      <c r="Z182" s="148"/>
      <c r="AA182" s="148"/>
    </row>
    <row r="183" spans="2:27" s="175" customFormat="1">
      <c r="B183" s="148"/>
      <c r="C183" s="148"/>
      <c r="D183" s="148"/>
      <c r="E183" s="148"/>
      <c r="F183" s="148"/>
      <c r="G183" s="148"/>
      <c r="H183" s="148"/>
      <c r="I183" s="148"/>
      <c r="J183" s="148"/>
      <c r="K183" s="148"/>
      <c r="L183" s="148"/>
      <c r="M183" s="148"/>
      <c r="N183" s="148"/>
      <c r="O183" s="148"/>
      <c r="P183" s="148"/>
      <c r="Q183" s="148"/>
      <c r="R183" s="148"/>
      <c r="S183" s="148"/>
      <c r="T183" s="148"/>
      <c r="U183" s="148"/>
      <c r="V183" s="148"/>
      <c r="W183" s="148"/>
      <c r="X183" s="148"/>
      <c r="Y183" s="148"/>
      <c r="Z183" s="148"/>
      <c r="AA183" s="148"/>
    </row>
    <row r="184" spans="2:27" s="175" customFormat="1">
      <c r="B184" s="148"/>
      <c r="C184" s="148"/>
      <c r="D184" s="148"/>
      <c r="E184" s="148"/>
      <c r="F184" s="148"/>
      <c r="G184" s="148"/>
      <c r="H184" s="148"/>
      <c r="I184" s="148"/>
      <c r="J184" s="148"/>
      <c r="K184" s="148"/>
      <c r="L184" s="148"/>
      <c r="M184" s="148"/>
      <c r="N184" s="148"/>
      <c r="O184" s="148"/>
      <c r="P184" s="148"/>
      <c r="Q184" s="148"/>
      <c r="R184" s="148"/>
      <c r="S184" s="148"/>
      <c r="T184" s="148"/>
      <c r="U184" s="148"/>
      <c r="V184" s="148"/>
      <c r="W184" s="148"/>
      <c r="X184" s="148"/>
      <c r="Y184" s="148"/>
      <c r="Z184" s="148"/>
      <c r="AA184" s="148"/>
    </row>
    <row r="185" spans="2:27" s="175" customFormat="1">
      <c r="B185" s="148"/>
      <c r="C185" s="148"/>
      <c r="D185" s="148"/>
      <c r="E185" s="148"/>
      <c r="F185" s="148"/>
      <c r="G185" s="148"/>
      <c r="H185" s="148"/>
      <c r="I185" s="148"/>
      <c r="J185" s="148"/>
      <c r="K185" s="148"/>
      <c r="L185" s="148"/>
      <c r="M185" s="148"/>
      <c r="N185" s="148"/>
      <c r="O185" s="148"/>
      <c r="P185" s="148"/>
      <c r="Q185" s="148"/>
      <c r="R185" s="148"/>
      <c r="S185" s="148"/>
      <c r="T185" s="148"/>
      <c r="U185" s="148"/>
      <c r="V185" s="148"/>
      <c r="W185" s="148"/>
      <c r="X185" s="148"/>
      <c r="Y185" s="148"/>
      <c r="Z185" s="148"/>
      <c r="AA185" s="148"/>
    </row>
    <row r="186" spans="2:27" s="175" customFormat="1">
      <c r="B186" s="148"/>
      <c r="C186" s="148"/>
      <c r="D186" s="148"/>
      <c r="E186" s="148"/>
      <c r="F186" s="148"/>
      <c r="G186" s="148"/>
      <c r="H186" s="148"/>
      <c r="I186" s="148"/>
      <c r="J186" s="148"/>
      <c r="K186" s="148"/>
      <c r="L186" s="148"/>
      <c r="M186" s="148"/>
      <c r="N186" s="148"/>
      <c r="O186" s="148"/>
      <c r="P186" s="148"/>
      <c r="Q186" s="148"/>
      <c r="R186" s="148"/>
      <c r="S186" s="148"/>
      <c r="T186" s="148"/>
      <c r="U186" s="148"/>
      <c r="V186" s="148"/>
      <c r="W186" s="148"/>
      <c r="X186" s="148"/>
      <c r="Y186" s="148"/>
      <c r="Z186" s="148"/>
      <c r="AA186" s="148"/>
    </row>
    <row r="187" spans="2:27" s="175" customFormat="1">
      <c r="B187" s="148"/>
      <c r="C187" s="148"/>
      <c r="D187" s="148"/>
      <c r="E187" s="148"/>
      <c r="F187" s="148"/>
      <c r="G187" s="148"/>
      <c r="H187" s="148"/>
      <c r="I187" s="148"/>
      <c r="J187" s="148"/>
      <c r="K187" s="148"/>
      <c r="L187" s="148"/>
      <c r="M187" s="148"/>
      <c r="N187" s="148"/>
      <c r="O187" s="148"/>
      <c r="P187" s="148"/>
      <c r="Q187" s="148"/>
      <c r="R187" s="148"/>
      <c r="S187" s="148"/>
      <c r="T187" s="148"/>
      <c r="U187" s="148"/>
      <c r="V187" s="148"/>
      <c r="W187" s="148"/>
      <c r="X187" s="148"/>
      <c r="Y187" s="148"/>
      <c r="Z187" s="148"/>
      <c r="AA187" s="148"/>
    </row>
    <row r="188" spans="2:27" s="175" customFormat="1">
      <c r="B188" s="148"/>
      <c r="C188" s="148"/>
      <c r="D188" s="148"/>
      <c r="E188" s="148"/>
      <c r="F188" s="148"/>
      <c r="G188" s="148"/>
      <c r="H188" s="148"/>
      <c r="I188" s="148"/>
      <c r="J188" s="148"/>
      <c r="K188" s="148"/>
      <c r="L188" s="148"/>
      <c r="M188" s="148"/>
      <c r="N188" s="148"/>
      <c r="O188" s="148"/>
      <c r="P188" s="148"/>
      <c r="Q188" s="148"/>
      <c r="R188" s="148"/>
      <c r="S188" s="148"/>
      <c r="T188" s="148"/>
      <c r="U188" s="148"/>
      <c r="V188" s="148"/>
      <c r="W188" s="148"/>
      <c r="X188" s="148"/>
      <c r="Y188" s="148"/>
      <c r="Z188" s="148"/>
      <c r="AA188" s="148"/>
    </row>
    <row r="189" spans="2:27" s="175" customFormat="1">
      <c r="B189" s="148"/>
      <c r="C189" s="148"/>
      <c r="D189" s="148"/>
      <c r="E189" s="148"/>
      <c r="F189" s="148"/>
      <c r="G189" s="148"/>
      <c r="H189" s="148"/>
      <c r="I189" s="148"/>
      <c r="J189" s="148"/>
      <c r="K189" s="148"/>
      <c r="L189" s="148"/>
      <c r="M189" s="148"/>
      <c r="N189" s="148"/>
      <c r="O189" s="148"/>
      <c r="P189" s="148"/>
      <c r="Q189" s="148"/>
      <c r="R189" s="148"/>
      <c r="S189" s="148"/>
      <c r="T189" s="148"/>
      <c r="U189" s="148"/>
      <c r="V189" s="148"/>
      <c r="W189" s="148"/>
      <c r="X189" s="148"/>
      <c r="Y189" s="148"/>
      <c r="Z189" s="148"/>
      <c r="AA189" s="148"/>
    </row>
    <row r="190" spans="2:27" s="175" customFormat="1">
      <c r="B190" s="148"/>
      <c r="C190" s="148"/>
      <c r="D190" s="148"/>
      <c r="E190" s="148"/>
      <c r="F190" s="148"/>
      <c r="G190" s="148"/>
      <c r="H190" s="148"/>
      <c r="I190" s="148"/>
      <c r="J190" s="148"/>
      <c r="K190" s="148"/>
      <c r="L190" s="148"/>
      <c r="M190" s="148"/>
      <c r="N190" s="148"/>
      <c r="O190" s="148"/>
      <c r="P190" s="148"/>
      <c r="Q190" s="148"/>
      <c r="R190" s="148"/>
      <c r="S190" s="148"/>
      <c r="T190" s="148"/>
      <c r="U190" s="148"/>
      <c r="V190" s="148"/>
      <c r="W190" s="148"/>
      <c r="X190" s="148"/>
      <c r="Y190" s="148"/>
      <c r="Z190" s="148"/>
      <c r="AA190" s="148"/>
    </row>
    <row r="191" spans="2:27" s="175" customFormat="1">
      <c r="B191" s="148"/>
      <c r="C191" s="148"/>
      <c r="D191" s="148"/>
      <c r="E191" s="148"/>
      <c r="F191" s="148"/>
      <c r="G191" s="148"/>
      <c r="H191" s="148"/>
      <c r="I191" s="148"/>
      <c r="J191" s="148"/>
      <c r="K191" s="148"/>
      <c r="L191" s="148"/>
      <c r="M191" s="148"/>
      <c r="N191" s="148"/>
      <c r="O191" s="148"/>
      <c r="P191" s="148"/>
      <c r="Q191" s="148"/>
      <c r="R191" s="148"/>
      <c r="S191" s="148"/>
      <c r="T191" s="148"/>
      <c r="U191" s="148"/>
      <c r="V191" s="148"/>
      <c r="W191" s="148"/>
      <c r="X191" s="148"/>
      <c r="Y191" s="148"/>
      <c r="Z191" s="148"/>
      <c r="AA191" s="148"/>
    </row>
    <row r="192" spans="2:27" s="175" customFormat="1">
      <c r="B192" s="148"/>
      <c r="C192" s="148"/>
      <c r="D192" s="148"/>
      <c r="E192" s="148"/>
      <c r="F192" s="148"/>
      <c r="G192" s="148"/>
      <c r="H192" s="148"/>
      <c r="I192" s="148"/>
      <c r="J192" s="148"/>
      <c r="K192" s="148"/>
      <c r="L192" s="148"/>
      <c r="M192" s="148"/>
      <c r="N192" s="148"/>
      <c r="O192" s="148"/>
      <c r="P192" s="148"/>
      <c r="Q192" s="148"/>
      <c r="R192" s="148"/>
      <c r="S192" s="148"/>
      <c r="T192" s="148"/>
      <c r="U192" s="148"/>
      <c r="V192" s="148"/>
      <c r="W192" s="148"/>
      <c r="X192" s="148"/>
      <c r="Y192" s="148"/>
      <c r="Z192" s="148"/>
      <c r="AA192" s="148"/>
    </row>
    <row r="193" spans="2:27" s="175" customFormat="1">
      <c r="B193" s="148"/>
      <c r="C193" s="148"/>
      <c r="D193" s="148"/>
      <c r="E193" s="148"/>
      <c r="F193" s="148"/>
      <c r="G193" s="148"/>
      <c r="H193" s="148"/>
      <c r="I193" s="148"/>
      <c r="J193" s="148"/>
      <c r="K193" s="148"/>
      <c r="L193" s="148"/>
      <c r="M193" s="148"/>
      <c r="N193" s="148"/>
      <c r="O193" s="148"/>
      <c r="P193" s="148"/>
      <c r="Q193" s="148"/>
      <c r="R193" s="148"/>
      <c r="S193" s="148"/>
      <c r="T193" s="148"/>
      <c r="U193" s="148"/>
      <c r="V193" s="148"/>
      <c r="W193" s="148"/>
      <c r="X193" s="148"/>
      <c r="Y193" s="148"/>
      <c r="Z193" s="148"/>
      <c r="AA193" s="148"/>
    </row>
    <row r="194" spans="2:27" s="175" customFormat="1">
      <c r="B194" s="148"/>
      <c r="C194" s="148"/>
      <c r="D194" s="148"/>
      <c r="E194" s="148"/>
      <c r="F194" s="148"/>
      <c r="G194" s="148"/>
      <c r="H194" s="148"/>
      <c r="I194" s="148"/>
      <c r="J194" s="148"/>
      <c r="K194" s="148"/>
      <c r="L194" s="148"/>
      <c r="M194" s="148"/>
      <c r="N194" s="148"/>
      <c r="O194" s="148"/>
      <c r="P194" s="148"/>
      <c r="Q194" s="148"/>
      <c r="R194" s="148"/>
      <c r="S194" s="148"/>
      <c r="T194" s="148"/>
      <c r="U194" s="148"/>
      <c r="V194" s="148"/>
      <c r="W194" s="148"/>
      <c r="X194" s="148"/>
      <c r="Y194" s="148"/>
      <c r="Z194" s="148"/>
      <c r="AA194" s="148"/>
    </row>
    <row r="195" spans="2:27" s="175" customFormat="1">
      <c r="B195" s="148"/>
      <c r="C195" s="148"/>
      <c r="D195" s="148"/>
      <c r="E195" s="148"/>
      <c r="F195" s="148"/>
      <c r="G195" s="148"/>
      <c r="H195" s="148"/>
      <c r="I195" s="148"/>
      <c r="J195" s="148"/>
      <c r="K195" s="148"/>
      <c r="L195" s="148"/>
      <c r="M195" s="148"/>
      <c r="N195" s="148"/>
      <c r="O195" s="148"/>
      <c r="P195" s="148"/>
      <c r="Q195" s="148"/>
      <c r="R195" s="148"/>
      <c r="S195" s="148"/>
      <c r="T195" s="148"/>
      <c r="U195" s="148"/>
      <c r="V195" s="148"/>
      <c r="W195" s="148"/>
      <c r="X195" s="148"/>
      <c r="Y195" s="148"/>
      <c r="Z195" s="148"/>
      <c r="AA195" s="148"/>
    </row>
    <row r="196" spans="2:27" s="175" customFormat="1">
      <c r="B196" s="148"/>
      <c r="C196" s="148"/>
      <c r="D196" s="148"/>
      <c r="E196" s="148"/>
      <c r="F196" s="148"/>
      <c r="G196" s="148"/>
      <c r="H196" s="148"/>
      <c r="I196" s="148"/>
      <c r="J196" s="148"/>
      <c r="K196" s="148"/>
      <c r="L196" s="148"/>
      <c r="M196" s="148"/>
      <c r="N196" s="148"/>
      <c r="O196" s="148"/>
      <c r="P196" s="148"/>
      <c r="Q196" s="148"/>
      <c r="R196" s="148"/>
      <c r="S196" s="148"/>
      <c r="T196" s="148"/>
      <c r="U196" s="148"/>
      <c r="V196" s="148"/>
      <c r="W196" s="148"/>
      <c r="X196" s="148"/>
      <c r="Y196" s="148"/>
      <c r="Z196" s="148"/>
      <c r="AA196" s="148"/>
    </row>
    <row r="197" spans="2:27" s="175" customFormat="1">
      <c r="B197" s="148"/>
      <c r="C197" s="148"/>
      <c r="D197" s="148"/>
      <c r="E197" s="148"/>
      <c r="F197" s="148"/>
      <c r="G197" s="148"/>
      <c r="H197" s="148"/>
      <c r="I197" s="148"/>
      <c r="J197" s="148"/>
      <c r="K197" s="148"/>
      <c r="L197" s="148"/>
      <c r="M197" s="148"/>
      <c r="N197" s="148"/>
      <c r="O197" s="148"/>
      <c r="P197" s="148"/>
      <c r="Q197" s="148"/>
      <c r="R197" s="148"/>
      <c r="S197" s="148"/>
      <c r="T197" s="148"/>
      <c r="U197" s="148"/>
      <c r="V197" s="148"/>
      <c r="W197" s="148"/>
      <c r="X197" s="148"/>
      <c r="Y197" s="148"/>
      <c r="Z197" s="148"/>
      <c r="AA197" s="148"/>
    </row>
    <row r="198" spans="2:27" s="175" customFormat="1">
      <c r="B198" s="148"/>
      <c r="C198" s="148"/>
      <c r="D198" s="148"/>
      <c r="E198" s="148"/>
      <c r="F198" s="148"/>
      <c r="G198" s="148"/>
      <c r="H198" s="148"/>
      <c r="I198" s="148"/>
      <c r="J198" s="148"/>
      <c r="K198" s="148"/>
      <c r="L198" s="148"/>
      <c r="M198" s="148"/>
      <c r="N198" s="148"/>
      <c r="O198" s="148"/>
      <c r="P198" s="148"/>
      <c r="Q198" s="148"/>
      <c r="R198" s="148"/>
      <c r="S198" s="148"/>
      <c r="T198" s="148"/>
      <c r="U198" s="148"/>
      <c r="V198" s="148"/>
      <c r="W198" s="148"/>
      <c r="X198" s="148"/>
      <c r="Y198" s="148"/>
      <c r="Z198" s="148"/>
      <c r="AA198" s="148"/>
    </row>
    <row r="199" spans="2:27" s="175" customFormat="1">
      <c r="B199" s="148"/>
      <c r="C199" s="148"/>
      <c r="D199" s="148"/>
      <c r="E199" s="148"/>
      <c r="F199" s="148"/>
      <c r="G199" s="148"/>
      <c r="H199" s="148"/>
      <c r="I199" s="148"/>
      <c r="J199" s="148"/>
      <c r="K199" s="148"/>
      <c r="L199" s="148"/>
      <c r="M199" s="148"/>
      <c r="N199" s="148"/>
      <c r="O199" s="148"/>
      <c r="P199" s="148"/>
      <c r="Q199" s="148"/>
      <c r="R199" s="148"/>
      <c r="S199" s="148"/>
      <c r="T199" s="148"/>
      <c r="U199" s="148"/>
      <c r="V199" s="148"/>
      <c r="W199" s="148"/>
      <c r="X199" s="148"/>
      <c r="Y199" s="148"/>
      <c r="Z199" s="148"/>
      <c r="AA199" s="148"/>
    </row>
    <row r="200" spans="2:27" s="175" customFormat="1">
      <c r="B200" s="148"/>
      <c r="C200" s="148"/>
      <c r="D200" s="148"/>
      <c r="E200" s="148"/>
      <c r="F200" s="148"/>
      <c r="G200" s="148"/>
      <c r="H200" s="148"/>
      <c r="I200" s="148"/>
      <c r="J200" s="148"/>
      <c r="K200" s="148"/>
      <c r="L200" s="148"/>
      <c r="M200" s="148"/>
      <c r="N200" s="148"/>
      <c r="O200" s="148"/>
      <c r="P200" s="148"/>
      <c r="Q200" s="148"/>
      <c r="R200" s="148"/>
      <c r="S200" s="148"/>
      <c r="T200" s="148"/>
      <c r="U200" s="148"/>
      <c r="V200" s="148"/>
      <c r="W200" s="148"/>
      <c r="X200" s="148"/>
      <c r="Y200" s="148"/>
      <c r="Z200" s="148"/>
      <c r="AA200" s="148"/>
    </row>
    <row r="201" spans="2:27" s="175" customFormat="1">
      <c r="B201" s="148"/>
      <c r="C201" s="148"/>
      <c r="D201" s="148"/>
      <c r="E201" s="148"/>
      <c r="F201" s="148"/>
      <c r="G201" s="148"/>
      <c r="H201" s="148"/>
      <c r="I201" s="148"/>
      <c r="J201" s="148"/>
      <c r="K201" s="148"/>
      <c r="L201" s="148"/>
      <c r="M201" s="148"/>
      <c r="N201" s="148"/>
      <c r="O201" s="148"/>
      <c r="P201" s="148"/>
      <c r="Q201" s="148"/>
      <c r="R201" s="148"/>
      <c r="S201" s="148"/>
      <c r="T201" s="148"/>
      <c r="U201" s="148"/>
      <c r="V201" s="148"/>
      <c r="W201" s="148"/>
      <c r="X201" s="148"/>
      <c r="Y201" s="148"/>
      <c r="Z201" s="148"/>
      <c r="AA201" s="148"/>
    </row>
    <row r="202" spans="2:27" s="175" customFormat="1">
      <c r="B202" s="148"/>
      <c r="C202" s="148"/>
      <c r="D202" s="148"/>
      <c r="E202" s="148"/>
      <c r="F202" s="148"/>
      <c r="G202" s="148"/>
      <c r="H202" s="148"/>
      <c r="I202" s="148"/>
      <c r="J202" s="148"/>
      <c r="K202" s="148"/>
      <c r="L202" s="148"/>
      <c r="M202" s="148"/>
      <c r="N202" s="148"/>
      <c r="O202" s="148"/>
      <c r="P202" s="148"/>
      <c r="Q202" s="148"/>
      <c r="R202" s="148"/>
      <c r="S202" s="148"/>
      <c r="T202" s="148"/>
      <c r="U202" s="148"/>
      <c r="V202" s="148"/>
      <c r="W202" s="148"/>
      <c r="X202" s="148"/>
      <c r="Y202" s="148"/>
      <c r="Z202" s="148"/>
      <c r="AA202" s="148"/>
    </row>
    <row r="203" spans="2:27" s="175" customFormat="1">
      <c r="B203" s="148"/>
      <c r="C203" s="148"/>
      <c r="D203" s="148"/>
      <c r="E203" s="148"/>
      <c r="F203" s="148"/>
      <c r="G203" s="148"/>
      <c r="H203" s="148"/>
      <c r="I203" s="148"/>
      <c r="J203" s="148"/>
      <c r="K203" s="148"/>
      <c r="L203" s="148"/>
      <c r="M203" s="148"/>
      <c r="N203" s="148"/>
      <c r="O203" s="148"/>
      <c r="P203" s="148"/>
      <c r="Q203" s="148"/>
      <c r="R203" s="148"/>
      <c r="S203" s="148"/>
      <c r="T203" s="148"/>
      <c r="U203" s="148"/>
      <c r="V203" s="148"/>
      <c r="W203" s="148"/>
      <c r="X203" s="148"/>
      <c r="Y203" s="148"/>
      <c r="Z203" s="148"/>
      <c r="AA203" s="148"/>
    </row>
    <row r="204" spans="2:27" s="175" customFormat="1">
      <c r="B204" s="148"/>
      <c r="C204" s="148"/>
      <c r="D204" s="148"/>
      <c r="E204" s="148"/>
      <c r="F204" s="148"/>
      <c r="G204" s="148"/>
      <c r="H204" s="148"/>
      <c r="I204" s="148"/>
      <c r="J204" s="148"/>
      <c r="K204" s="148"/>
      <c r="L204" s="148"/>
      <c r="M204" s="148"/>
      <c r="N204" s="148"/>
      <c r="O204" s="148"/>
      <c r="P204" s="148"/>
      <c r="Q204" s="148"/>
      <c r="R204" s="148"/>
      <c r="S204" s="148"/>
      <c r="T204" s="148"/>
      <c r="U204" s="148"/>
      <c r="V204" s="148"/>
      <c r="W204" s="148"/>
      <c r="X204" s="148"/>
      <c r="Y204" s="148"/>
      <c r="Z204" s="148"/>
      <c r="AA204" s="148"/>
    </row>
    <row r="205" spans="2:27" s="175" customFormat="1">
      <c r="B205" s="148"/>
      <c r="C205" s="148"/>
      <c r="D205" s="148"/>
      <c r="E205" s="148"/>
      <c r="F205" s="148"/>
      <c r="G205" s="148"/>
      <c r="H205" s="148"/>
      <c r="I205" s="148"/>
      <c r="J205" s="148"/>
      <c r="K205" s="148"/>
      <c r="L205" s="148"/>
      <c r="M205" s="148"/>
      <c r="N205" s="148"/>
      <c r="O205" s="148"/>
      <c r="P205" s="148"/>
      <c r="Q205" s="148"/>
      <c r="R205" s="148"/>
      <c r="S205" s="148"/>
      <c r="T205" s="148"/>
      <c r="U205" s="148"/>
      <c r="V205" s="148"/>
      <c r="W205" s="148"/>
      <c r="X205" s="148"/>
      <c r="Y205" s="148"/>
      <c r="Z205" s="148"/>
      <c r="AA205" s="148"/>
    </row>
    <row r="206" spans="2:27" s="175" customFormat="1">
      <c r="B206" s="148"/>
      <c r="C206" s="148"/>
      <c r="D206" s="148"/>
      <c r="E206" s="148"/>
      <c r="F206" s="148"/>
      <c r="G206" s="148"/>
      <c r="H206" s="148"/>
      <c r="I206" s="148"/>
      <c r="J206" s="148"/>
      <c r="K206" s="148"/>
      <c r="L206" s="148"/>
      <c r="M206" s="148"/>
      <c r="N206" s="148"/>
      <c r="O206" s="148"/>
      <c r="P206" s="148"/>
      <c r="Q206" s="148"/>
      <c r="R206" s="148"/>
      <c r="S206" s="148"/>
      <c r="T206" s="148"/>
      <c r="U206" s="148"/>
      <c r="V206" s="148"/>
      <c r="W206" s="148"/>
      <c r="X206" s="148"/>
      <c r="Y206" s="148"/>
      <c r="Z206" s="148"/>
      <c r="AA206" s="148"/>
    </row>
    <row r="207" spans="2:27" s="175" customFormat="1">
      <c r="B207" s="148"/>
      <c r="C207" s="148"/>
      <c r="D207" s="148"/>
      <c r="E207" s="148"/>
      <c r="F207" s="148"/>
      <c r="G207" s="148"/>
      <c r="H207" s="148"/>
      <c r="I207" s="148"/>
      <c r="J207" s="148"/>
      <c r="K207" s="148"/>
      <c r="L207" s="148"/>
      <c r="M207" s="148"/>
      <c r="N207" s="148"/>
      <c r="O207" s="148"/>
      <c r="P207" s="148"/>
      <c r="Q207" s="148"/>
      <c r="R207" s="148"/>
      <c r="S207" s="148"/>
      <c r="T207" s="148"/>
      <c r="U207" s="148"/>
      <c r="V207" s="148"/>
      <c r="W207" s="148"/>
      <c r="X207" s="148"/>
      <c r="Y207" s="148"/>
      <c r="Z207" s="148"/>
      <c r="AA207" s="148"/>
    </row>
    <row r="208" spans="2:27" s="175" customFormat="1">
      <c r="B208" s="148"/>
      <c r="C208" s="148"/>
      <c r="D208" s="148"/>
      <c r="E208" s="148"/>
      <c r="F208" s="148"/>
      <c r="G208" s="148"/>
      <c r="H208" s="148"/>
      <c r="I208" s="148"/>
      <c r="J208" s="148"/>
      <c r="K208" s="148"/>
      <c r="L208" s="148"/>
      <c r="M208" s="148"/>
      <c r="N208" s="148"/>
      <c r="O208" s="148"/>
      <c r="P208" s="148"/>
      <c r="Q208" s="148"/>
      <c r="R208" s="148"/>
      <c r="S208" s="148"/>
      <c r="T208" s="148"/>
      <c r="U208" s="148"/>
      <c r="V208" s="148"/>
      <c r="W208" s="148"/>
      <c r="X208" s="148"/>
      <c r="Y208" s="148"/>
      <c r="Z208" s="148"/>
      <c r="AA208" s="148"/>
    </row>
    <row r="209" spans="2:27" s="175" customFormat="1">
      <c r="B209" s="148"/>
      <c r="C209" s="148"/>
      <c r="D209" s="148"/>
      <c r="E209" s="148"/>
      <c r="F209" s="148"/>
      <c r="G209" s="148"/>
      <c r="H209" s="148"/>
      <c r="I209" s="148"/>
      <c r="J209" s="148"/>
      <c r="K209" s="148"/>
      <c r="L209" s="148"/>
      <c r="M209" s="148"/>
      <c r="N209" s="148"/>
      <c r="O209" s="148"/>
      <c r="P209" s="148"/>
      <c r="Q209" s="148"/>
      <c r="R209" s="148"/>
      <c r="S209" s="148"/>
      <c r="T209" s="148"/>
      <c r="U209" s="148"/>
      <c r="V209" s="148"/>
      <c r="W209" s="148"/>
      <c r="X209" s="148"/>
      <c r="Y209" s="148"/>
      <c r="Z209" s="148"/>
      <c r="AA209" s="148"/>
    </row>
    <row r="210" spans="2:27" s="175" customFormat="1">
      <c r="B210" s="148"/>
      <c r="C210" s="148"/>
      <c r="D210" s="148"/>
      <c r="E210" s="148"/>
      <c r="F210" s="148"/>
      <c r="G210" s="148"/>
      <c r="H210" s="148"/>
      <c r="I210" s="148"/>
      <c r="J210" s="148"/>
      <c r="K210" s="148"/>
      <c r="L210" s="148"/>
      <c r="M210" s="148"/>
      <c r="N210" s="148"/>
      <c r="O210" s="148"/>
      <c r="P210" s="148"/>
      <c r="Q210" s="148"/>
      <c r="R210" s="148"/>
      <c r="S210" s="148"/>
      <c r="T210" s="148"/>
      <c r="U210" s="148"/>
      <c r="V210" s="148"/>
      <c r="W210" s="148"/>
      <c r="X210" s="148"/>
      <c r="Y210" s="148"/>
      <c r="Z210" s="148"/>
      <c r="AA210" s="148"/>
    </row>
    <row r="211" spans="2:27" s="175" customFormat="1">
      <c r="B211" s="148"/>
      <c r="C211" s="148"/>
      <c r="D211" s="148"/>
      <c r="E211" s="148"/>
      <c r="F211" s="148"/>
      <c r="G211" s="148"/>
      <c r="H211" s="148"/>
      <c r="I211" s="148"/>
      <c r="J211" s="148"/>
      <c r="K211" s="148"/>
      <c r="L211" s="148"/>
      <c r="M211" s="148"/>
      <c r="N211" s="148"/>
      <c r="O211" s="148"/>
      <c r="P211" s="148"/>
      <c r="Q211" s="148"/>
      <c r="R211" s="148"/>
      <c r="S211" s="148"/>
      <c r="T211" s="148"/>
      <c r="U211" s="148"/>
      <c r="V211" s="148"/>
      <c r="W211" s="148"/>
      <c r="X211" s="148"/>
      <c r="Y211" s="148"/>
      <c r="Z211" s="148"/>
      <c r="AA211" s="148"/>
    </row>
    <row r="212" spans="2:27" s="175" customFormat="1">
      <c r="B212" s="148"/>
      <c r="C212" s="148"/>
      <c r="D212" s="148"/>
      <c r="E212" s="148"/>
      <c r="F212" s="148"/>
      <c r="G212" s="148"/>
      <c r="H212" s="148"/>
      <c r="I212" s="148"/>
      <c r="J212" s="148"/>
      <c r="K212" s="148"/>
      <c r="L212" s="148"/>
      <c r="M212" s="148"/>
      <c r="N212" s="148"/>
      <c r="O212" s="148"/>
      <c r="P212" s="148"/>
      <c r="Q212" s="148"/>
      <c r="R212" s="148"/>
      <c r="S212" s="148"/>
      <c r="T212" s="148"/>
      <c r="U212" s="148"/>
      <c r="V212" s="148"/>
      <c r="W212" s="148"/>
      <c r="X212" s="148"/>
      <c r="Y212" s="148"/>
      <c r="Z212" s="148"/>
      <c r="AA212" s="148"/>
    </row>
    <row r="213" spans="2:27" s="175" customFormat="1">
      <c r="B213" s="148"/>
      <c r="C213" s="148"/>
      <c r="D213" s="148"/>
      <c r="E213" s="148"/>
      <c r="F213" s="148"/>
      <c r="G213" s="148"/>
      <c r="H213" s="148"/>
      <c r="I213" s="148"/>
      <c r="J213" s="148"/>
      <c r="K213" s="148"/>
      <c r="L213" s="148"/>
      <c r="M213" s="148"/>
      <c r="N213" s="148"/>
      <c r="O213" s="148"/>
      <c r="P213" s="148"/>
      <c r="Q213" s="148"/>
      <c r="R213" s="148"/>
      <c r="S213" s="148"/>
      <c r="T213" s="148"/>
      <c r="U213" s="148"/>
      <c r="V213" s="148"/>
      <c r="W213" s="148"/>
      <c r="X213" s="148"/>
      <c r="Y213" s="148"/>
      <c r="Z213" s="148"/>
      <c r="AA213" s="148"/>
    </row>
    <row r="214" spans="2:27" s="175" customFormat="1">
      <c r="B214" s="148"/>
      <c r="C214" s="148"/>
      <c r="D214" s="148"/>
      <c r="E214" s="148"/>
      <c r="F214" s="148"/>
      <c r="G214" s="148"/>
      <c r="H214" s="148"/>
      <c r="I214" s="148"/>
      <c r="J214" s="148"/>
      <c r="K214" s="148"/>
      <c r="L214" s="148"/>
      <c r="M214" s="148"/>
      <c r="N214" s="148"/>
      <c r="O214" s="148"/>
      <c r="P214" s="148"/>
      <c r="Q214" s="148"/>
      <c r="R214" s="148"/>
      <c r="S214" s="148"/>
      <c r="T214" s="148"/>
      <c r="U214" s="148"/>
      <c r="V214" s="148"/>
      <c r="W214" s="148"/>
      <c r="X214" s="148"/>
      <c r="Y214" s="148"/>
      <c r="Z214" s="148"/>
      <c r="AA214" s="148"/>
    </row>
    <row r="215" spans="2:27" s="175" customFormat="1">
      <c r="B215" s="148"/>
      <c r="C215" s="148"/>
      <c r="D215" s="148"/>
      <c r="E215" s="148"/>
      <c r="F215" s="148"/>
      <c r="G215" s="148"/>
      <c r="H215" s="148"/>
      <c r="I215" s="148"/>
      <c r="J215" s="148"/>
      <c r="K215" s="148"/>
      <c r="L215" s="148"/>
      <c r="M215" s="148"/>
      <c r="N215" s="148"/>
      <c r="O215" s="148"/>
      <c r="P215" s="148"/>
      <c r="Q215" s="148"/>
      <c r="R215" s="148"/>
      <c r="S215" s="148"/>
      <c r="T215" s="148"/>
      <c r="U215" s="148"/>
      <c r="V215" s="148"/>
      <c r="W215" s="148"/>
      <c r="X215" s="148"/>
      <c r="Y215" s="148"/>
      <c r="Z215" s="148"/>
      <c r="AA215" s="148"/>
    </row>
    <row r="216" spans="2:27" s="175" customFormat="1">
      <c r="B216" s="148"/>
      <c r="C216" s="148"/>
      <c r="D216" s="148"/>
      <c r="E216" s="148"/>
      <c r="F216" s="148"/>
      <c r="G216" s="148"/>
      <c r="H216" s="148"/>
      <c r="I216" s="148"/>
      <c r="J216" s="148"/>
      <c r="K216" s="148"/>
      <c r="L216" s="148"/>
      <c r="M216" s="148"/>
      <c r="N216" s="148"/>
      <c r="O216" s="148"/>
      <c r="P216" s="148"/>
      <c r="Q216" s="148"/>
      <c r="R216" s="148"/>
      <c r="S216" s="148"/>
      <c r="T216" s="148"/>
      <c r="U216" s="148"/>
      <c r="V216" s="148"/>
      <c r="W216" s="148"/>
      <c r="X216" s="148"/>
      <c r="Y216" s="148"/>
      <c r="Z216" s="148"/>
      <c r="AA216" s="148"/>
    </row>
    <row r="217" spans="2:27" s="175" customFormat="1">
      <c r="B217" s="148"/>
      <c r="C217" s="148"/>
      <c r="D217" s="148"/>
      <c r="E217" s="148"/>
      <c r="F217" s="148"/>
      <c r="G217" s="148"/>
      <c r="H217" s="148"/>
      <c r="I217" s="148"/>
      <c r="J217" s="148"/>
      <c r="K217" s="148"/>
      <c r="L217" s="148"/>
      <c r="M217" s="148"/>
      <c r="N217" s="148"/>
      <c r="O217" s="148"/>
      <c r="P217" s="148"/>
      <c r="Q217" s="148"/>
      <c r="R217" s="148"/>
      <c r="S217" s="148"/>
      <c r="T217" s="148"/>
      <c r="U217" s="148"/>
      <c r="V217" s="148"/>
      <c r="W217" s="148"/>
      <c r="X217" s="148"/>
      <c r="Y217" s="148"/>
      <c r="Z217" s="148"/>
      <c r="AA217" s="148"/>
    </row>
    <row r="218" spans="2:27" s="175" customFormat="1">
      <c r="B218" s="148"/>
      <c r="C218" s="148"/>
      <c r="D218" s="148"/>
      <c r="E218" s="148"/>
      <c r="F218" s="148"/>
      <c r="G218" s="148"/>
      <c r="H218" s="148"/>
      <c r="I218" s="148"/>
      <c r="J218" s="148"/>
      <c r="K218" s="148"/>
      <c r="L218" s="148"/>
      <c r="M218" s="148"/>
      <c r="N218" s="148"/>
      <c r="O218" s="148"/>
      <c r="P218" s="148"/>
      <c r="Q218" s="148"/>
      <c r="R218" s="148"/>
      <c r="S218" s="148"/>
      <c r="T218" s="148"/>
      <c r="U218" s="148"/>
      <c r="V218" s="148"/>
      <c r="W218" s="148"/>
      <c r="X218" s="148"/>
      <c r="Y218" s="148"/>
      <c r="Z218" s="148"/>
      <c r="AA218" s="148"/>
    </row>
    <row r="219" spans="2:27" s="175" customFormat="1">
      <c r="B219" s="148"/>
      <c r="C219" s="148"/>
      <c r="D219" s="148"/>
      <c r="E219" s="148"/>
      <c r="F219" s="148"/>
      <c r="G219" s="148"/>
      <c r="H219" s="148"/>
      <c r="I219" s="148"/>
      <c r="J219" s="148"/>
      <c r="K219" s="148"/>
      <c r="L219" s="148"/>
      <c r="M219" s="148"/>
      <c r="N219" s="148"/>
      <c r="O219" s="148"/>
      <c r="P219" s="148"/>
      <c r="Q219" s="148"/>
      <c r="R219" s="148"/>
      <c r="S219" s="148"/>
      <c r="T219" s="148"/>
      <c r="U219" s="148"/>
      <c r="V219" s="148"/>
      <c r="W219" s="148"/>
      <c r="X219" s="148"/>
      <c r="Y219" s="148"/>
      <c r="Z219" s="148"/>
      <c r="AA219" s="148"/>
    </row>
    <row r="220" spans="2:27" s="175" customFormat="1">
      <c r="B220" s="148"/>
      <c r="C220" s="148"/>
      <c r="D220" s="148"/>
      <c r="E220" s="148"/>
      <c r="F220" s="148"/>
      <c r="G220" s="148"/>
      <c r="H220" s="148"/>
      <c r="I220" s="148"/>
      <c r="J220" s="148"/>
      <c r="K220" s="148"/>
      <c r="L220" s="148"/>
      <c r="M220" s="148"/>
      <c r="N220" s="148"/>
      <c r="O220" s="148"/>
      <c r="P220" s="148"/>
      <c r="Q220" s="148"/>
      <c r="R220" s="148"/>
      <c r="S220" s="148"/>
      <c r="T220" s="148"/>
      <c r="U220" s="148"/>
      <c r="V220" s="148"/>
      <c r="W220" s="148"/>
      <c r="X220" s="148"/>
      <c r="Y220" s="148"/>
      <c r="Z220" s="148"/>
      <c r="AA220" s="148"/>
    </row>
    <row r="221" spans="2:27" s="175" customFormat="1">
      <c r="B221" s="148"/>
      <c r="C221" s="148"/>
      <c r="D221" s="148"/>
      <c r="E221" s="148"/>
      <c r="F221" s="148"/>
      <c r="G221" s="148"/>
      <c r="H221" s="148"/>
      <c r="I221" s="148"/>
      <c r="J221" s="148"/>
      <c r="K221" s="148"/>
      <c r="L221" s="148"/>
      <c r="M221" s="148"/>
      <c r="N221" s="148"/>
      <c r="O221" s="148"/>
      <c r="P221" s="148"/>
      <c r="Q221" s="148"/>
      <c r="R221" s="148"/>
      <c r="S221" s="148"/>
      <c r="T221" s="148"/>
      <c r="U221" s="148"/>
      <c r="V221" s="148"/>
      <c r="W221" s="148"/>
      <c r="X221" s="148"/>
      <c r="Y221" s="148"/>
      <c r="Z221" s="148"/>
      <c r="AA221" s="148"/>
    </row>
    <row r="222" spans="2:27" s="175" customFormat="1">
      <c r="B222" s="148"/>
      <c r="C222" s="148"/>
      <c r="D222" s="148"/>
      <c r="E222" s="148"/>
      <c r="F222" s="148"/>
      <c r="G222" s="148"/>
      <c r="H222" s="148"/>
      <c r="I222" s="148"/>
      <c r="J222" s="148"/>
      <c r="K222" s="148"/>
      <c r="L222" s="148"/>
      <c r="M222" s="148"/>
      <c r="N222" s="148"/>
      <c r="O222" s="148"/>
      <c r="P222" s="148"/>
      <c r="Q222" s="148"/>
      <c r="R222" s="148"/>
      <c r="S222" s="148"/>
      <c r="T222" s="148"/>
      <c r="U222" s="148"/>
      <c r="V222" s="148"/>
      <c r="W222" s="148"/>
      <c r="X222" s="148"/>
      <c r="Y222" s="148"/>
      <c r="Z222" s="148"/>
      <c r="AA222" s="148"/>
    </row>
    <row r="223" spans="2:27" s="175" customFormat="1">
      <c r="B223" s="148"/>
      <c r="C223" s="148"/>
      <c r="D223" s="148"/>
      <c r="E223" s="148"/>
      <c r="F223" s="148"/>
      <c r="G223" s="148"/>
      <c r="H223" s="148"/>
      <c r="I223" s="148"/>
      <c r="J223" s="148"/>
      <c r="K223" s="148"/>
      <c r="L223" s="148"/>
      <c r="M223" s="148"/>
      <c r="N223" s="148"/>
      <c r="O223" s="148"/>
      <c r="P223" s="148"/>
      <c r="Q223" s="148"/>
      <c r="R223" s="148"/>
      <c r="S223" s="148"/>
      <c r="T223" s="148"/>
      <c r="U223" s="148"/>
      <c r="V223" s="148"/>
      <c r="W223" s="148"/>
      <c r="X223" s="148"/>
      <c r="Y223" s="148"/>
      <c r="Z223" s="148"/>
      <c r="AA223" s="148"/>
    </row>
    <row r="224" spans="2:27" s="175" customFormat="1">
      <c r="B224" s="148"/>
      <c r="C224" s="148"/>
      <c r="D224" s="148"/>
      <c r="E224" s="148"/>
      <c r="F224" s="148"/>
      <c r="G224" s="148"/>
      <c r="H224" s="148"/>
      <c r="I224" s="148"/>
      <c r="J224" s="148"/>
      <c r="K224" s="148"/>
      <c r="L224" s="148"/>
      <c r="M224" s="148"/>
      <c r="N224" s="148"/>
      <c r="O224" s="148"/>
      <c r="P224" s="148"/>
      <c r="Q224" s="148"/>
      <c r="R224" s="148"/>
      <c r="S224" s="148"/>
      <c r="T224" s="148"/>
      <c r="U224" s="148"/>
      <c r="V224" s="148"/>
      <c r="W224" s="148"/>
      <c r="X224" s="148"/>
      <c r="Y224" s="148"/>
      <c r="Z224" s="148"/>
      <c r="AA224" s="148"/>
    </row>
    <row r="225" spans="2:27" s="175" customFormat="1">
      <c r="B225" s="148"/>
      <c r="C225" s="148"/>
      <c r="D225" s="148"/>
      <c r="E225" s="148"/>
      <c r="F225" s="148"/>
      <c r="G225" s="148"/>
      <c r="H225" s="148"/>
      <c r="I225" s="148"/>
      <c r="J225" s="148"/>
      <c r="K225" s="148"/>
      <c r="L225" s="148"/>
      <c r="M225" s="148"/>
      <c r="N225" s="148"/>
      <c r="O225" s="148"/>
      <c r="P225" s="148"/>
      <c r="Q225" s="148"/>
      <c r="R225" s="148"/>
      <c r="S225" s="148"/>
      <c r="T225" s="148"/>
      <c r="U225" s="148"/>
      <c r="V225" s="148"/>
      <c r="W225" s="148"/>
      <c r="X225" s="148"/>
      <c r="Y225" s="148"/>
      <c r="Z225" s="148"/>
      <c r="AA225" s="148"/>
    </row>
    <row r="226" spans="2:27" s="175" customFormat="1">
      <c r="B226" s="148"/>
      <c r="C226" s="148"/>
      <c r="D226" s="148"/>
      <c r="E226" s="148"/>
      <c r="F226" s="148"/>
      <c r="G226" s="148"/>
      <c r="H226" s="148"/>
      <c r="I226" s="148"/>
      <c r="J226" s="148"/>
      <c r="K226" s="148"/>
      <c r="L226" s="148"/>
      <c r="M226" s="148"/>
      <c r="N226" s="148"/>
      <c r="O226" s="148"/>
      <c r="P226" s="148"/>
      <c r="Q226" s="148"/>
      <c r="R226" s="148"/>
      <c r="S226" s="148"/>
      <c r="T226" s="148"/>
      <c r="U226" s="148"/>
      <c r="V226" s="148"/>
      <c r="W226" s="148"/>
      <c r="X226" s="148"/>
      <c r="Y226" s="148"/>
      <c r="Z226" s="148"/>
      <c r="AA226" s="148"/>
    </row>
    <row r="227" spans="2:27" s="175" customFormat="1">
      <c r="B227" s="148"/>
      <c r="C227" s="148"/>
      <c r="D227" s="148"/>
      <c r="E227" s="148"/>
      <c r="F227" s="148"/>
      <c r="G227" s="148"/>
      <c r="H227" s="148"/>
      <c r="I227" s="148"/>
      <c r="J227" s="148"/>
      <c r="K227" s="148"/>
      <c r="L227" s="148"/>
      <c r="M227" s="148"/>
      <c r="N227" s="148"/>
      <c r="O227" s="148"/>
      <c r="P227" s="148"/>
      <c r="Q227" s="148"/>
      <c r="R227" s="148"/>
      <c r="S227" s="148"/>
      <c r="T227" s="148"/>
      <c r="U227" s="148"/>
      <c r="V227" s="148"/>
      <c r="W227" s="148"/>
      <c r="X227" s="148"/>
      <c r="Y227" s="148"/>
      <c r="Z227" s="148"/>
      <c r="AA227" s="148"/>
    </row>
    <row r="228" spans="2:27" s="175" customFormat="1">
      <c r="B228" s="148"/>
      <c r="C228" s="148"/>
      <c r="D228" s="148"/>
      <c r="E228" s="148"/>
      <c r="F228" s="148"/>
      <c r="G228" s="148"/>
      <c r="H228" s="148"/>
      <c r="I228" s="148"/>
      <c r="J228" s="148"/>
      <c r="K228" s="148"/>
      <c r="L228" s="148"/>
      <c r="M228" s="148"/>
      <c r="N228" s="148"/>
      <c r="O228" s="148"/>
      <c r="P228" s="148"/>
      <c r="Q228" s="148"/>
      <c r="R228" s="148"/>
      <c r="S228" s="148"/>
      <c r="T228" s="148"/>
      <c r="U228" s="148"/>
      <c r="V228" s="148"/>
      <c r="W228" s="148"/>
      <c r="X228" s="148"/>
      <c r="Y228" s="148"/>
      <c r="Z228" s="148"/>
      <c r="AA228" s="148"/>
    </row>
    <row r="229" spans="2:27" s="175" customFormat="1">
      <c r="B229" s="148"/>
      <c r="C229" s="148"/>
      <c r="D229" s="148"/>
      <c r="E229" s="148"/>
      <c r="F229" s="148"/>
      <c r="G229" s="148"/>
      <c r="H229" s="148"/>
      <c r="I229" s="148"/>
      <c r="J229" s="148"/>
      <c r="K229" s="148"/>
      <c r="L229" s="148"/>
      <c r="M229" s="148"/>
      <c r="N229" s="148"/>
      <c r="O229" s="148"/>
      <c r="P229" s="148"/>
      <c r="Q229" s="148"/>
      <c r="R229" s="148"/>
      <c r="S229" s="148"/>
      <c r="T229" s="148"/>
      <c r="U229" s="148"/>
      <c r="V229" s="148"/>
      <c r="W229" s="148"/>
      <c r="X229" s="148"/>
      <c r="Y229" s="148"/>
      <c r="Z229" s="148"/>
      <c r="AA229" s="148"/>
    </row>
    <row r="230" spans="2:27" s="175" customFormat="1">
      <c r="B230" s="148"/>
      <c r="C230" s="148"/>
      <c r="D230" s="148"/>
      <c r="E230" s="148"/>
      <c r="F230" s="148"/>
      <c r="G230" s="148"/>
      <c r="H230" s="148"/>
      <c r="I230" s="148"/>
      <c r="J230" s="148"/>
      <c r="K230" s="148"/>
      <c r="L230" s="148"/>
      <c r="M230" s="148"/>
      <c r="N230" s="148"/>
      <c r="O230" s="148"/>
      <c r="P230" s="148"/>
      <c r="Q230" s="148"/>
      <c r="R230" s="148"/>
      <c r="S230" s="148"/>
      <c r="T230" s="148"/>
      <c r="U230" s="148"/>
      <c r="V230" s="148"/>
      <c r="W230" s="148"/>
      <c r="X230" s="148"/>
      <c r="Y230" s="148"/>
      <c r="Z230" s="148"/>
      <c r="AA230" s="148"/>
    </row>
    <row r="231" spans="2:27" s="175" customFormat="1">
      <c r="B231" s="148"/>
      <c r="C231" s="148"/>
      <c r="D231" s="148"/>
      <c r="E231" s="148"/>
      <c r="F231" s="148"/>
      <c r="G231" s="148"/>
      <c r="H231" s="148"/>
      <c r="I231" s="148"/>
      <c r="J231" s="148"/>
      <c r="K231" s="148"/>
      <c r="L231" s="148"/>
      <c r="M231" s="148"/>
      <c r="N231" s="148"/>
      <c r="O231" s="148"/>
      <c r="P231" s="148"/>
      <c r="Q231" s="148"/>
      <c r="R231" s="148"/>
      <c r="S231" s="148"/>
      <c r="T231" s="148"/>
      <c r="U231" s="148"/>
      <c r="V231" s="148"/>
      <c r="W231" s="148"/>
      <c r="X231" s="148"/>
      <c r="Y231" s="148"/>
      <c r="Z231" s="148"/>
      <c r="AA231" s="148"/>
    </row>
    <row r="232" spans="2:27" s="175" customFormat="1">
      <c r="B232" s="148"/>
      <c r="C232" s="148"/>
      <c r="D232" s="148"/>
      <c r="E232" s="148"/>
      <c r="F232" s="148"/>
      <c r="G232" s="148"/>
      <c r="H232" s="148"/>
      <c r="I232" s="148"/>
      <c r="J232" s="148"/>
      <c r="K232" s="148"/>
      <c r="L232" s="148"/>
      <c r="M232" s="148"/>
      <c r="N232" s="148"/>
      <c r="O232" s="148"/>
      <c r="P232" s="148"/>
      <c r="Q232" s="148"/>
      <c r="R232" s="148"/>
      <c r="S232" s="148"/>
      <c r="T232" s="148"/>
      <c r="U232" s="148"/>
      <c r="V232" s="148"/>
      <c r="W232" s="148"/>
      <c r="X232" s="148"/>
      <c r="Y232" s="148"/>
      <c r="Z232" s="148"/>
      <c r="AA232" s="148"/>
    </row>
    <row r="233" spans="2:27" s="175" customFormat="1">
      <c r="B233" s="148"/>
      <c r="C233" s="148"/>
      <c r="D233" s="148"/>
      <c r="E233" s="148"/>
      <c r="F233" s="148"/>
      <c r="G233" s="148"/>
      <c r="H233" s="148"/>
      <c r="I233" s="148"/>
      <c r="J233" s="148"/>
      <c r="K233" s="148"/>
      <c r="L233" s="148"/>
      <c r="M233" s="148"/>
      <c r="N233" s="148"/>
      <c r="O233" s="148"/>
      <c r="P233" s="148"/>
      <c r="Q233" s="148"/>
      <c r="R233" s="148"/>
      <c r="S233" s="148"/>
      <c r="T233" s="148"/>
      <c r="U233" s="148"/>
      <c r="V233" s="148"/>
      <c r="W233" s="148"/>
      <c r="X233" s="148"/>
      <c r="Y233" s="148"/>
      <c r="Z233" s="148"/>
      <c r="AA233" s="148"/>
    </row>
    <row r="234" spans="2:27" s="175" customFormat="1">
      <c r="B234" s="148"/>
      <c r="C234" s="148"/>
      <c r="D234" s="148"/>
      <c r="E234" s="148"/>
      <c r="F234" s="148"/>
      <c r="G234" s="148"/>
      <c r="H234" s="148"/>
      <c r="I234" s="148"/>
      <c r="J234" s="148"/>
      <c r="K234" s="148"/>
      <c r="L234" s="148"/>
      <c r="M234" s="148"/>
      <c r="N234" s="148"/>
      <c r="O234" s="148"/>
      <c r="P234" s="148"/>
      <c r="Q234" s="148"/>
      <c r="R234" s="148"/>
      <c r="S234" s="148"/>
      <c r="T234" s="148"/>
      <c r="U234" s="148"/>
      <c r="V234" s="148"/>
      <c r="W234" s="148"/>
      <c r="X234" s="148"/>
      <c r="Y234" s="148"/>
      <c r="Z234" s="148"/>
      <c r="AA234" s="148"/>
    </row>
    <row r="235" spans="2:27" s="175" customFormat="1">
      <c r="B235" s="148"/>
      <c r="C235" s="148"/>
      <c r="D235" s="148"/>
      <c r="E235" s="148"/>
      <c r="F235" s="148"/>
      <c r="G235" s="148"/>
      <c r="H235" s="148"/>
      <c r="I235" s="148"/>
      <c r="J235" s="148"/>
      <c r="K235" s="148"/>
      <c r="L235" s="148"/>
      <c r="M235" s="148"/>
      <c r="N235" s="148"/>
      <c r="O235" s="148"/>
      <c r="P235" s="148"/>
      <c r="Q235" s="148"/>
      <c r="R235" s="148"/>
      <c r="S235" s="148"/>
      <c r="T235" s="148"/>
      <c r="U235" s="148"/>
      <c r="V235" s="148"/>
      <c r="W235" s="148"/>
      <c r="X235" s="148"/>
      <c r="Y235" s="148"/>
      <c r="Z235" s="148"/>
      <c r="AA235" s="148"/>
    </row>
    <row r="236" spans="2:27" s="175" customFormat="1">
      <c r="B236" s="148"/>
      <c r="C236" s="148"/>
      <c r="D236" s="148"/>
      <c r="E236" s="148"/>
      <c r="F236" s="148"/>
      <c r="G236" s="148"/>
      <c r="H236" s="148"/>
      <c r="I236" s="148"/>
      <c r="J236" s="148"/>
      <c r="K236" s="148"/>
      <c r="L236" s="148"/>
      <c r="M236" s="148"/>
      <c r="N236" s="148"/>
      <c r="O236" s="148"/>
      <c r="P236" s="148"/>
      <c r="Q236" s="148"/>
      <c r="R236" s="148"/>
      <c r="S236" s="148"/>
      <c r="T236" s="148"/>
      <c r="U236" s="148"/>
      <c r="V236" s="148"/>
      <c r="W236" s="148"/>
      <c r="X236" s="148"/>
      <c r="Y236" s="148"/>
      <c r="Z236" s="148"/>
      <c r="AA236" s="148"/>
    </row>
    <row r="237" spans="2:27" s="175" customFormat="1">
      <c r="B237" s="148"/>
      <c r="C237" s="148"/>
      <c r="D237" s="148"/>
      <c r="E237" s="148"/>
      <c r="F237" s="148"/>
      <c r="G237" s="148"/>
      <c r="H237" s="148"/>
      <c r="I237" s="148"/>
      <c r="J237" s="148"/>
      <c r="K237" s="148"/>
      <c r="L237" s="148"/>
      <c r="M237" s="148"/>
      <c r="N237" s="148"/>
      <c r="O237" s="148"/>
      <c r="P237" s="148"/>
      <c r="Q237" s="148"/>
      <c r="R237" s="148"/>
      <c r="S237" s="148"/>
      <c r="T237" s="148"/>
      <c r="U237" s="148"/>
      <c r="V237" s="148"/>
      <c r="W237" s="148"/>
      <c r="X237" s="148"/>
      <c r="Y237" s="148"/>
      <c r="Z237" s="148"/>
      <c r="AA237" s="148"/>
    </row>
    <row r="238" spans="2:27" s="175" customFormat="1">
      <c r="B238" s="148"/>
      <c r="C238" s="148"/>
      <c r="D238" s="148"/>
      <c r="E238" s="148"/>
      <c r="F238" s="148"/>
      <c r="G238" s="148"/>
      <c r="H238" s="148"/>
      <c r="I238" s="148"/>
      <c r="J238" s="148"/>
      <c r="K238" s="148"/>
      <c r="L238" s="148"/>
      <c r="M238" s="148"/>
      <c r="N238" s="148"/>
      <c r="O238" s="148"/>
      <c r="P238" s="148"/>
      <c r="Q238" s="148"/>
      <c r="R238" s="148"/>
      <c r="S238" s="148"/>
      <c r="T238" s="148"/>
      <c r="U238" s="148"/>
      <c r="V238" s="148"/>
      <c r="W238" s="148"/>
      <c r="X238" s="148"/>
      <c r="Y238" s="148"/>
      <c r="Z238" s="148"/>
      <c r="AA238" s="148"/>
    </row>
    <row r="239" spans="2:27" s="175" customFormat="1">
      <c r="B239" s="148"/>
      <c r="C239" s="148"/>
      <c r="D239" s="148"/>
      <c r="E239" s="148"/>
      <c r="F239" s="148"/>
      <c r="G239" s="148"/>
      <c r="H239" s="148"/>
      <c r="I239" s="148"/>
      <c r="J239" s="148"/>
      <c r="K239" s="148"/>
      <c r="L239" s="148"/>
      <c r="M239" s="148"/>
      <c r="N239" s="148"/>
      <c r="O239" s="148"/>
      <c r="P239" s="148"/>
      <c r="Q239" s="148"/>
      <c r="R239" s="148"/>
      <c r="S239" s="148"/>
      <c r="T239" s="148"/>
      <c r="U239" s="148"/>
      <c r="V239" s="148"/>
      <c r="W239" s="148"/>
      <c r="X239" s="148"/>
      <c r="Y239" s="148"/>
      <c r="Z239" s="148"/>
      <c r="AA239" s="148"/>
    </row>
    <row r="240" spans="2:27" s="175" customFormat="1">
      <c r="B240" s="148"/>
      <c r="C240" s="148"/>
      <c r="D240" s="148"/>
      <c r="E240" s="148"/>
      <c r="F240" s="148"/>
      <c r="G240" s="148"/>
      <c r="H240" s="148"/>
      <c r="I240" s="148"/>
      <c r="J240" s="148"/>
      <c r="K240" s="148"/>
      <c r="L240" s="148"/>
      <c r="M240" s="148"/>
      <c r="N240" s="148"/>
      <c r="O240" s="148"/>
      <c r="P240" s="148"/>
      <c r="Q240" s="148"/>
      <c r="R240" s="148"/>
      <c r="S240" s="148"/>
      <c r="T240" s="148"/>
      <c r="U240" s="148"/>
      <c r="V240" s="148"/>
      <c r="W240" s="148"/>
      <c r="X240" s="148"/>
      <c r="Y240" s="148"/>
      <c r="Z240" s="148"/>
      <c r="AA240" s="148"/>
    </row>
    <row r="241" spans="2:27" s="175" customFormat="1">
      <c r="B241" s="148"/>
      <c r="C241" s="148"/>
      <c r="D241" s="148"/>
      <c r="E241" s="148"/>
      <c r="F241" s="148"/>
      <c r="G241" s="148"/>
      <c r="H241" s="148"/>
      <c r="I241" s="148"/>
      <c r="J241" s="148"/>
      <c r="K241" s="148"/>
      <c r="L241" s="148"/>
      <c r="M241" s="148"/>
      <c r="N241" s="148"/>
      <c r="O241" s="148"/>
      <c r="P241" s="148"/>
      <c r="Q241" s="148"/>
      <c r="R241" s="148"/>
      <c r="S241" s="148"/>
      <c r="T241" s="148"/>
      <c r="U241" s="148"/>
      <c r="V241" s="148"/>
      <c r="W241" s="148"/>
      <c r="X241" s="148"/>
      <c r="Y241" s="148"/>
      <c r="Z241" s="148"/>
      <c r="AA241" s="148"/>
    </row>
    <row r="242" spans="2:27" s="175" customFormat="1">
      <c r="B242" s="148"/>
      <c r="C242" s="148"/>
      <c r="D242" s="148"/>
      <c r="E242" s="148"/>
      <c r="F242" s="148"/>
      <c r="G242" s="148"/>
      <c r="H242" s="148"/>
      <c r="I242" s="148"/>
      <c r="J242" s="148"/>
      <c r="K242" s="148"/>
      <c r="L242" s="148"/>
      <c r="M242" s="148"/>
      <c r="N242" s="148"/>
      <c r="O242" s="148"/>
      <c r="P242" s="148"/>
      <c r="Q242" s="148"/>
      <c r="R242" s="148"/>
      <c r="S242" s="148"/>
      <c r="T242" s="148"/>
      <c r="U242" s="148"/>
      <c r="V242" s="148"/>
      <c r="W242" s="148"/>
      <c r="X242" s="148"/>
      <c r="Y242" s="148"/>
      <c r="Z242" s="148"/>
      <c r="AA242" s="148"/>
    </row>
    <row r="243" spans="2:27" s="175" customFormat="1">
      <c r="B243" s="148"/>
      <c r="C243" s="148"/>
      <c r="D243" s="148"/>
      <c r="E243" s="148"/>
      <c r="F243" s="148"/>
      <c r="G243" s="148"/>
      <c r="H243" s="148"/>
      <c r="I243" s="148"/>
      <c r="J243" s="148"/>
      <c r="K243" s="148"/>
      <c r="L243" s="148"/>
      <c r="M243" s="148"/>
      <c r="N243" s="148"/>
      <c r="O243" s="148"/>
      <c r="P243" s="148"/>
      <c r="Q243" s="148"/>
      <c r="R243" s="148"/>
      <c r="S243" s="148"/>
      <c r="T243" s="148"/>
      <c r="U243" s="148"/>
      <c r="V243" s="148"/>
      <c r="W243" s="148"/>
      <c r="X243" s="148"/>
      <c r="Y243" s="148"/>
      <c r="Z243" s="148"/>
      <c r="AA243" s="148"/>
    </row>
    <row r="244" spans="2:27" s="175" customFormat="1">
      <c r="B244" s="148"/>
      <c r="C244" s="148"/>
      <c r="D244" s="148"/>
      <c r="E244" s="148"/>
      <c r="F244" s="148"/>
      <c r="G244" s="148"/>
      <c r="H244" s="148"/>
      <c r="I244" s="148"/>
      <c r="J244" s="148"/>
      <c r="K244" s="148"/>
      <c r="L244" s="148"/>
      <c r="M244" s="148"/>
      <c r="N244" s="148"/>
      <c r="O244" s="148"/>
      <c r="P244" s="148"/>
      <c r="Q244" s="148"/>
      <c r="R244" s="148"/>
      <c r="S244" s="148"/>
      <c r="T244" s="148"/>
      <c r="U244" s="148"/>
      <c r="V244" s="148"/>
      <c r="W244" s="148"/>
      <c r="X244" s="148"/>
      <c r="Y244" s="148"/>
      <c r="Z244" s="148"/>
      <c r="AA244" s="148"/>
    </row>
    <row r="245" spans="2:27" s="175" customFormat="1">
      <c r="B245" s="148"/>
      <c r="C245" s="148"/>
      <c r="D245" s="148"/>
      <c r="E245" s="148"/>
      <c r="F245" s="148"/>
      <c r="G245" s="148"/>
      <c r="H245" s="148"/>
      <c r="I245" s="148"/>
      <c r="J245" s="148"/>
      <c r="K245" s="148"/>
      <c r="L245" s="148"/>
      <c r="M245" s="148"/>
      <c r="N245" s="148"/>
      <c r="O245" s="148"/>
      <c r="P245" s="148"/>
      <c r="Q245" s="148"/>
      <c r="R245" s="148"/>
      <c r="S245" s="148"/>
      <c r="T245" s="148"/>
      <c r="U245" s="148"/>
      <c r="V245" s="148"/>
      <c r="W245" s="148"/>
      <c r="X245" s="148"/>
      <c r="Y245" s="148"/>
      <c r="Z245" s="148"/>
      <c r="AA245" s="148"/>
    </row>
    <row r="246" spans="2:27" s="175" customFormat="1">
      <c r="B246" s="148"/>
      <c r="C246" s="148"/>
      <c r="D246" s="148"/>
      <c r="E246" s="148"/>
      <c r="F246" s="148"/>
      <c r="G246" s="148"/>
      <c r="H246" s="148"/>
      <c r="I246" s="148"/>
      <c r="J246" s="148"/>
      <c r="K246" s="148"/>
      <c r="L246" s="148"/>
      <c r="M246" s="148"/>
      <c r="N246" s="148"/>
      <c r="O246" s="148"/>
      <c r="P246" s="148"/>
      <c r="Q246" s="148"/>
      <c r="R246" s="148"/>
      <c r="S246" s="148"/>
      <c r="T246" s="148"/>
      <c r="U246" s="148"/>
      <c r="V246" s="148"/>
      <c r="W246" s="148"/>
      <c r="X246" s="148"/>
      <c r="Y246" s="148"/>
      <c r="Z246" s="148"/>
      <c r="AA246" s="148"/>
    </row>
    <row r="247" spans="2:27" s="175" customFormat="1">
      <c r="B247" s="148"/>
      <c r="C247" s="148"/>
      <c r="D247" s="148"/>
      <c r="E247" s="148"/>
      <c r="F247" s="148"/>
      <c r="G247" s="148"/>
      <c r="H247" s="148"/>
      <c r="I247" s="148"/>
      <c r="J247" s="148"/>
      <c r="K247" s="148"/>
      <c r="L247" s="148"/>
      <c r="M247" s="148"/>
      <c r="N247" s="148"/>
      <c r="O247" s="148"/>
      <c r="P247" s="148"/>
      <c r="Q247" s="148"/>
      <c r="R247" s="148"/>
      <c r="S247" s="148"/>
      <c r="T247" s="148"/>
      <c r="U247" s="148"/>
      <c r="V247" s="148"/>
      <c r="W247" s="148"/>
      <c r="X247" s="148"/>
      <c r="Y247" s="148"/>
      <c r="Z247" s="148"/>
      <c r="AA247" s="148"/>
    </row>
    <row r="248" spans="2:27" s="175" customFormat="1">
      <c r="B248" s="148"/>
      <c r="C248" s="148"/>
      <c r="D248" s="148"/>
      <c r="E248" s="148"/>
      <c r="F248" s="148"/>
      <c r="G248" s="148"/>
      <c r="H248" s="148"/>
      <c r="I248" s="148"/>
      <c r="J248" s="148"/>
      <c r="K248" s="148"/>
      <c r="L248" s="148"/>
      <c r="M248" s="148"/>
      <c r="N248" s="148"/>
      <c r="O248" s="148"/>
      <c r="P248" s="148"/>
      <c r="Q248" s="148"/>
      <c r="R248" s="148"/>
      <c r="S248" s="148"/>
      <c r="T248" s="148"/>
      <c r="U248" s="148"/>
      <c r="V248" s="148"/>
      <c r="W248" s="148"/>
      <c r="X248" s="148"/>
      <c r="Y248" s="148"/>
      <c r="Z248" s="148"/>
      <c r="AA248" s="148"/>
    </row>
    <row r="249" spans="2:27" s="175" customFormat="1">
      <c r="B249" s="148"/>
      <c r="C249" s="148"/>
      <c r="D249" s="148"/>
      <c r="E249" s="148"/>
      <c r="F249" s="148"/>
      <c r="G249" s="148"/>
      <c r="H249" s="148"/>
      <c r="I249" s="148"/>
      <c r="J249" s="148"/>
      <c r="K249" s="148"/>
      <c r="L249" s="148"/>
      <c r="M249" s="148"/>
      <c r="N249" s="148"/>
      <c r="O249" s="148"/>
      <c r="P249" s="148"/>
      <c r="Q249" s="148"/>
      <c r="R249" s="148"/>
      <c r="S249" s="148"/>
      <c r="T249" s="148"/>
      <c r="U249" s="148"/>
      <c r="V249" s="148"/>
      <c r="W249" s="148"/>
      <c r="X249" s="148"/>
      <c r="Y249" s="148"/>
      <c r="Z249" s="148"/>
      <c r="AA249" s="148"/>
    </row>
    <row r="250" spans="2:27" s="175" customFormat="1">
      <c r="B250" s="148"/>
      <c r="C250" s="148"/>
      <c r="D250" s="148"/>
      <c r="E250" s="148"/>
      <c r="F250" s="148"/>
      <c r="G250" s="148"/>
      <c r="H250" s="148"/>
      <c r="I250" s="148"/>
      <c r="J250" s="148"/>
      <c r="K250" s="148"/>
      <c r="L250" s="148"/>
      <c r="M250" s="148"/>
      <c r="N250" s="148"/>
      <c r="O250" s="148"/>
      <c r="P250" s="148"/>
      <c r="Q250" s="148"/>
      <c r="R250" s="148"/>
      <c r="S250" s="148"/>
      <c r="T250" s="148"/>
      <c r="U250" s="148"/>
      <c r="V250" s="148"/>
      <c r="W250" s="148"/>
      <c r="X250" s="148"/>
      <c r="Y250" s="148"/>
      <c r="Z250" s="148"/>
      <c r="AA250" s="148"/>
    </row>
    <row r="251" spans="2:27" s="175" customFormat="1">
      <c r="B251" s="148"/>
      <c r="C251" s="148"/>
      <c r="D251" s="148"/>
      <c r="E251" s="148"/>
      <c r="F251" s="148"/>
      <c r="G251" s="148"/>
      <c r="H251" s="148"/>
      <c r="I251" s="148"/>
      <c r="J251" s="148"/>
      <c r="K251" s="148"/>
      <c r="L251" s="148"/>
      <c r="M251" s="148"/>
      <c r="N251" s="148"/>
      <c r="O251" s="148"/>
      <c r="P251" s="148"/>
      <c r="Q251" s="148"/>
      <c r="R251" s="148"/>
      <c r="S251" s="148"/>
      <c r="T251" s="148"/>
      <c r="U251" s="148"/>
      <c r="V251" s="148"/>
      <c r="W251" s="148"/>
      <c r="X251" s="148"/>
      <c r="Y251" s="148"/>
      <c r="Z251" s="148"/>
      <c r="AA251" s="148"/>
    </row>
    <row r="252" spans="2:27" s="175" customFormat="1">
      <c r="B252" s="148"/>
      <c r="C252" s="148"/>
      <c r="D252" s="148"/>
      <c r="E252" s="148"/>
      <c r="F252" s="148"/>
      <c r="G252" s="148"/>
      <c r="H252" s="148"/>
      <c r="I252" s="148"/>
      <c r="J252" s="148"/>
      <c r="K252" s="148"/>
      <c r="L252" s="148"/>
      <c r="M252" s="148"/>
      <c r="N252" s="148"/>
      <c r="O252" s="148"/>
      <c r="P252" s="148"/>
      <c r="Q252" s="148"/>
      <c r="R252" s="148"/>
      <c r="S252" s="148"/>
      <c r="T252" s="148"/>
      <c r="U252" s="148"/>
      <c r="V252" s="148"/>
      <c r="W252" s="148"/>
      <c r="X252" s="148"/>
      <c r="Y252" s="148"/>
      <c r="Z252" s="148"/>
      <c r="AA252" s="148"/>
    </row>
    <row r="253" spans="2:27" s="175" customFormat="1">
      <c r="B253" s="148"/>
      <c r="C253" s="148"/>
      <c r="D253" s="148"/>
      <c r="E253" s="148"/>
      <c r="F253" s="148"/>
      <c r="G253" s="148"/>
      <c r="H253" s="148"/>
      <c r="I253" s="148"/>
      <c r="J253" s="148"/>
      <c r="K253" s="148"/>
      <c r="L253" s="148"/>
      <c r="M253" s="148"/>
      <c r="N253" s="148"/>
      <c r="O253" s="148"/>
      <c r="P253" s="148"/>
      <c r="Q253" s="148"/>
      <c r="R253" s="148"/>
      <c r="S253" s="148"/>
      <c r="T253" s="148"/>
      <c r="U253" s="148"/>
      <c r="V253" s="148"/>
      <c r="W253" s="148"/>
      <c r="X253" s="148"/>
      <c r="Y253" s="148"/>
      <c r="Z253" s="148"/>
      <c r="AA253" s="148"/>
    </row>
    <row r="254" spans="2:27" s="175" customFormat="1">
      <c r="B254" s="148"/>
      <c r="C254" s="148"/>
      <c r="D254" s="148"/>
      <c r="E254" s="148"/>
      <c r="F254" s="148"/>
      <c r="G254" s="148"/>
      <c r="H254" s="148"/>
      <c r="I254" s="148"/>
      <c r="J254" s="148"/>
      <c r="K254" s="148"/>
      <c r="L254" s="148"/>
      <c r="M254" s="148"/>
      <c r="N254" s="148"/>
      <c r="O254" s="148"/>
      <c r="P254" s="148"/>
      <c r="Q254" s="148"/>
      <c r="R254" s="148"/>
      <c r="S254" s="148"/>
      <c r="T254" s="148"/>
      <c r="U254" s="148"/>
      <c r="V254" s="148"/>
      <c r="W254" s="148"/>
      <c r="X254" s="148"/>
      <c r="Y254" s="148"/>
      <c r="Z254" s="148"/>
      <c r="AA254" s="148"/>
    </row>
    <row r="255" spans="2:27" s="175" customFormat="1">
      <c r="B255" s="148"/>
      <c r="C255" s="148"/>
      <c r="D255" s="148"/>
      <c r="E255" s="148"/>
      <c r="F255" s="148"/>
      <c r="G255" s="148"/>
      <c r="H255" s="148"/>
      <c r="I255" s="148"/>
      <c r="J255" s="148"/>
      <c r="K255" s="148"/>
      <c r="L255" s="148"/>
      <c r="M255" s="148"/>
      <c r="N255" s="148"/>
      <c r="O255" s="148"/>
      <c r="P255" s="148"/>
      <c r="Q255" s="148"/>
      <c r="R255" s="148"/>
      <c r="S255" s="148"/>
      <c r="T255" s="148"/>
      <c r="U255" s="148"/>
      <c r="V255" s="148"/>
      <c r="W255" s="148"/>
      <c r="X255" s="148"/>
      <c r="Y255" s="148"/>
      <c r="Z255" s="148"/>
      <c r="AA255" s="148"/>
    </row>
    <row r="256" spans="2:27" s="175" customFormat="1">
      <c r="B256" s="148"/>
      <c r="C256" s="148"/>
      <c r="D256" s="148"/>
      <c r="E256" s="148"/>
      <c r="F256" s="148"/>
      <c r="G256" s="148"/>
      <c r="H256" s="148"/>
      <c r="I256" s="148"/>
      <c r="J256" s="148"/>
      <c r="K256" s="148"/>
      <c r="L256" s="148"/>
      <c r="M256" s="148"/>
      <c r="N256" s="148"/>
      <c r="O256" s="148"/>
      <c r="P256" s="148"/>
      <c r="Q256" s="148"/>
      <c r="R256" s="148"/>
      <c r="S256" s="148"/>
      <c r="T256" s="148"/>
      <c r="U256" s="148"/>
      <c r="V256" s="148"/>
      <c r="W256" s="148"/>
      <c r="X256" s="148"/>
      <c r="Y256" s="148"/>
      <c r="Z256" s="148"/>
      <c r="AA256" s="148"/>
    </row>
    <row r="257" spans="2:27" s="175" customFormat="1">
      <c r="B257" s="148"/>
      <c r="C257" s="148"/>
      <c r="D257" s="148"/>
      <c r="E257" s="148"/>
      <c r="F257" s="148"/>
      <c r="G257" s="148"/>
      <c r="H257" s="148"/>
      <c r="I257" s="148"/>
      <c r="J257" s="148"/>
      <c r="K257" s="148"/>
      <c r="L257" s="148"/>
      <c r="M257" s="148"/>
      <c r="N257" s="148"/>
      <c r="O257" s="148"/>
      <c r="P257" s="148"/>
      <c r="Q257" s="148"/>
      <c r="R257" s="148"/>
      <c r="S257" s="148"/>
      <c r="T257" s="148"/>
      <c r="U257" s="148"/>
      <c r="V257" s="148"/>
      <c r="W257" s="148"/>
      <c r="X257" s="148"/>
      <c r="Y257" s="148"/>
      <c r="Z257" s="148"/>
      <c r="AA257" s="148"/>
    </row>
    <row r="258" spans="2:27" s="175" customFormat="1">
      <c r="B258" s="148"/>
      <c r="C258" s="148"/>
      <c r="D258" s="148"/>
      <c r="E258" s="148"/>
      <c r="F258" s="148"/>
      <c r="G258" s="148"/>
      <c r="H258" s="148"/>
      <c r="I258" s="148"/>
      <c r="J258" s="148"/>
      <c r="K258" s="148"/>
      <c r="L258" s="148"/>
      <c r="M258" s="148"/>
      <c r="N258" s="148"/>
      <c r="O258" s="148"/>
      <c r="P258" s="148"/>
      <c r="Q258" s="148"/>
      <c r="R258" s="148"/>
      <c r="S258" s="148"/>
      <c r="T258" s="148"/>
      <c r="U258" s="148"/>
      <c r="V258" s="148"/>
      <c r="W258" s="148"/>
      <c r="X258" s="148"/>
      <c r="Y258" s="148"/>
      <c r="Z258" s="148"/>
      <c r="AA258" s="148"/>
    </row>
    <row r="259" spans="2:27" s="175" customFormat="1">
      <c r="B259" s="148"/>
      <c r="C259" s="148"/>
      <c r="D259" s="148"/>
      <c r="E259" s="148"/>
      <c r="F259" s="148"/>
      <c r="G259" s="148"/>
      <c r="H259" s="148"/>
      <c r="I259" s="148"/>
      <c r="J259" s="148"/>
      <c r="K259" s="148"/>
      <c r="L259" s="148"/>
      <c r="M259" s="148"/>
      <c r="N259" s="148"/>
      <c r="O259" s="148"/>
      <c r="P259" s="148"/>
      <c r="Q259" s="148"/>
      <c r="R259" s="148"/>
      <c r="S259" s="148"/>
      <c r="T259" s="148"/>
      <c r="U259" s="148"/>
      <c r="V259" s="148"/>
      <c r="W259" s="148"/>
      <c r="X259" s="148"/>
      <c r="Y259" s="148"/>
      <c r="Z259" s="148"/>
      <c r="AA259" s="148"/>
    </row>
    <row r="260" spans="2:27" s="175" customFormat="1">
      <c r="B260" s="148"/>
      <c r="C260" s="148"/>
      <c r="D260" s="148"/>
      <c r="E260" s="148"/>
      <c r="F260" s="148"/>
      <c r="G260" s="148"/>
      <c r="H260" s="148"/>
      <c r="I260" s="148"/>
      <c r="J260" s="148"/>
      <c r="K260" s="148"/>
      <c r="L260" s="148"/>
      <c r="M260" s="148"/>
      <c r="N260" s="148"/>
      <c r="O260" s="148"/>
      <c r="P260" s="148"/>
      <c r="Q260" s="148"/>
      <c r="R260" s="148"/>
      <c r="S260" s="148"/>
      <c r="T260" s="148"/>
      <c r="U260" s="148"/>
      <c r="V260" s="148"/>
      <c r="W260" s="148"/>
      <c r="X260" s="148"/>
      <c r="Y260" s="148"/>
      <c r="Z260" s="148"/>
      <c r="AA260" s="148"/>
    </row>
    <row r="261" spans="2:27" s="175" customFormat="1">
      <c r="B261" s="148"/>
      <c r="C261" s="148"/>
      <c r="D261" s="148"/>
      <c r="E261" s="148"/>
      <c r="F261" s="148"/>
      <c r="G261" s="148"/>
      <c r="H261" s="148"/>
      <c r="I261" s="148"/>
      <c r="J261" s="148"/>
      <c r="K261" s="148"/>
      <c r="L261" s="148"/>
      <c r="M261" s="148"/>
      <c r="N261" s="148"/>
      <c r="O261" s="148"/>
      <c r="P261" s="148"/>
      <c r="Q261" s="148"/>
      <c r="R261" s="148"/>
      <c r="S261" s="148"/>
      <c r="T261" s="148"/>
      <c r="U261" s="148"/>
      <c r="V261" s="148"/>
      <c r="W261" s="148"/>
      <c r="X261" s="148"/>
      <c r="Y261" s="148"/>
      <c r="Z261" s="148"/>
      <c r="AA261" s="148"/>
    </row>
    <row r="262" spans="2:27" s="175" customFormat="1">
      <c r="B262" s="148"/>
      <c r="C262" s="148"/>
      <c r="D262" s="148"/>
      <c r="E262" s="148"/>
      <c r="F262" s="148"/>
      <c r="G262" s="148"/>
      <c r="H262" s="148"/>
      <c r="I262" s="148"/>
      <c r="J262" s="148"/>
      <c r="K262" s="148"/>
      <c r="L262" s="148"/>
      <c r="M262" s="148"/>
      <c r="N262" s="148"/>
      <c r="O262" s="148"/>
      <c r="P262" s="148"/>
      <c r="Q262" s="148"/>
      <c r="R262" s="148"/>
      <c r="S262" s="148"/>
      <c r="T262" s="148"/>
      <c r="U262" s="148"/>
      <c r="V262" s="148"/>
      <c r="W262" s="148"/>
      <c r="X262" s="148"/>
      <c r="Y262" s="148"/>
      <c r="Z262" s="148"/>
      <c r="AA262" s="148"/>
    </row>
    <row r="263" spans="2:27" s="175" customFormat="1">
      <c r="B263" s="148"/>
      <c r="C263" s="148"/>
      <c r="D263" s="148"/>
      <c r="E263" s="148"/>
      <c r="F263" s="148"/>
      <c r="G263" s="148"/>
      <c r="H263" s="148"/>
      <c r="I263" s="148"/>
      <c r="J263" s="148"/>
      <c r="K263" s="148"/>
      <c r="L263" s="148"/>
      <c r="M263" s="148"/>
      <c r="N263" s="148"/>
      <c r="O263" s="148"/>
      <c r="P263" s="148"/>
      <c r="Q263" s="148"/>
      <c r="R263" s="148"/>
      <c r="S263" s="148"/>
      <c r="T263" s="148"/>
      <c r="U263" s="148"/>
      <c r="V263" s="148"/>
      <c r="W263" s="148"/>
      <c r="X263" s="148"/>
      <c r="Y263" s="148"/>
      <c r="Z263" s="148"/>
      <c r="AA263" s="148"/>
    </row>
    <row r="264" spans="2:27" s="175" customFormat="1">
      <c r="B264" s="148"/>
      <c r="C264" s="148"/>
      <c r="D264" s="148"/>
      <c r="E264" s="148"/>
      <c r="F264" s="148"/>
      <c r="G264" s="148"/>
      <c r="H264" s="148"/>
      <c r="I264" s="148"/>
      <c r="J264" s="148"/>
      <c r="K264" s="148"/>
      <c r="L264" s="148"/>
      <c r="M264" s="148"/>
      <c r="N264" s="148"/>
      <c r="O264" s="148"/>
      <c r="P264" s="148"/>
      <c r="Q264" s="148"/>
      <c r="R264" s="148"/>
      <c r="S264" s="148"/>
      <c r="T264" s="148"/>
      <c r="U264" s="148"/>
      <c r="V264" s="148"/>
      <c r="W264" s="148"/>
      <c r="X264" s="148"/>
      <c r="Y264" s="148"/>
      <c r="Z264" s="148"/>
      <c r="AA264" s="148"/>
    </row>
    <row r="265" spans="2:27" s="175" customFormat="1">
      <c r="B265" s="148"/>
      <c r="C265" s="148"/>
      <c r="D265" s="148"/>
      <c r="E265" s="148"/>
      <c r="F265" s="148"/>
      <c r="G265" s="148"/>
      <c r="H265" s="148"/>
      <c r="I265" s="148"/>
      <c r="J265" s="148"/>
      <c r="K265" s="148"/>
      <c r="L265" s="148"/>
      <c r="M265" s="148"/>
      <c r="N265" s="148"/>
      <c r="O265" s="148"/>
      <c r="P265" s="148"/>
      <c r="Q265" s="148"/>
      <c r="R265" s="148"/>
      <c r="S265" s="148"/>
      <c r="T265" s="148"/>
      <c r="U265" s="148"/>
      <c r="V265" s="148"/>
      <c r="W265" s="148"/>
      <c r="X265" s="148"/>
      <c r="Y265" s="148"/>
      <c r="Z265" s="148"/>
      <c r="AA265" s="148"/>
    </row>
    <row r="266" spans="2:27" s="175" customFormat="1">
      <c r="B266" s="148"/>
      <c r="C266" s="148"/>
      <c r="D266" s="148"/>
      <c r="E266" s="148"/>
      <c r="F266" s="148"/>
      <c r="G266" s="148"/>
      <c r="H266" s="148"/>
      <c r="I266" s="148"/>
      <c r="J266" s="148"/>
      <c r="K266" s="148"/>
      <c r="L266" s="148"/>
      <c r="M266" s="148"/>
      <c r="N266" s="148"/>
      <c r="O266" s="148"/>
      <c r="P266" s="148"/>
      <c r="Q266" s="148"/>
      <c r="R266" s="148"/>
      <c r="S266" s="148"/>
      <c r="T266" s="148"/>
      <c r="U266" s="148"/>
      <c r="V266" s="148"/>
      <c r="W266" s="148"/>
      <c r="X266" s="148"/>
      <c r="Y266" s="148"/>
      <c r="Z266" s="148"/>
      <c r="AA266" s="148"/>
    </row>
    <row r="267" spans="2:27" s="175" customFormat="1">
      <c r="B267" s="148"/>
      <c r="C267" s="148"/>
      <c r="D267" s="148"/>
      <c r="E267" s="148"/>
      <c r="F267" s="148"/>
      <c r="G267" s="148"/>
      <c r="H267" s="148"/>
      <c r="I267" s="148"/>
      <c r="J267" s="148"/>
      <c r="K267" s="148"/>
      <c r="L267" s="148"/>
      <c r="M267" s="148"/>
      <c r="N267" s="148"/>
      <c r="O267" s="148"/>
      <c r="P267" s="148"/>
      <c r="Q267" s="148"/>
      <c r="R267" s="148"/>
      <c r="S267" s="148"/>
      <c r="T267" s="148"/>
      <c r="U267" s="148"/>
      <c r="V267" s="148"/>
      <c r="W267" s="148"/>
      <c r="X267" s="148"/>
      <c r="Y267" s="148"/>
      <c r="Z267" s="148"/>
      <c r="AA267" s="148"/>
    </row>
    <row r="268" spans="2:27" s="175" customFormat="1">
      <c r="B268" s="148"/>
      <c r="C268" s="148"/>
      <c r="D268" s="148"/>
      <c r="E268" s="148"/>
      <c r="F268" s="148"/>
      <c r="G268" s="148"/>
      <c r="H268" s="148"/>
      <c r="I268" s="148"/>
      <c r="J268" s="148"/>
      <c r="K268" s="148"/>
      <c r="L268" s="148"/>
      <c r="M268" s="148"/>
      <c r="N268" s="148"/>
      <c r="O268" s="148"/>
      <c r="P268" s="148"/>
      <c r="Q268" s="148"/>
      <c r="R268" s="148"/>
      <c r="S268" s="148"/>
      <c r="T268" s="148"/>
      <c r="U268" s="148"/>
      <c r="V268" s="148"/>
      <c r="W268" s="148"/>
      <c r="X268" s="148"/>
      <c r="Y268" s="148"/>
      <c r="Z268" s="148"/>
      <c r="AA268" s="148"/>
    </row>
    <row r="269" spans="2:27" s="175" customFormat="1">
      <c r="B269" s="148"/>
      <c r="C269" s="148"/>
      <c r="D269" s="148"/>
      <c r="E269" s="148"/>
      <c r="F269" s="148"/>
      <c r="G269" s="148"/>
      <c r="H269" s="148"/>
      <c r="I269" s="148"/>
      <c r="J269" s="148"/>
      <c r="K269" s="148"/>
      <c r="L269" s="148"/>
      <c r="M269" s="148"/>
      <c r="N269" s="148"/>
      <c r="O269" s="148"/>
      <c r="P269" s="148"/>
      <c r="Q269" s="148"/>
      <c r="R269" s="148"/>
      <c r="S269" s="148"/>
      <c r="T269" s="148"/>
      <c r="U269" s="148"/>
      <c r="V269" s="148"/>
      <c r="W269" s="148"/>
      <c r="X269" s="148"/>
      <c r="Y269" s="148"/>
      <c r="Z269" s="148"/>
      <c r="AA269" s="148"/>
    </row>
    <row r="270" spans="2:27" s="175" customFormat="1">
      <c r="B270" s="148"/>
      <c r="C270" s="148"/>
      <c r="D270" s="148"/>
      <c r="E270" s="148"/>
      <c r="F270" s="148"/>
      <c r="G270" s="148"/>
      <c r="H270" s="148"/>
      <c r="I270" s="148"/>
      <c r="J270" s="148"/>
      <c r="K270" s="148"/>
      <c r="L270" s="148"/>
      <c r="M270" s="148"/>
      <c r="N270" s="148"/>
      <c r="O270" s="148"/>
      <c r="P270" s="148"/>
      <c r="Q270" s="148"/>
      <c r="R270" s="148"/>
      <c r="S270" s="148"/>
      <c r="T270" s="148"/>
      <c r="U270" s="148"/>
      <c r="V270" s="148"/>
      <c r="W270" s="148"/>
      <c r="X270" s="148"/>
      <c r="Y270" s="148"/>
      <c r="Z270" s="148"/>
      <c r="AA270" s="148"/>
    </row>
    <row r="271" spans="2:27" s="175" customFormat="1">
      <c r="B271" s="148"/>
      <c r="C271" s="148"/>
      <c r="D271" s="148"/>
      <c r="E271" s="148"/>
      <c r="F271" s="148"/>
      <c r="G271" s="148"/>
      <c r="H271" s="148"/>
      <c r="I271" s="148"/>
      <c r="J271" s="148"/>
      <c r="K271" s="148"/>
      <c r="L271" s="148"/>
      <c r="M271" s="148"/>
      <c r="N271" s="148"/>
      <c r="O271" s="148"/>
      <c r="P271" s="148"/>
      <c r="Q271" s="148"/>
      <c r="R271" s="148"/>
      <c r="S271" s="148"/>
      <c r="T271" s="148"/>
      <c r="U271" s="148"/>
      <c r="V271" s="148"/>
      <c r="W271" s="148"/>
      <c r="X271" s="148"/>
      <c r="Y271" s="148"/>
      <c r="Z271" s="148"/>
      <c r="AA271" s="148"/>
    </row>
    <row r="272" spans="2:27" s="175" customFormat="1">
      <c r="B272" s="148"/>
      <c r="C272" s="148"/>
      <c r="D272" s="148"/>
      <c r="E272" s="148"/>
      <c r="F272" s="148"/>
      <c r="G272" s="148"/>
      <c r="H272" s="148"/>
      <c r="I272" s="148"/>
      <c r="J272" s="148"/>
      <c r="K272" s="148"/>
      <c r="L272" s="148"/>
      <c r="M272" s="148"/>
      <c r="N272" s="148"/>
      <c r="O272" s="148"/>
      <c r="P272" s="148"/>
      <c r="Q272" s="148"/>
      <c r="R272" s="148"/>
      <c r="S272" s="148"/>
      <c r="T272" s="148"/>
      <c r="U272" s="148"/>
      <c r="V272" s="148"/>
      <c r="W272" s="148"/>
      <c r="X272" s="148"/>
      <c r="Y272" s="148"/>
      <c r="Z272" s="148"/>
      <c r="AA272" s="148"/>
    </row>
    <row r="273" spans="2:27" s="175" customFormat="1">
      <c r="B273" s="148"/>
      <c r="C273" s="148"/>
      <c r="D273" s="148"/>
      <c r="E273" s="148"/>
      <c r="F273" s="148"/>
      <c r="G273" s="148"/>
      <c r="H273" s="148"/>
      <c r="I273" s="148"/>
      <c r="J273" s="148"/>
      <c r="K273" s="148"/>
      <c r="L273" s="148"/>
      <c r="M273" s="148"/>
      <c r="N273" s="148"/>
      <c r="O273" s="148"/>
      <c r="P273" s="148"/>
      <c r="Q273" s="148"/>
      <c r="R273" s="148"/>
      <c r="S273" s="148"/>
      <c r="T273" s="148"/>
      <c r="U273" s="148"/>
      <c r="V273" s="148"/>
      <c r="W273" s="148"/>
      <c r="X273" s="148"/>
      <c r="Y273" s="148"/>
      <c r="Z273" s="148"/>
      <c r="AA273" s="148"/>
    </row>
    <row r="274" spans="2:27" s="175" customFormat="1">
      <c r="B274" s="148"/>
      <c r="C274" s="148"/>
      <c r="D274" s="148"/>
      <c r="E274" s="148"/>
      <c r="F274" s="148"/>
      <c r="G274" s="148"/>
      <c r="H274" s="148"/>
      <c r="I274" s="148"/>
      <c r="J274" s="148"/>
      <c r="K274" s="148"/>
      <c r="L274" s="148"/>
      <c r="M274" s="148"/>
      <c r="N274" s="148"/>
      <c r="O274" s="148"/>
      <c r="P274" s="148"/>
      <c r="Q274" s="148"/>
      <c r="R274" s="148"/>
      <c r="S274" s="148"/>
      <c r="T274" s="148"/>
      <c r="U274" s="148"/>
      <c r="V274" s="148"/>
      <c r="W274" s="148"/>
      <c r="X274" s="148"/>
      <c r="Y274" s="148"/>
      <c r="Z274" s="148"/>
      <c r="AA274" s="148"/>
    </row>
    <row r="275" spans="2:27" s="175" customFormat="1">
      <c r="B275" s="148"/>
      <c r="C275" s="148"/>
      <c r="D275" s="148"/>
      <c r="E275" s="148"/>
      <c r="F275" s="148"/>
      <c r="G275" s="148"/>
      <c r="H275" s="148"/>
      <c r="I275" s="148"/>
      <c r="J275" s="148"/>
      <c r="K275" s="148"/>
      <c r="L275" s="148"/>
      <c r="M275" s="148"/>
      <c r="N275" s="148"/>
      <c r="O275" s="148"/>
      <c r="P275" s="148"/>
      <c r="Q275" s="148"/>
      <c r="R275" s="148"/>
      <c r="S275" s="148"/>
      <c r="T275" s="148"/>
      <c r="U275" s="148"/>
      <c r="V275" s="148"/>
      <c r="W275" s="148"/>
      <c r="X275" s="148"/>
      <c r="Y275" s="148"/>
      <c r="Z275" s="148"/>
      <c r="AA275" s="148"/>
    </row>
    <row r="276" spans="2:27" s="175" customFormat="1">
      <c r="B276" s="148"/>
      <c r="C276" s="148"/>
      <c r="D276" s="148"/>
      <c r="E276" s="148"/>
      <c r="F276" s="148"/>
      <c r="G276" s="148"/>
      <c r="H276" s="148"/>
      <c r="I276" s="148"/>
      <c r="J276" s="148"/>
      <c r="K276" s="148"/>
      <c r="L276" s="148"/>
      <c r="M276" s="148"/>
      <c r="N276" s="148"/>
      <c r="O276" s="148"/>
      <c r="P276" s="148"/>
      <c r="Q276" s="148"/>
      <c r="R276" s="148"/>
      <c r="S276" s="148"/>
      <c r="T276" s="148"/>
      <c r="U276" s="148"/>
      <c r="V276" s="148"/>
      <c r="W276" s="148"/>
      <c r="X276" s="148"/>
      <c r="Y276" s="148"/>
      <c r="Z276" s="148"/>
      <c r="AA276" s="148"/>
    </row>
    <row r="277" spans="2:27" s="175" customFormat="1">
      <c r="B277" s="148"/>
      <c r="C277" s="148"/>
      <c r="D277" s="148"/>
      <c r="E277" s="148"/>
      <c r="F277" s="148"/>
      <c r="G277" s="148"/>
      <c r="H277" s="148"/>
      <c r="I277" s="148"/>
      <c r="J277" s="148"/>
      <c r="K277" s="148"/>
      <c r="L277" s="148"/>
      <c r="M277" s="148"/>
      <c r="N277" s="148"/>
      <c r="O277" s="148"/>
      <c r="P277" s="148"/>
      <c r="Q277" s="148"/>
      <c r="R277" s="148"/>
      <c r="S277" s="148"/>
      <c r="T277" s="148"/>
      <c r="U277" s="148"/>
      <c r="V277" s="148"/>
      <c r="W277" s="148"/>
      <c r="X277" s="148"/>
      <c r="Y277" s="148"/>
      <c r="Z277" s="148"/>
      <c r="AA277" s="148"/>
    </row>
    <row r="278" spans="2:27" s="175" customFormat="1">
      <c r="B278" s="148"/>
      <c r="C278" s="148"/>
      <c r="D278" s="148"/>
      <c r="E278" s="148"/>
      <c r="F278" s="148"/>
      <c r="G278" s="148"/>
      <c r="H278" s="148"/>
      <c r="I278" s="148"/>
      <c r="J278" s="148"/>
      <c r="K278" s="148"/>
      <c r="L278" s="148"/>
      <c r="M278" s="148"/>
      <c r="N278" s="148"/>
      <c r="O278" s="148"/>
      <c r="P278" s="148"/>
      <c r="Q278" s="148"/>
      <c r="R278" s="148"/>
      <c r="S278" s="148"/>
      <c r="T278" s="148"/>
      <c r="U278" s="148"/>
      <c r="V278" s="148"/>
      <c r="W278" s="148"/>
      <c r="X278" s="148"/>
      <c r="Y278" s="148"/>
      <c r="Z278" s="148"/>
      <c r="AA278" s="148"/>
    </row>
    <row r="279" spans="2:27" s="175" customFormat="1">
      <c r="B279" s="148"/>
      <c r="C279" s="148"/>
      <c r="D279" s="148"/>
      <c r="E279" s="148"/>
      <c r="F279" s="148"/>
      <c r="G279" s="148"/>
      <c r="H279" s="148"/>
      <c r="I279" s="148"/>
      <c r="J279" s="148"/>
      <c r="K279" s="148"/>
      <c r="L279" s="148"/>
      <c r="M279" s="148"/>
      <c r="N279" s="148"/>
      <c r="O279" s="148"/>
      <c r="P279" s="148"/>
      <c r="Q279" s="148"/>
      <c r="R279" s="148"/>
      <c r="S279" s="148"/>
      <c r="T279" s="148"/>
      <c r="U279" s="148"/>
      <c r="V279" s="148"/>
      <c r="W279" s="148"/>
      <c r="X279" s="148"/>
      <c r="Y279" s="148"/>
      <c r="Z279" s="148"/>
      <c r="AA279" s="148"/>
    </row>
    <row r="280" spans="2:27" s="175" customFormat="1">
      <c r="B280" s="148"/>
      <c r="C280" s="148"/>
      <c r="D280" s="148"/>
      <c r="E280" s="148"/>
      <c r="F280" s="148"/>
      <c r="G280" s="148"/>
      <c r="H280" s="148"/>
      <c r="I280" s="148"/>
      <c r="J280" s="148"/>
      <c r="K280" s="148"/>
      <c r="L280" s="148"/>
      <c r="M280" s="148"/>
      <c r="N280" s="148"/>
      <c r="O280" s="148"/>
      <c r="P280" s="148"/>
      <c r="Q280" s="148"/>
      <c r="R280" s="148"/>
      <c r="S280" s="148"/>
      <c r="T280" s="148"/>
      <c r="U280" s="148"/>
      <c r="V280" s="148"/>
      <c r="W280" s="148"/>
      <c r="X280" s="148"/>
      <c r="Y280" s="148"/>
      <c r="Z280" s="148"/>
      <c r="AA280" s="148"/>
    </row>
    <row r="281" spans="2:27" s="175" customFormat="1">
      <c r="B281" s="148"/>
      <c r="C281" s="148"/>
      <c r="D281" s="148"/>
      <c r="E281" s="148"/>
      <c r="F281" s="148"/>
      <c r="G281" s="148"/>
      <c r="H281" s="148"/>
      <c r="I281" s="148"/>
      <c r="J281" s="148"/>
      <c r="K281" s="148"/>
      <c r="L281" s="148"/>
      <c r="M281" s="148"/>
      <c r="N281" s="148"/>
      <c r="O281" s="148"/>
      <c r="P281" s="148"/>
      <c r="Q281" s="148"/>
      <c r="R281" s="148"/>
      <c r="S281" s="148"/>
      <c r="T281" s="148"/>
      <c r="U281" s="148"/>
      <c r="V281" s="148"/>
      <c r="W281" s="148"/>
      <c r="X281" s="148"/>
      <c r="Y281" s="148"/>
      <c r="Z281" s="148"/>
      <c r="AA281" s="148"/>
    </row>
    <row r="282" spans="2:27" s="175" customFormat="1">
      <c r="B282" s="148"/>
      <c r="C282" s="148"/>
      <c r="D282" s="148"/>
      <c r="E282" s="148"/>
      <c r="F282" s="148"/>
      <c r="G282" s="148"/>
      <c r="H282" s="148"/>
      <c r="I282" s="148"/>
      <c r="J282" s="148"/>
      <c r="K282" s="148"/>
      <c r="L282" s="148"/>
      <c r="M282" s="148"/>
      <c r="N282" s="148"/>
      <c r="O282" s="148"/>
      <c r="P282" s="148"/>
      <c r="Q282" s="148"/>
      <c r="R282" s="148"/>
      <c r="S282" s="148"/>
      <c r="T282" s="148"/>
      <c r="U282" s="148"/>
      <c r="V282" s="148"/>
      <c r="W282" s="148"/>
      <c r="X282" s="148"/>
      <c r="Y282" s="148"/>
      <c r="Z282" s="148"/>
      <c r="AA282" s="148"/>
    </row>
    <row r="283" spans="2:27" s="175" customFormat="1">
      <c r="B283" s="148"/>
      <c r="C283" s="148"/>
      <c r="D283" s="148"/>
      <c r="E283" s="148"/>
      <c r="F283" s="148"/>
      <c r="G283" s="148"/>
      <c r="H283" s="148"/>
      <c r="I283" s="148"/>
      <c r="J283" s="148"/>
      <c r="K283" s="148"/>
      <c r="L283" s="148"/>
      <c r="M283" s="148"/>
      <c r="N283" s="148"/>
      <c r="O283" s="148"/>
      <c r="P283" s="148"/>
      <c r="Q283" s="148"/>
      <c r="R283" s="148"/>
      <c r="S283" s="148"/>
      <c r="T283" s="148"/>
      <c r="U283" s="148"/>
      <c r="V283" s="148"/>
      <c r="W283" s="148"/>
      <c r="X283" s="148"/>
      <c r="Y283" s="148"/>
      <c r="Z283" s="148"/>
      <c r="AA283" s="148"/>
    </row>
    <row r="284" spans="2:27" s="175" customFormat="1">
      <c r="B284" s="148"/>
      <c r="C284" s="148"/>
      <c r="D284" s="148"/>
      <c r="E284" s="148"/>
      <c r="F284" s="148"/>
      <c r="G284" s="148"/>
      <c r="H284" s="148"/>
      <c r="I284" s="148"/>
      <c r="J284" s="148"/>
      <c r="K284" s="148"/>
      <c r="L284" s="148"/>
      <c r="M284" s="148"/>
      <c r="N284" s="148"/>
      <c r="O284" s="148"/>
      <c r="P284" s="148"/>
      <c r="Q284" s="148"/>
      <c r="R284" s="148"/>
      <c r="S284" s="148"/>
      <c r="T284" s="148"/>
      <c r="U284" s="148"/>
      <c r="V284" s="148"/>
      <c r="W284" s="148"/>
      <c r="X284" s="148"/>
      <c r="Y284" s="148"/>
      <c r="Z284" s="148"/>
      <c r="AA284" s="148"/>
    </row>
    <row r="285" spans="2:27" s="175" customFormat="1">
      <c r="B285" s="148"/>
      <c r="C285" s="148"/>
      <c r="D285" s="148"/>
      <c r="E285" s="148"/>
      <c r="F285" s="148"/>
      <c r="G285" s="148"/>
      <c r="H285" s="148"/>
      <c r="I285" s="148"/>
      <c r="J285" s="148"/>
      <c r="K285" s="148"/>
      <c r="L285" s="148"/>
      <c r="M285" s="148"/>
      <c r="N285" s="148"/>
      <c r="O285" s="148"/>
      <c r="P285" s="148"/>
      <c r="Q285" s="148"/>
      <c r="R285" s="148"/>
      <c r="S285" s="148"/>
      <c r="T285" s="148"/>
      <c r="U285" s="148"/>
      <c r="V285" s="148"/>
      <c r="W285" s="148"/>
      <c r="X285" s="148"/>
      <c r="Y285" s="148"/>
      <c r="Z285" s="148"/>
      <c r="AA285" s="148"/>
    </row>
    <row r="286" spans="2:27" s="175" customFormat="1">
      <c r="B286" s="148"/>
      <c r="C286" s="148"/>
      <c r="D286" s="148"/>
      <c r="E286" s="148"/>
      <c r="F286" s="148"/>
      <c r="G286" s="148"/>
      <c r="H286" s="148"/>
      <c r="I286" s="148"/>
      <c r="J286" s="148"/>
      <c r="K286" s="148"/>
      <c r="L286" s="148"/>
      <c r="M286" s="148"/>
      <c r="N286" s="148"/>
      <c r="O286" s="148"/>
      <c r="P286" s="148"/>
      <c r="Q286" s="148"/>
      <c r="R286" s="148"/>
      <c r="S286" s="148"/>
      <c r="T286" s="148"/>
      <c r="U286" s="148"/>
      <c r="V286" s="148"/>
      <c r="W286" s="148"/>
      <c r="X286" s="148"/>
      <c r="Y286" s="148"/>
      <c r="Z286" s="148"/>
      <c r="AA286" s="148"/>
    </row>
    <row r="287" spans="2:27" s="175" customFormat="1">
      <c r="B287" s="148"/>
      <c r="C287" s="148"/>
      <c r="D287" s="148"/>
      <c r="E287" s="148"/>
      <c r="F287" s="148"/>
      <c r="G287" s="148"/>
      <c r="H287" s="148"/>
      <c r="I287" s="148"/>
      <c r="J287" s="148"/>
      <c r="K287" s="148"/>
      <c r="L287" s="148"/>
      <c r="M287" s="148"/>
      <c r="N287" s="148"/>
      <c r="O287" s="148"/>
      <c r="P287" s="148"/>
      <c r="Q287" s="148"/>
      <c r="R287" s="148"/>
      <c r="S287" s="148"/>
      <c r="T287" s="148"/>
      <c r="U287" s="148"/>
      <c r="V287" s="148"/>
      <c r="W287" s="148"/>
      <c r="X287" s="148"/>
      <c r="Y287" s="148"/>
      <c r="Z287" s="148"/>
      <c r="AA287" s="148"/>
    </row>
    <row r="288" spans="2:27" s="175" customFormat="1">
      <c r="B288" s="148"/>
      <c r="C288" s="148"/>
      <c r="D288" s="148"/>
      <c r="E288" s="148"/>
      <c r="F288" s="148"/>
      <c r="G288" s="148"/>
      <c r="H288" s="148"/>
      <c r="I288" s="148"/>
      <c r="J288" s="148"/>
      <c r="K288" s="148"/>
      <c r="L288" s="148"/>
      <c r="M288" s="148"/>
      <c r="N288" s="148"/>
      <c r="O288" s="148"/>
      <c r="P288" s="148"/>
      <c r="Q288" s="148"/>
      <c r="R288" s="148"/>
      <c r="S288" s="148"/>
      <c r="T288" s="148"/>
      <c r="U288" s="148"/>
      <c r="V288" s="148"/>
      <c r="W288" s="148"/>
      <c r="X288" s="148"/>
      <c r="Y288" s="148"/>
      <c r="Z288" s="148"/>
      <c r="AA288" s="148"/>
    </row>
    <row r="289" spans="2:27" s="175" customFormat="1">
      <c r="B289" s="148"/>
      <c r="C289" s="148"/>
      <c r="D289" s="148"/>
      <c r="E289" s="148"/>
      <c r="F289" s="148"/>
      <c r="G289" s="148"/>
      <c r="H289" s="148"/>
      <c r="I289" s="148"/>
      <c r="J289" s="148"/>
      <c r="K289" s="148"/>
      <c r="L289" s="148"/>
      <c r="M289" s="148"/>
      <c r="N289" s="148"/>
      <c r="O289" s="148"/>
      <c r="P289" s="148"/>
      <c r="Q289" s="148"/>
      <c r="R289" s="148"/>
      <c r="S289" s="148"/>
      <c r="T289" s="148"/>
      <c r="U289" s="148"/>
      <c r="V289" s="148"/>
      <c r="W289" s="148"/>
      <c r="X289" s="148"/>
      <c r="Y289" s="148"/>
      <c r="Z289" s="148"/>
      <c r="AA289" s="148"/>
    </row>
    <row r="290" spans="2:27" s="175" customFormat="1">
      <c r="B290" s="148"/>
      <c r="C290" s="148"/>
      <c r="D290" s="148"/>
      <c r="E290" s="148"/>
      <c r="F290" s="148"/>
      <c r="G290" s="148"/>
      <c r="H290" s="148"/>
      <c r="I290" s="148"/>
      <c r="J290" s="148"/>
      <c r="K290" s="148"/>
      <c r="L290" s="148"/>
      <c r="M290" s="148"/>
      <c r="N290" s="148"/>
      <c r="O290" s="148"/>
      <c r="P290" s="148"/>
      <c r="Q290" s="148"/>
      <c r="R290" s="148"/>
      <c r="S290" s="148"/>
      <c r="T290" s="148"/>
      <c r="U290" s="148"/>
      <c r="V290" s="148"/>
      <c r="W290" s="148"/>
      <c r="X290" s="148"/>
      <c r="Y290" s="148"/>
      <c r="Z290" s="148"/>
      <c r="AA290" s="148"/>
    </row>
    <row r="291" spans="2:27" s="175" customFormat="1">
      <c r="B291" s="148"/>
      <c r="C291" s="148"/>
      <c r="D291" s="148"/>
      <c r="E291" s="148"/>
      <c r="F291" s="148"/>
      <c r="G291" s="148"/>
      <c r="H291" s="148"/>
      <c r="I291" s="148"/>
      <c r="J291" s="148"/>
      <c r="K291" s="148"/>
      <c r="L291" s="148"/>
      <c r="M291" s="148"/>
      <c r="N291" s="148"/>
      <c r="O291" s="148"/>
      <c r="P291" s="148"/>
      <c r="Q291" s="148"/>
      <c r="R291" s="148"/>
      <c r="S291" s="148"/>
      <c r="T291" s="148"/>
      <c r="U291" s="148"/>
      <c r="V291" s="148"/>
      <c r="W291" s="148"/>
      <c r="X291" s="148"/>
      <c r="Y291" s="148"/>
      <c r="Z291" s="148"/>
      <c r="AA291" s="148"/>
    </row>
    <row r="292" spans="2:27" s="175" customFormat="1">
      <c r="B292" s="148"/>
      <c r="C292" s="148"/>
      <c r="D292" s="148"/>
      <c r="E292" s="148"/>
      <c r="F292" s="148"/>
      <c r="G292" s="148"/>
      <c r="H292" s="148"/>
      <c r="I292" s="148"/>
      <c r="J292" s="148"/>
      <c r="K292" s="148"/>
      <c r="L292" s="148"/>
      <c r="M292" s="148"/>
      <c r="N292" s="148"/>
      <c r="O292" s="148"/>
      <c r="P292" s="148"/>
      <c r="Q292" s="148"/>
      <c r="R292" s="148"/>
      <c r="S292" s="148"/>
      <c r="T292" s="148"/>
      <c r="U292" s="148"/>
      <c r="V292" s="148"/>
      <c r="W292" s="148"/>
      <c r="X292" s="148"/>
      <c r="Y292" s="148"/>
      <c r="Z292" s="148"/>
      <c r="AA292" s="148"/>
    </row>
    <row r="293" spans="2:27" s="175" customFormat="1">
      <c r="B293" s="148"/>
      <c r="C293" s="148"/>
      <c r="D293" s="148"/>
      <c r="E293" s="148"/>
      <c r="F293" s="148"/>
      <c r="G293" s="148"/>
      <c r="H293" s="148"/>
      <c r="I293" s="148"/>
      <c r="J293" s="148"/>
      <c r="K293" s="148"/>
      <c r="L293" s="148"/>
      <c r="M293" s="148"/>
      <c r="N293" s="148"/>
      <c r="O293" s="148"/>
      <c r="P293" s="148"/>
      <c r="Q293" s="148"/>
      <c r="R293" s="148"/>
      <c r="S293" s="148"/>
      <c r="T293" s="148"/>
      <c r="U293" s="148"/>
      <c r="V293" s="148"/>
      <c r="W293" s="148"/>
      <c r="X293" s="148"/>
      <c r="Y293" s="148"/>
      <c r="Z293" s="148"/>
      <c r="AA293" s="148"/>
    </row>
    <row r="294" spans="2:27" s="175" customFormat="1">
      <c r="B294" s="148"/>
      <c r="C294" s="148"/>
      <c r="D294" s="148"/>
      <c r="E294" s="148"/>
      <c r="F294" s="148"/>
      <c r="G294" s="148"/>
      <c r="H294" s="148"/>
      <c r="I294" s="148"/>
      <c r="J294" s="148"/>
      <c r="K294" s="148"/>
      <c r="L294" s="148"/>
      <c r="M294" s="148"/>
      <c r="N294" s="148"/>
      <c r="O294" s="148"/>
      <c r="P294" s="148"/>
      <c r="Q294" s="148"/>
      <c r="R294" s="148"/>
      <c r="S294" s="148"/>
      <c r="T294" s="148"/>
      <c r="U294" s="148"/>
      <c r="V294" s="148"/>
      <c r="W294" s="148"/>
      <c r="X294" s="148"/>
      <c r="Y294" s="148"/>
      <c r="Z294" s="148"/>
      <c r="AA294" s="148"/>
    </row>
    <row r="295" spans="2:27" s="175" customFormat="1">
      <c r="B295" s="148"/>
      <c r="C295" s="148"/>
      <c r="D295" s="148"/>
      <c r="E295" s="148"/>
      <c r="F295" s="148"/>
      <c r="G295" s="148"/>
      <c r="H295" s="148"/>
      <c r="I295" s="148"/>
      <c r="J295" s="148"/>
      <c r="K295" s="148"/>
      <c r="L295" s="148"/>
      <c r="M295" s="148"/>
      <c r="N295" s="148"/>
      <c r="O295" s="148"/>
      <c r="P295" s="148"/>
      <c r="Q295" s="148"/>
      <c r="R295" s="148"/>
      <c r="S295" s="148"/>
      <c r="T295" s="148"/>
      <c r="U295" s="148"/>
      <c r="V295" s="148"/>
      <c r="W295" s="148"/>
      <c r="X295" s="148"/>
      <c r="Y295" s="148"/>
      <c r="Z295" s="148"/>
      <c r="AA295" s="148"/>
    </row>
    <row r="296" spans="2:27" s="175" customFormat="1">
      <c r="B296" s="148"/>
      <c r="C296" s="148"/>
      <c r="D296" s="148"/>
      <c r="E296" s="148"/>
      <c r="F296" s="148"/>
      <c r="G296" s="148"/>
      <c r="H296" s="148"/>
      <c r="I296" s="148"/>
      <c r="J296" s="148"/>
      <c r="K296" s="148"/>
      <c r="L296" s="148"/>
      <c r="M296" s="148"/>
      <c r="N296" s="148"/>
      <c r="O296" s="148"/>
      <c r="P296" s="148"/>
      <c r="Q296" s="148"/>
      <c r="R296" s="148"/>
      <c r="S296" s="148"/>
      <c r="T296" s="148"/>
      <c r="U296" s="148"/>
      <c r="V296" s="148"/>
      <c r="W296" s="148"/>
      <c r="X296" s="148"/>
      <c r="Y296" s="148"/>
      <c r="Z296" s="148"/>
      <c r="AA296" s="148"/>
    </row>
    <row r="297" spans="2:27" s="175" customFormat="1">
      <c r="B297" s="148"/>
      <c r="C297" s="148"/>
      <c r="D297" s="148"/>
      <c r="E297" s="148"/>
      <c r="F297" s="148"/>
      <c r="G297" s="148"/>
      <c r="H297" s="148"/>
      <c r="I297" s="148"/>
      <c r="J297" s="148"/>
      <c r="K297" s="148"/>
      <c r="L297" s="148"/>
      <c r="M297" s="148"/>
      <c r="N297" s="148"/>
      <c r="O297" s="148"/>
      <c r="P297" s="148"/>
      <c r="Q297" s="148"/>
      <c r="R297" s="148"/>
      <c r="S297" s="148"/>
      <c r="T297" s="148"/>
      <c r="U297" s="148"/>
      <c r="V297" s="148"/>
      <c r="W297" s="148"/>
      <c r="X297" s="148"/>
      <c r="Y297" s="148"/>
      <c r="Z297" s="148"/>
      <c r="AA297" s="148"/>
    </row>
    <row r="298" spans="2:27" s="175" customFormat="1">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row>
    <row r="299" spans="2:27" s="175" customFormat="1">
      <c r="B299" s="148"/>
      <c r="C299" s="148"/>
      <c r="D299" s="148"/>
      <c r="E299" s="148"/>
      <c r="F299" s="148"/>
      <c r="G299" s="148"/>
      <c r="H299" s="148"/>
      <c r="I299" s="148"/>
      <c r="J299" s="148"/>
      <c r="K299" s="148"/>
      <c r="L299" s="148"/>
      <c r="M299" s="148"/>
      <c r="N299" s="148"/>
      <c r="O299" s="148"/>
      <c r="P299" s="148"/>
      <c r="Q299" s="148"/>
      <c r="R299" s="148"/>
      <c r="S299" s="148"/>
      <c r="T299" s="148"/>
      <c r="U299" s="148"/>
      <c r="V299" s="148"/>
      <c r="W299" s="148"/>
      <c r="X299" s="148"/>
      <c r="Y299" s="148"/>
      <c r="Z299" s="148"/>
      <c r="AA299" s="148"/>
    </row>
    <row r="300" spans="2:27" s="175" customFormat="1">
      <c r="B300" s="148"/>
      <c r="C300" s="148"/>
      <c r="D300" s="148"/>
      <c r="E300" s="148"/>
      <c r="F300" s="148"/>
      <c r="G300" s="148"/>
      <c r="H300" s="148"/>
      <c r="I300" s="148"/>
      <c r="J300" s="148"/>
      <c r="K300" s="148"/>
      <c r="L300" s="148"/>
      <c r="M300" s="148"/>
      <c r="N300" s="148"/>
      <c r="O300" s="148"/>
      <c r="P300" s="148"/>
      <c r="Q300" s="148"/>
      <c r="R300" s="148"/>
      <c r="S300" s="148"/>
      <c r="T300" s="148"/>
      <c r="U300" s="148"/>
      <c r="V300" s="148"/>
      <c r="W300" s="148"/>
      <c r="X300" s="148"/>
      <c r="Y300" s="148"/>
      <c r="Z300" s="148"/>
      <c r="AA300" s="148"/>
    </row>
    <row r="301" spans="2:27" s="175" customFormat="1">
      <c r="B301" s="148"/>
      <c r="C301" s="148"/>
      <c r="D301" s="148"/>
      <c r="E301" s="148"/>
      <c r="F301" s="148"/>
      <c r="G301" s="148"/>
      <c r="H301" s="148"/>
      <c r="I301" s="148"/>
      <c r="J301" s="148"/>
      <c r="K301" s="148"/>
      <c r="L301" s="148"/>
      <c r="M301" s="148"/>
      <c r="N301" s="148"/>
      <c r="O301" s="148"/>
      <c r="P301" s="148"/>
      <c r="Q301" s="148"/>
      <c r="R301" s="148"/>
      <c r="S301" s="148"/>
      <c r="T301" s="148"/>
      <c r="U301" s="148"/>
      <c r="V301" s="148"/>
      <c r="W301" s="148"/>
      <c r="X301" s="148"/>
      <c r="Y301" s="148"/>
      <c r="Z301" s="148"/>
      <c r="AA301" s="148"/>
    </row>
    <row r="302" spans="2:27" s="175" customFormat="1">
      <c r="B302" s="148"/>
      <c r="C302" s="148"/>
      <c r="D302" s="148"/>
      <c r="E302" s="148"/>
      <c r="F302" s="148"/>
      <c r="G302" s="148"/>
      <c r="H302" s="148"/>
      <c r="I302" s="148"/>
      <c r="J302" s="148"/>
      <c r="K302" s="148"/>
      <c r="L302" s="148"/>
      <c r="M302" s="148"/>
      <c r="N302" s="148"/>
      <c r="O302" s="148"/>
      <c r="P302" s="148"/>
      <c r="Q302" s="148"/>
      <c r="R302" s="148"/>
      <c r="S302" s="148"/>
      <c r="T302" s="148"/>
      <c r="U302" s="148"/>
      <c r="V302" s="148"/>
      <c r="W302" s="148"/>
      <c r="X302" s="148"/>
      <c r="Y302" s="148"/>
      <c r="Z302" s="148"/>
      <c r="AA302" s="148"/>
    </row>
    <row r="303" spans="2:27" s="175" customFormat="1">
      <c r="B303" s="148"/>
      <c r="C303" s="148"/>
      <c r="D303" s="148"/>
      <c r="E303" s="148"/>
      <c r="F303" s="148"/>
      <c r="G303" s="148"/>
      <c r="H303" s="148"/>
      <c r="I303" s="148"/>
      <c r="J303" s="148"/>
      <c r="K303" s="148"/>
      <c r="L303" s="148"/>
      <c r="M303" s="148"/>
      <c r="N303" s="148"/>
      <c r="O303" s="148"/>
      <c r="P303" s="148"/>
      <c r="Q303" s="148"/>
      <c r="R303" s="148"/>
      <c r="S303" s="148"/>
      <c r="T303" s="148"/>
      <c r="U303" s="148"/>
      <c r="V303" s="148"/>
      <c r="W303" s="148"/>
      <c r="X303" s="148"/>
      <c r="Y303" s="148"/>
      <c r="Z303" s="148"/>
      <c r="AA303" s="148"/>
    </row>
    <row r="304" spans="2:27" s="175" customFormat="1">
      <c r="B304" s="148"/>
      <c r="C304" s="148"/>
      <c r="D304" s="148"/>
      <c r="E304" s="148"/>
      <c r="F304" s="148"/>
      <c r="G304" s="148"/>
      <c r="H304" s="148"/>
      <c r="I304" s="148"/>
      <c r="J304" s="148"/>
      <c r="K304" s="148"/>
      <c r="L304" s="148"/>
      <c r="M304" s="148"/>
      <c r="N304" s="148"/>
      <c r="O304" s="148"/>
      <c r="P304" s="148"/>
      <c r="Q304" s="148"/>
      <c r="R304" s="148"/>
      <c r="S304" s="148"/>
      <c r="T304" s="148"/>
      <c r="U304" s="148"/>
      <c r="V304" s="148"/>
      <c r="W304" s="148"/>
      <c r="X304" s="148"/>
      <c r="Y304" s="148"/>
      <c r="Z304" s="148"/>
      <c r="AA304" s="148"/>
    </row>
    <row r="305" spans="2:27" s="175" customFormat="1">
      <c r="B305" s="148"/>
      <c r="C305" s="148"/>
      <c r="D305" s="148"/>
      <c r="E305" s="148"/>
      <c r="F305" s="148"/>
      <c r="G305" s="148"/>
      <c r="H305" s="148"/>
      <c r="I305" s="148"/>
      <c r="J305" s="148"/>
      <c r="K305" s="148"/>
      <c r="L305" s="148"/>
      <c r="M305" s="148"/>
      <c r="N305" s="148"/>
      <c r="O305" s="148"/>
      <c r="P305" s="148"/>
      <c r="Q305" s="148"/>
      <c r="R305" s="148"/>
      <c r="S305" s="148"/>
      <c r="T305" s="148"/>
      <c r="U305" s="148"/>
      <c r="V305" s="148"/>
      <c r="W305" s="148"/>
      <c r="X305" s="148"/>
      <c r="Y305" s="148"/>
      <c r="Z305" s="148"/>
      <c r="AA305" s="148"/>
    </row>
    <row r="306" spans="2:27" s="175" customFormat="1">
      <c r="B306" s="148"/>
      <c r="C306" s="148"/>
      <c r="D306" s="148"/>
      <c r="E306" s="148"/>
      <c r="F306" s="148"/>
      <c r="G306" s="148"/>
      <c r="H306" s="148"/>
      <c r="I306" s="148"/>
      <c r="J306" s="148"/>
      <c r="K306" s="148"/>
      <c r="L306" s="148"/>
      <c r="M306" s="148"/>
      <c r="N306" s="148"/>
      <c r="O306" s="148"/>
      <c r="P306" s="148"/>
      <c r="Q306" s="148"/>
      <c r="R306" s="148"/>
      <c r="S306" s="148"/>
      <c r="T306" s="148"/>
      <c r="U306" s="148"/>
      <c r="V306" s="148"/>
      <c r="W306" s="148"/>
      <c r="X306" s="148"/>
      <c r="Y306" s="148"/>
      <c r="Z306" s="148"/>
      <c r="AA306" s="148"/>
    </row>
    <row r="307" spans="2:27" s="175" customFormat="1">
      <c r="B307" s="148"/>
      <c r="C307" s="148"/>
      <c r="D307" s="148"/>
      <c r="E307" s="148"/>
      <c r="F307" s="148"/>
      <c r="G307" s="148"/>
      <c r="H307" s="148"/>
      <c r="I307" s="148"/>
      <c r="J307" s="148"/>
      <c r="K307" s="148"/>
      <c r="L307" s="148"/>
      <c r="M307" s="148"/>
      <c r="N307" s="148"/>
      <c r="O307" s="148"/>
      <c r="P307" s="148"/>
      <c r="Q307" s="148"/>
      <c r="R307" s="148"/>
      <c r="S307" s="148"/>
      <c r="T307" s="148"/>
      <c r="U307" s="148"/>
      <c r="V307" s="148"/>
      <c r="W307" s="148"/>
      <c r="X307" s="148"/>
      <c r="Y307" s="148"/>
      <c r="Z307" s="148"/>
      <c r="AA307" s="148"/>
    </row>
    <row r="308" spans="2:27" s="175" customFormat="1">
      <c r="B308" s="148"/>
      <c r="C308" s="148"/>
      <c r="D308" s="148"/>
      <c r="E308" s="148"/>
      <c r="F308" s="148"/>
      <c r="G308" s="148"/>
      <c r="H308" s="148"/>
      <c r="I308" s="148"/>
      <c r="J308" s="148"/>
      <c r="K308" s="148"/>
      <c r="L308" s="148"/>
      <c r="M308" s="148"/>
      <c r="N308" s="148"/>
      <c r="O308" s="148"/>
      <c r="P308" s="148"/>
      <c r="Q308" s="148"/>
      <c r="R308" s="148"/>
      <c r="S308" s="148"/>
      <c r="T308" s="148"/>
      <c r="U308" s="148"/>
      <c r="V308" s="148"/>
      <c r="W308" s="148"/>
      <c r="X308" s="148"/>
      <c r="Y308" s="148"/>
      <c r="Z308" s="148"/>
      <c r="AA308" s="148"/>
    </row>
    <row r="309" spans="2:27" s="175" customFormat="1">
      <c r="B309" s="148"/>
      <c r="C309" s="148"/>
      <c r="D309" s="148"/>
      <c r="E309" s="148"/>
      <c r="F309" s="148"/>
      <c r="G309" s="148"/>
      <c r="H309" s="148"/>
      <c r="I309" s="148"/>
      <c r="J309" s="148"/>
      <c r="K309" s="148"/>
      <c r="L309" s="148"/>
      <c r="M309" s="148"/>
      <c r="N309" s="148"/>
      <c r="O309" s="148"/>
      <c r="P309" s="148"/>
      <c r="Q309" s="148"/>
      <c r="R309" s="148"/>
      <c r="S309" s="148"/>
      <c r="T309" s="148"/>
      <c r="U309" s="148"/>
      <c r="V309" s="148"/>
      <c r="W309" s="148"/>
      <c r="X309" s="148"/>
      <c r="Y309" s="148"/>
      <c r="Z309" s="148"/>
      <c r="AA309" s="148"/>
    </row>
    <row r="310" spans="2:27" s="175" customFormat="1">
      <c r="B310" s="148"/>
      <c r="C310" s="148"/>
      <c r="D310" s="148"/>
      <c r="E310" s="148"/>
      <c r="F310" s="148"/>
      <c r="G310" s="148"/>
      <c r="H310" s="148"/>
      <c r="I310" s="148"/>
      <c r="J310" s="148"/>
      <c r="K310" s="148"/>
      <c r="L310" s="148"/>
      <c r="M310" s="148"/>
      <c r="N310" s="148"/>
      <c r="O310" s="148"/>
      <c r="P310" s="148"/>
      <c r="Q310" s="148"/>
      <c r="R310" s="148"/>
      <c r="S310" s="148"/>
      <c r="T310" s="148"/>
      <c r="U310" s="148"/>
      <c r="V310" s="148"/>
      <c r="W310" s="148"/>
      <c r="X310" s="148"/>
      <c r="Y310" s="148"/>
      <c r="Z310" s="148"/>
      <c r="AA310" s="148"/>
    </row>
    <row r="311" spans="2:27" s="175" customFormat="1">
      <c r="B311" s="148"/>
      <c r="C311" s="148"/>
      <c r="D311" s="148"/>
      <c r="E311" s="148"/>
      <c r="F311" s="148"/>
      <c r="G311" s="148"/>
      <c r="H311" s="148"/>
      <c r="I311" s="148"/>
      <c r="J311" s="148"/>
      <c r="K311" s="148"/>
      <c r="L311" s="148"/>
      <c r="M311" s="148"/>
      <c r="N311" s="148"/>
      <c r="O311" s="148"/>
      <c r="P311" s="148"/>
      <c r="Q311" s="148"/>
      <c r="R311" s="148"/>
      <c r="S311" s="148"/>
      <c r="T311" s="148"/>
      <c r="U311" s="148"/>
      <c r="V311" s="148"/>
      <c r="W311" s="148"/>
      <c r="X311" s="148"/>
      <c r="Y311" s="148"/>
      <c r="Z311" s="148"/>
      <c r="AA311" s="148"/>
    </row>
    <row r="312" spans="2:27" s="175" customFormat="1">
      <c r="B312" s="148"/>
      <c r="C312" s="148"/>
      <c r="D312" s="148"/>
      <c r="E312" s="148"/>
      <c r="F312" s="148"/>
      <c r="G312" s="148"/>
      <c r="H312" s="148"/>
      <c r="I312" s="148"/>
      <c r="J312" s="148"/>
      <c r="K312" s="148"/>
      <c r="L312" s="148"/>
      <c r="M312" s="148"/>
      <c r="N312" s="148"/>
      <c r="O312" s="148"/>
      <c r="P312" s="148"/>
      <c r="Q312" s="148"/>
      <c r="R312" s="148"/>
      <c r="S312" s="148"/>
      <c r="T312" s="148"/>
      <c r="U312" s="148"/>
      <c r="V312" s="148"/>
      <c r="W312" s="148"/>
      <c r="X312" s="148"/>
      <c r="Y312" s="148"/>
      <c r="Z312" s="148"/>
      <c r="AA312" s="148"/>
    </row>
    <row r="313" spans="2:27" s="175" customFormat="1">
      <c r="B313" s="148"/>
      <c r="C313" s="148"/>
      <c r="D313" s="148"/>
      <c r="E313" s="148"/>
      <c r="F313" s="148"/>
      <c r="G313" s="148"/>
      <c r="H313" s="148"/>
      <c r="I313" s="148"/>
      <c r="J313" s="148"/>
      <c r="K313" s="148"/>
      <c r="L313" s="148"/>
      <c r="M313" s="148"/>
      <c r="N313" s="148"/>
      <c r="O313" s="148"/>
      <c r="P313" s="148"/>
      <c r="Q313" s="148"/>
      <c r="R313" s="148"/>
      <c r="S313" s="148"/>
      <c r="T313" s="148"/>
      <c r="U313" s="148"/>
      <c r="V313" s="148"/>
      <c r="W313" s="148"/>
      <c r="X313" s="148"/>
      <c r="Y313" s="148"/>
      <c r="Z313" s="148"/>
      <c r="AA313" s="148"/>
    </row>
    <row r="314" spans="2:27" s="175" customFormat="1">
      <c r="B314" s="148"/>
      <c r="C314" s="148"/>
      <c r="D314" s="148"/>
      <c r="E314" s="148"/>
      <c r="F314" s="148"/>
      <c r="G314" s="148"/>
      <c r="H314" s="148"/>
      <c r="I314" s="148"/>
      <c r="J314" s="148"/>
      <c r="K314" s="148"/>
      <c r="L314" s="148"/>
      <c r="M314" s="148"/>
      <c r="N314" s="148"/>
      <c r="O314" s="148"/>
      <c r="P314" s="148"/>
      <c r="Q314" s="148"/>
      <c r="R314" s="148"/>
      <c r="S314" s="148"/>
      <c r="T314" s="148"/>
      <c r="U314" s="148"/>
      <c r="V314" s="148"/>
      <c r="W314" s="148"/>
      <c r="X314" s="148"/>
      <c r="Y314" s="148"/>
      <c r="Z314" s="148"/>
      <c r="AA314" s="148"/>
    </row>
    <row r="315" spans="2:27" s="175" customFormat="1">
      <c r="B315" s="148"/>
      <c r="C315" s="148"/>
      <c r="D315" s="148"/>
      <c r="E315" s="148"/>
      <c r="F315" s="148"/>
      <c r="G315" s="148"/>
      <c r="H315" s="148"/>
      <c r="I315" s="148"/>
      <c r="J315" s="148"/>
      <c r="K315" s="148"/>
      <c r="L315" s="148"/>
      <c r="M315" s="148"/>
      <c r="N315" s="148"/>
      <c r="O315" s="148"/>
      <c r="P315" s="148"/>
      <c r="Q315" s="148"/>
      <c r="R315" s="148"/>
      <c r="S315" s="148"/>
      <c r="T315" s="148"/>
      <c r="U315" s="148"/>
      <c r="V315" s="148"/>
      <c r="W315" s="148"/>
      <c r="X315" s="148"/>
      <c r="Y315" s="148"/>
      <c r="Z315" s="148"/>
      <c r="AA315" s="148"/>
    </row>
    <row r="316" spans="2:27" s="175" customFormat="1">
      <c r="B316" s="148"/>
      <c r="C316" s="148"/>
      <c r="D316" s="148"/>
      <c r="E316" s="148"/>
      <c r="F316" s="148"/>
      <c r="G316" s="148"/>
      <c r="H316" s="148"/>
      <c r="I316" s="148"/>
      <c r="J316" s="148"/>
      <c r="K316" s="148"/>
      <c r="L316" s="148"/>
      <c r="M316" s="148"/>
      <c r="N316" s="148"/>
      <c r="O316" s="148"/>
      <c r="P316" s="148"/>
      <c r="Q316" s="148"/>
      <c r="R316" s="148"/>
      <c r="S316" s="148"/>
      <c r="T316" s="148"/>
      <c r="U316" s="148"/>
      <c r="V316" s="148"/>
      <c r="W316" s="148"/>
      <c r="X316" s="148"/>
      <c r="Y316" s="148"/>
      <c r="Z316" s="148"/>
      <c r="AA316" s="148"/>
    </row>
    <row r="317" spans="2:27" s="175" customFormat="1">
      <c r="B317" s="148"/>
      <c r="C317" s="148"/>
      <c r="D317" s="148"/>
      <c r="E317" s="148"/>
      <c r="F317" s="148"/>
      <c r="G317" s="148"/>
      <c r="H317" s="148"/>
      <c r="I317" s="148"/>
      <c r="J317" s="148"/>
      <c r="K317" s="148"/>
      <c r="L317" s="148"/>
      <c r="M317" s="148"/>
      <c r="N317" s="148"/>
      <c r="O317" s="148"/>
      <c r="P317" s="148"/>
      <c r="Q317" s="148"/>
      <c r="R317" s="148"/>
      <c r="S317" s="148"/>
      <c r="T317" s="148"/>
      <c r="U317" s="148"/>
      <c r="V317" s="148"/>
      <c r="W317" s="148"/>
      <c r="X317" s="148"/>
      <c r="Y317" s="148"/>
      <c r="Z317" s="148"/>
      <c r="AA317" s="148"/>
    </row>
    <row r="318" spans="2:27" s="175" customFormat="1">
      <c r="B318" s="148"/>
      <c r="C318" s="148"/>
      <c r="D318" s="148"/>
      <c r="E318" s="148"/>
      <c r="F318" s="148"/>
      <c r="G318" s="148"/>
      <c r="H318" s="148"/>
      <c r="I318" s="148"/>
      <c r="J318" s="148"/>
      <c r="K318" s="148"/>
      <c r="L318" s="148"/>
      <c r="M318" s="148"/>
      <c r="N318" s="148"/>
      <c r="O318" s="148"/>
      <c r="P318" s="148"/>
      <c r="Q318" s="148"/>
      <c r="R318" s="148"/>
      <c r="S318" s="148"/>
      <c r="T318" s="148"/>
      <c r="U318" s="148"/>
      <c r="V318" s="148"/>
      <c r="W318" s="148"/>
      <c r="X318" s="148"/>
      <c r="Y318" s="148"/>
      <c r="Z318" s="148"/>
      <c r="AA318" s="148"/>
    </row>
    <row r="319" spans="2:27" s="175" customFormat="1">
      <c r="B319" s="148"/>
      <c r="C319" s="148"/>
      <c r="D319" s="148"/>
      <c r="E319" s="148"/>
      <c r="F319" s="148"/>
      <c r="G319" s="148"/>
      <c r="H319" s="148"/>
      <c r="I319" s="148"/>
      <c r="J319" s="148"/>
      <c r="K319" s="148"/>
      <c r="L319" s="148"/>
      <c r="M319" s="148"/>
      <c r="N319" s="148"/>
      <c r="O319" s="148"/>
      <c r="P319" s="148"/>
      <c r="Q319" s="148"/>
      <c r="R319" s="148"/>
      <c r="S319" s="148"/>
      <c r="T319" s="148"/>
      <c r="U319" s="148"/>
      <c r="V319" s="148"/>
      <c r="W319" s="148"/>
      <c r="X319" s="148"/>
      <c r="Y319" s="148"/>
      <c r="Z319" s="148"/>
      <c r="AA319" s="148"/>
    </row>
    <row r="320" spans="2:27" s="175" customFormat="1">
      <c r="B320" s="148"/>
      <c r="C320" s="148"/>
      <c r="D320" s="148"/>
      <c r="E320" s="148"/>
      <c r="F320" s="148"/>
      <c r="G320" s="148"/>
      <c r="H320" s="148"/>
      <c r="I320" s="148"/>
      <c r="J320" s="148"/>
      <c r="K320" s="148"/>
      <c r="L320" s="148"/>
      <c r="M320" s="148"/>
      <c r="N320" s="148"/>
      <c r="O320" s="148"/>
      <c r="P320" s="148"/>
      <c r="Q320" s="148"/>
      <c r="R320" s="148"/>
      <c r="S320" s="148"/>
      <c r="T320" s="148"/>
      <c r="U320" s="148"/>
      <c r="V320" s="148"/>
      <c r="W320" s="148"/>
      <c r="X320" s="148"/>
      <c r="Y320" s="148"/>
      <c r="Z320" s="148"/>
      <c r="AA320" s="148"/>
    </row>
    <row r="321" spans="2:27" s="175" customFormat="1">
      <c r="B321" s="148"/>
      <c r="C321" s="148"/>
      <c r="D321" s="148"/>
      <c r="E321" s="148"/>
      <c r="F321" s="148"/>
      <c r="G321" s="148"/>
      <c r="H321" s="148"/>
      <c r="I321" s="148"/>
      <c r="J321" s="148"/>
      <c r="K321" s="148"/>
      <c r="L321" s="148"/>
      <c r="M321" s="148"/>
      <c r="N321" s="148"/>
      <c r="O321" s="148"/>
      <c r="P321" s="148"/>
      <c r="Q321" s="148"/>
      <c r="R321" s="148"/>
      <c r="S321" s="148"/>
      <c r="T321" s="148"/>
      <c r="U321" s="148"/>
      <c r="V321" s="148"/>
      <c r="W321" s="148"/>
      <c r="X321" s="148"/>
      <c r="Y321" s="148"/>
      <c r="Z321" s="148"/>
      <c r="AA321" s="148"/>
    </row>
    <row r="322" spans="2:27" s="175" customFormat="1">
      <c r="B322" s="148"/>
      <c r="C322" s="148"/>
      <c r="D322" s="148"/>
      <c r="E322" s="148"/>
      <c r="F322" s="148"/>
      <c r="G322" s="148"/>
      <c r="H322" s="148"/>
      <c r="I322" s="148"/>
      <c r="J322" s="148"/>
      <c r="K322" s="148"/>
      <c r="L322" s="148"/>
      <c r="M322" s="148"/>
      <c r="N322" s="148"/>
      <c r="O322" s="148"/>
      <c r="P322" s="148"/>
      <c r="Q322" s="148"/>
      <c r="R322" s="148"/>
      <c r="S322" s="148"/>
      <c r="T322" s="148"/>
      <c r="U322" s="148"/>
      <c r="V322" s="148"/>
      <c r="W322" s="148"/>
      <c r="X322" s="148"/>
      <c r="Y322" s="148"/>
      <c r="Z322" s="148"/>
      <c r="AA322" s="148"/>
    </row>
    <row r="323" spans="2:27" s="175" customFormat="1">
      <c r="B323" s="148"/>
      <c r="C323" s="148"/>
      <c r="D323" s="148"/>
      <c r="E323" s="148"/>
      <c r="F323" s="148"/>
      <c r="G323" s="148"/>
      <c r="H323" s="148"/>
      <c r="I323" s="148"/>
      <c r="J323" s="148"/>
      <c r="K323" s="148"/>
      <c r="L323" s="148"/>
      <c r="M323" s="148"/>
      <c r="N323" s="148"/>
      <c r="O323" s="148"/>
      <c r="P323" s="148"/>
      <c r="Q323" s="148"/>
      <c r="R323" s="148"/>
      <c r="S323" s="148"/>
      <c r="T323" s="148"/>
      <c r="U323" s="148"/>
      <c r="V323" s="148"/>
      <c r="W323" s="148"/>
      <c r="X323" s="148"/>
      <c r="Y323" s="148"/>
      <c r="Z323" s="148"/>
      <c r="AA323" s="148"/>
    </row>
    <row r="324" spans="2:27" s="175" customFormat="1">
      <c r="B324" s="148"/>
      <c r="C324" s="148"/>
      <c r="D324" s="148"/>
      <c r="E324" s="148"/>
      <c r="F324" s="148"/>
      <c r="G324" s="148"/>
      <c r="H324" s="148"/>
      <c r="I324" s="148"/>
      <c r="J324" s="148"/>
      <c r="K324" s="148"/>
      <c r="L324" s="148"/>
      <c r="M324" s="148"/>
      <c r="N324" s="148"/>
      <c r="O324" s="148"/>
      <c r="P324" s="148"/>
      <c r="Q324" s="148"/>
      <c r="R324" s="148"/>
      <c r="S324" s="148"/>
      <c r="T324" s="148"/>
      <c r="U324" s="148"/>
      <c r="V324" s="148"/>
      <c r="W324" s="148"/>
      <c r="X324" s="148"/>
      <c r="Y324" s="148"/>
      <c r="Z324" s="148"/>
      <c r="AA324" s="148"/>
    </row>
    <row r="325" spans="2:27" s="175" customFormat="1">
      <c r="B325" s="148"/>
      <c r="C325" s="148"/>
      <c r="D325" s="148"/>
      <c r="E325" s="148"/>
      <c r="F325" s="148"/>
      <c r="G325" s="148"/>
      <c r="H325" s="148"/>
      <c r="I325" s="148"/>
      <c r="J325" s="148"/>
      <c r="K325" s="148"/>
      <c r="L325" s="148"/>
      <c r="M325" s="148"/>
      <c r="N325" s="148"/>
      <c r="O325" s="148"/>
      <c r="P325" s="148"/>
      <c r="Q325" s="148"/>
      <c r="R325" s="148"/>
      <c r="S325" s="148"/>
      <c r="T325" s="148"/>
      <c r="U325" s="148"/>
      <c r="V325" s="148"/>
      <c r="W325" s="148"/>
      <c r="X325" s="148"/>
      <c r="Y325" s="148"/>
      <c r="Z325" s="148"/>
      <c r="AA325" s="148"/>
    </row>
    <row r="326" spans="2:27" s="175" customFormat="1">
      <c r="B326" s="148"/>
      <c r="C326" s="148"/>
      <c r="D326" s="148"/>
      <c r="E326" s="148"/>
      <c r="F326" s="148"/>
      <c r="G326" s="148"/>
      <c r="H326" s="148"/>
      <c r="I326" s="148"/>
      <c r="J326" s="148"/>
      <c r="K326" s="148"/>
      <c r="L326" s="148"/>
      <c r="M326" s="148"/>
      <c r="N326" s="148"/>
      <c r="O326" s="148"/>
      <c r="P326" s="148"/>
      <c r="Q326" s="148"/>
      <c r="R326" s="148"/>
      <c r="S326" s="148"/>
      <c r="T326" s="148"/>
      <c r="U326" s="148"/>
      <c r="V326" s="148"/>
      <c r="W326" s="148"/>
      <c r="X326" s="148"/>
      <c r="Y326" s="148"/>
      <c r="Z326" s="148"/>
      <c r="AA326" s="148"/>
    </row>
    <row r="327" spans="2:27" s="175" customFormat="1">
      <c r="B327" s="148"/>
      <c r="C327" s="148"/>
      <c r="D327" s="148"/>
      <c r="E327" s="148"/>
      <c r="F327" s="148"/>
      <c r="G327" s="148"/>
      <c r="H327" s="148"/>
      <c r="I327" s="148"/>
      <c r="J327" s="148"/>
      <c r="K327" s="148"/>
      <c r="L327" s="148"/>
      <c r="M327" s="148"/>
      <c r="N327" s="148"/>
      <c r="O327" s="148"/>
      <c r="P327" s="148"/>
      <c r="Q327" s="148"/>
      <c r="R327" s="148"/>
      <c r="S327" s="148"/>
      <c r="T327" s="148"/>
      <c r="U327" s="148"/>
      <c r="V327" s="148"/>
      <c r="W327" s="148"/>
      <c r="X327" s="148"/>
      <c r="Y327" s="148"/>
      <c r="Z327" s="148"/>
      <c r="AA327" s="148"/>
    </row>
    <row r="328" spans="2:27" s="175" customFormat="1">
      <c r="B328" s="148"/>
      <c r="C328" s="148"/>
      <c r="D328" s="148"/>
      <c r="E328" s="148"/>
      <c r="F328" s="148"/>
      <c r="G328" s="148"/>
      <c r="H328" s="148"/>
      <c r="I328" s="148"/>
      <c r="J328" s="148"/>
      <c r="K328" s="148"/>
      <c r="L328" s="148"/>
      <c r="M328" s="148"/>
      <c r="N328" s="148"/>
      <c r="O328" s="148"/>
      <c r="P328" s="148"/>
      <c r="Q328" s="148"/>
      <c r="R328" s="148"/>
      <c r="S328" s="148"/>
      <c r="T328" s="148"/>
      <c r="U328" s="148"/>
      <c r="V328" s="148"/>
      <c r="W328" s="148"/>
      <c r="X328" s="148"/>
      <c r="Y328" s="148"/>
      <c r="Z328" s="148"/>
      <c r="AA328" s="148"/>
    </row>
    <row r="329" spans="2:27" s="175" customFormat="1">
      <c r="B329" s="148"/>
      <c r="C329" s="148"/>
      <c r="D329" s="148"/>
      <c r="E329" s="148"/>
      <c r="F329" s="148"/>
      <c r="G329" s="148"/>
      <c r="H329" s="148"/>
      <c r="I329" s="148"/>
      <c r="J329" s="148"/>
      <c r="K329" s="148"/>
      <c r="L329" s="148"/>
      <c r="M329" s="148"/>
      <c r="N329" s="148"/>
      <c r="O329" s="148"/>
      <c r="P329" s="148"/>
      <c r="Q329" s="148"/>
      <c r="R329" s="148"/>
      <c r="S329" s="148"/>
      <c r="T329" s="148"/>
      <c r="U329" s="148"/>
      <c r="V329" s="148"/>
      <c r="W329" s="148"/>
      <c r="X329" s="148"/>
      <c r="Y329" s="148"/>
      <c r="Z329" s="148"/>
      <c r="AA329" s="148"/>
    </row>
    <row r="330" spans="2:27" s="175" customFormat="1">
      <c r="B330" s="148"/>
      <c r="C330" s="148"/>
      <c r="D330" s="148"/>
      <c r="E330" s="148"/>
      <c r="F330" s="148"/>
      <c r="G330" s="148"/>
      <c r="H330" s="148"/>
      <c r="I330" s="148"/>
      <c r="J330" s="148"/>
      <c r="K330" s="148"/>
      <c r="L330" s="148"/>
      <c r="M330" s="148"/>
      <c r="N330" s="148"/>
      <c r="O330" s="148"/>
      <c r="P330" s="148"/>
      <c r="Q330" s="148"/>
      <c r="R330" s="148"/>
      <c r="S330" s="148"/>
      <c r="T330" s="148"/>
      <c r="U330" s="148"/>
      <c r="V330" s="148"/>
      <c r="W330" s="148"/>
      <c r="X330" s="148"/>
      <c r="Y330" s="148"/>
      <c r="Z330" s="148"/>
      <c r="AA330" s="148"/>
    </row>
    <row r="331" spans="2:27" s="175" customFormat="1">
      <c r="B331" s="148"/>
      <c r="C331" s="148"/>
      <c r="D331" s="148"/>
      <c r="E331" s="148"/>
      <c r="F331" s="148"/>
      <c r="G331" s="148"/>
      <c r="H331" s="148"/>
      <c r="I331" s="148"/>
      <c r="J331" s="148"/>
      <c r="K331" s="148"/>
      <c r="L331" s="148"/>
      <c r="M331" s="148"/>
      <c r="N331" s="148"/>
      <c r="O331" s="148"/>
      <c r="P331" s="148"/>
      <c r="Q331" s="148"/>
      <c r="R331" s="148"/>
      <c r="S331" s="148"/>
      <c r="T331" s="148"/>
      <c r="U331" s="148"/>
      <c r="V331" s="148"/>
      <c r="W331" s="148"/>
      <c r="X331" s="148"/>
      <c r="Y331" s="148"/>
      <c r="Z331" s="148"/>
      <c r="AA331" s="148"/>
    </row>
    <row r="332" spans="2:27" s="175" customFormat="1">
      <c r="B332" s="148"/>
      <c r="C332" s="148"/>
      <c r="D332" s="148"/>
      <c r="E332" s="148"/>
      <c r="F332" s="148"/>
      <c r="G332" s="148"/>
      <c r="H332" s="148"/>
      <c r="I332" s="148"/>
      <c r="J332" s="148"/>
      <c r="K332" s="148"/>
      <c r="L332" s="148"/>
      <c r="M332" s="148"/>
      <c r="N332" s="148"/>
      <c r="O332" s="148"/>
      <c r="P332" s="148"/>
      <c r="Q332" s="148"/>
      <c r="R332" s="148"/>
      <c r="S332" s="148"/>
      <c r="T332" s="148"/>
      <c r="U332" s="148"/>
      <c r="V332" s="148"/>
      <c r="W332" s="148"/>
      <c r="X332" s="148"/>
      <c r="Y332" s="148"/>
      <c r="Z332" s="148"/>
      <c r="AA332" s="148"/>
    </row>
    <row r="333" spans="2:27" s="175" customFormat="1">
      <c r="B333" s="148"/>
      <c r="C333" s="148"/>
      <c r="D333" s="148"/>
      <c r="E333" s="148"/>
      <c r="F333" s="148"/>
      <c r="G333" s="148"/>
      <c r="H333" s="148"/>
      <c r="I333" s="148"/>
      <c r="J333" s="148"/>
      <c r="K333" s="148"/>
      <c r="L333" s="148"/>
      <c r="M333" s="148"/>
      <c r="N333" s="148"/>
      <c r="O333" s="148"/>
      <c r="P333" s="148"/>
      <c r="Q333" s="148"/>
      <c r="R333" s="148"/>
      <c r="S333" s="148"/>
      <c r="T333" s="148"/>
      <c r="U333" s="148"/>
      <c r="V333" s="148"/>
      <c r="W333" s="148"/>
      <c r="X333" s="148"/>
      <c r="Y333" s="148"/>
      <c r="Z333" s="148"/>
      <c r="AA333" s="148"/>
    </row>
    <row r="334" spans="2:27" s="175" customFormat="1">
      <c r="B334" s="148"/>
      <c r="C334" s="148"/>
      <c r="D334" s="148"/>
      <c r="E334" s="148"/>
      <c r="F334" s="148"/>
      <c r="G334" s="148"/>
      <c r="H334" s="148"/>
      <c r="I334" s="148"/>
      <c r="J334" s="148"/>
      <c r="K334" s="148"/>
      <c r="L334" s="148"/>
      <c r="M334" s="148"/>
      <c r="N334" s="148"/>
      <c r="O334" s="148"/>
      <c r="P334" s="148"/>
      <c r="Q334" s="148"/>
      <c r="R334" s="148"/>
      <c r="S334" s="148"/>
      <c r="T334" s="148"/>
      <c r="U334" s="148"/>
      <c r="V334" s="148"/>
      <c r="W334" s="148"/>
      <c r="X334" s="148"/>
      <c r="Y334" s="148"/>
      <c r="Z334" s="148"/>
      <c r="AA334" s="148"/>
    </row>
    <row r="335" spans="2:27" s="175" customFormat="1">
      <c r="B335" s="148"/>
      <c r="C335" s="148"/>
      <c r="D335" s="148"/>
      <c r="E335" s="148"/>
      <c r="F335" s="148"/>
      <c r="G335" s="148"/>
      <c r="H335" s="148"/>
      <c r="I335" s="148"/>
      <c r="J335" s="148"/>
      <c r="K335" s="148"/>
      <c r="L335" s="148"/>
      <c r="M335" s="148"/>
      <c r="N335" s="148"/>
      <c r="O335" s="148"/>
      <c r="P335" s="148"/>
      <c r="Q335" s="148"/>
      <c r="R335" s="148"/>
      <c r="S335" s="148"/>
      <c r="T335" s="148"/>
      <c r="U335" s="148"/>
      <c r="V335" s="148"/>
      <c r="W335" s="148"/>
      <c r="X335" s="148"/>
      <c r="Y335" s="148"/>
      <c r="Z335" s="148"/>
      <c r="AA335" s="148"/>
    </row>
    <row r="336" spans="2:27" s="175" customFormat="1">
      <c r="B336" s="148"/>
      <c r="C336" s="148"/>
      <c r="D336" s="148"/>
      <c r="E336" s="148"/>
      <c r="F336" s="148"/>
      <c r="G336" s="148"/>
      <c r="H336" s="148"/>
      <c r="I336" s="148"/>
      <c r="J336" s="148"/>
      <c r="K336" s="148"/>
      <c r="L336" s="148"/>
      <c r="M336" s="148"/>
      <c r="N336" s="148"/>
      <c r="O336" s="148"/>
      <c r="P336" s="148"/>
      <c r="Q336" s="148"/>
      <c r="R336" s="148"/>
      <c r="S336" s="148"/>
      <c r="T336" s="148"/>
      <c r="U336" s="148"/>
      <c r="V336" s="148"/>
      <c r="W336" s="148"/>
      <c r="X336" s="148"/>
      <c r="Y336" s="148"/>
      <c r="Z336" s="148"/>
      <c r="AA336" s="148"/>
    </row>
    <row r="337" spans="2:27" s="175" customFormat="1">
      <c r="B337" s="148"/>
      <c r="C337" s="148"/>
      <c r="D337" s="148"/>
      <c r="E337" s="148"/>
      <c r="F337" s="148"/>
      <c r="G337" s="148"/>
      <c r="H337" s="148"/>
      <c r="I337" s="148"/>
      <c r="J337" s="148"/>
      <c r="K337" s="148"/>
      <c r="L337" s="148"/>
      <c r="M337" s="148"/>
      <c r="N337" s="148"/>
      <c r="O337" s="148"/>
      <c r="P337" s="148"/>
      <c r="Q337" s="148"/>
      <c r="R337" s="148"/>
      <c r="S337" s="148"/>
      <c r="T337" s="148"/>
      <c r="U337" s="148"/>
      <c r="V337" s="148"/>
      <c r="W337" s="148"/>
      <c r="X337" s="148"/>
      <c r="Y337" s="148"/>
      <c r="Z337" s="148"/>
      <c r="AA337" s="148"/>
    </row>
    <row r="338" spans="2:27" s="175" customFormat="1">
      <c r="B338" s="148"/>
      <c r="C338" s="148"/>
      <c r="D338" s="148"/>
      <c r="E338" s="148"/>
      <c r="F338" s="148"/>
      <c r="G338" s="148"/>
      <c r="H338" s="148"/>
      <c r="I338" s="148"/>
      <c r="J338" s="148"/>
      <c r="K338" s="148"/>
      <c r="L338" s="148"/>
      <c r="M338" s="148"/>
      <c r="N338" s="148"/>
      <c r="O338" s="148"/>
      <c r="P338" s="148"/>
      <c r="Q338" s="148"/>
      <c r="R338" s="148"/>
      <c r="S338" s="148"/>
      <c r="T338" s="148"/>
      <c r="U338" s="148"/>
      <c r="V338" s="148"/>
      <c r="W338" s="148"/>
      <c r="X338" s="148"/>
      <c r="Y338" s="148"/>
      <c r="Z338" s="148"/>
      <c r="AA338" s="148"/>
    </row>
    <row r="339" spans="2:27" s="175" customFormat="1">
      <c r="B339" s="148"/>
      <c r="C339" s="148"/>
      <c r="D339" s="148"/>
      <c r="E339" s="148"/>
      <c r="F339" s="148"/>
      <c r="G339" s="148"/>
      <c r="H339" s="148"/>
      <c r="I339" s="148"/>
      <c r="J339" s="148"/>
      <c r="K339" s="148"/>
      <c r="L339" s="148"/>
      <c r="M339" s="148"/>
      <c r="N339" s="148"/>
      <c r="O339" s="148"/>
      <c r="P339" s="148"/>
      <c r="Q339" s="148"/>
      <c r="R339" s="148"/>
      <c r="S339" s="148"/>
      <c r="T339" s="148"/>
      <c r="U339" s="148"/>
      <c r="V339" s="148"/>
      <c r="W339" s="148"/>
      <c r="X339" s="148"/>
      <c r="Y339" s="148"/>
      <c r="Z339" s="148"/>
      <c r="AA339" s="148"/>
    </row>
    <row r="340" spans="2:27" s="175" customFormat="1">
      <c r="B340" s="148"/>
      <c r="C340" s="148"/>
      <c r="D340" s="148"/>
      <c r="E340" s="148"/>
      <c r="F340" s="148"/>
      <c r="G340" s="148"/>
      <c r="H340" s="148"/>
      <c r="I340" s="148"/>
      <c r="J340" s="148"/>
      <c r="K340" s="148"/>
      <c r="L340" s="148"/>
      <c r="M340" s="148"/>
      <c r="N340" s="148"/>
      <c r="O340" s="148"/>
      <c r="P340" s="148"/>
      <c r="Q340" s="148"/>
      <c r="R340" s="148"/>
      <c r="S340" s="148"/>
      <c r="T340" s="148"/>
      <c r="U340" s="148"/>
      <c r="V340" s="148"/>
      <c r="W340" s="148"/>
      <c r="X340" s="148"/>
      <c r="Y340" s="148"/>
      <c r="Z340" s="148"/>
      <c r="AA340" s="148"/>
    </row>
    <row r="341" spans="2:27" s="175" customFormat="1">
      <c r="B341" s="148"/>
      <c r="C341" s="148"/>
      <c r="D341" s="148"/>
      <c r="E341" s="148"/>
      <c r="F341" s="148"/>
      <c r="G341" s="148"/>
      <c r="H341" s="148"/>
      <c r="I341" s="148"/>
      <c r="J341" s="148"/>
      <c r="K341" s="148"/>
      <c r="L341" s="148"/>
      <c r="M341" s="148"/>
      <c r="N341" s="148"/>
      <c r="O341" s="148"/>
      <c r="P341" s="148"/>
      <c r="Q341" s="148"/>
      <c r="R341" s="148"/>
      <c r="S341" s="148"/>
      <c r="T341" s="148"/>
      <c r="U341" s="148"/>
      <c r="V341" s="148"/>
      <c r="W341" s="148"/>
      <c r="X341" s="148"/>
      <c r="Y341" s="148"/>
      <c r="Z341" s="148"/>
      <c r="AA341" s="148"/>
    </row>
    <row r="342" spans="2:27" s="175" customFormat="1">
      <c r="B342" s="148"/>
      <c r="C342" s="148"/>
      <c r="D342" s="148"/>
      <c r="E342" s="148"/>
      <c r="F342" s="148"/>
      <c r="G342" s="148"/>
      <c r="H342" s="148"/>
      <c r="I342" s="148"/>
      <c r="J342" s="148"/>
      <c r="K342" s="148"/>
      <c r="L342" s="148"/>
      <c r="M342" s="148"/>
      <c r="N342" s="148"/>
      <c r="O342" s="148"/>
      <c r="P342" s="148"/>
      <c r="Q342" s="148"/>
      <c r="R342" s="148"/>
      <c r="S342" s="148"/>
      <c r="T342" s="148"/>
      <c r="U342" s="148"/>
      <c r="V342" s="148"/>
      <c r="W342" s="148"/>
      <c r="X342" s="148"/>
      <c r="Y342" s="148"/>
      <c r="Z342" s="148"/>
      <c r="AA342" s="148"/>
    </row>
    <row r="343" spans="2:27" s="175" customFormat="1">
      <c r="B343" s="148"/>
      <c r="C343" s="148"/>
      <c r="D343" s="148"/>
      <c r="E343" s="148"/>
      <c r="F343" s="148"/>
      <c r="G343" s="148"/>
      <c r="H343" s="148"/>
      <c r="I343" s="148"/>
      <c r="J343" s="148"/>
      <c r="K343" s="148"/>
      <c r="L343" s="148"/>
      <c r="M343" s="148"/>
      <c r="N343" s="148"/>
      <c r="O343" s="148"/>
      <c r="P343" s="148"/>
      <c r="Q343" s="148"/>
      <c r="R343" s="148"/>
      <c r="S343" s="148"/>
      <c r="T343" s="148"/>
      <c r="U343" s="148"/>
      <c r="V343" s="148"/>
      <c r="W343" s="148"/>
      <c r="X343" s="148"/>
      <c r="Y343" s="148"/>
      <c r="Z343" s="148"/>
      <c r="AA343" s="148"/>
    </row>
    <row r="344" spans="2:27" s="175" customFormat="1">
      <c r="B344" s="148"/>
      <c r="C344" s="148"/>
      <c r="D344" s="148"/>
      <c r="E344" s="148"/>
      <c r="F344" s="148"/>
      <c r="G344" s="148"/>
      <c r="H344" s="148"/>
      <c r="I344" s="148"/>
      <c r="J344" s="148"/>
      <c r="K344" s="148"/>
      <c r="L344" s="148"/>
      <c r="M344" s="148"/>
      <c r="N344" s="148"/>
      <c r="O344" s="148"/>
      <c r="P344" s="148"/>
      <c r="Q344" s="148"/>
      <c r="R344" s="148"/>
      <c r="S344" s="148"/>
      <c r="T344" s="148"/>
      <c r="U344" s="148"/>
      <c r="V344" s="148"/>
      <c r="W344" s="148"/>
      <c r="X344" s="148"/>
      <c r="Y344" s="148"/>
      <c r="Z344" s="148"/>
      <c r="AA344" s="148"/>
    </row>
    <row r="345" spans="2:27" s="175" customFormat="1">
      <c r="B345" s="148"/>
      <c r="C345" s="148"/>
      <c r="D345" s="148"/>
      <c r="E345" s="148"/>
      <c r="F345" s="148"/>
      <c r="G345" s="148"/>
      <c r="H345" s="148"/>
      <c r="I345" s="148"/>
      <c r="J345" s="148"/>
      <c r="K345" s="148"/>
      <c r="L345" s="148"/>
      <c r="M345" s="148"/>
      <c r="N345" s="148"/>
      <c r="O345" s="148"/>
      <c r="P345" s="148"/>
      <c r="Q345" s="148"/>
      <c r="R345" s="148"/>
      <c r="S345" s="148"/>
      <c r="T345" s="148"/>
      <c r="U345" s="148"/>
      <c r="V345" s="148"/>
      <c r="W345" s="148"/>
      <c r="X345" s="148"/>
      <c r="Y345" s="148"/>
      <c r="Z345" s="148"/>
      <c r="AA345" s="148"/>
    </row>
    <row r="346" spans="2:27" s="175" customFormat="1">
      <c r="B346" s="148"/>
      <c r="C346" s="148"/>
      <c r="D346" s="148"/>
      <c r="E346" s="148"/>
      <c r="F346" s="148"/>
      <c r="G346" s="148"/>
      <c r="H346" s="148"/>
      <c r="I346" s="148"/>
      <c r="J346" s="148"/>
      <c r="K346" s="148"/>
      <c r="L346" s="148"/>
      <c r="M346" s="148"/>
      <c r="N346" s="148"/>
      <c r="O346" s="148"/>
      <c r="P346" s="148"/>
      <c r="Q346" s="148"/>
      <c r="R346" s="148"/>
      <c r="S346" s="148"/>
      <c r="T346" s="148"/>
      <c r="U346" s="148"/>
      <c r="V346" s="148"/>
      <c r="W346" s="148"/>
      <c r="X346" s="148"/>
      <c r="Y346" s="148"/>
      <c r="Z346" s="148"/>
      <c r="AA346" s="148"/>
    </row>
    <row r="347" spans="2:27" s="175" customFormat="1">
      <c r="B347" s="148"/>
      <c r="C347" s="148"/>
      <c r="D347" s="148"/>
      <c r="E347" s="148"/>
      <c r="F347" s="148"/>
      <c r="G347" s="148"/>
      <c r="H347" s="148"/>
      <c r="I347" s="148"/>
      <c r="J347" s="148"/>
      <c r="K347" s="148"/>
      <c r="L347" s="148"/>
      <c r="M347" s="148"/>
      <c r="N347" s="148"/>
      <c r="O347" s="148"/>
      <c r="P347" s="148"/>
      <c r="Q347" s="148"/>
      <c r="R347" s="148"/>
      <c r="S347" s="148"/>
      <c r="T347" s="148"/>
      <c r="U347" s="148"/>
      <c r="V347" s="148"/>
      <c r="W347" s="148"/>
      <c r="X347" s="148"/>
      <c r="Y347" s="148"/>
      <c r="Z347" s="148"/>
      <c r="AA347" s="148"/>
    </row>
    <row r="348" spans="2:27" s="175" customFormat="1">
      <c r="B348" s="148"/>
      <c r="C348" s="148"/>
      <c r="D348" s="148"/>
      <c r="E348" s="148"/>
      <c r="F348" s="148"/>
      <c r="G348" s="148"/>
      <c r="H348" s="148"/>
      <c r="I348" s="148"/>
      <c r="J348" s="148"/>
      <c r="K348" s="148"/>
      <c r="L348" s="148"/>
      <c r="M348" s="148"/>
      <c r="N348" s="148"/>
      <c r="O348" s="148"/>
      <c r="P348" s="148"/>
      <c r="Q348" s="148"/>
      <c r="R348" s="148"/>
      <c r="S348" s="148"/>
      <c r="T348" s="148"/>
      <c r="U348" s="148"/>
      <c r="V348" s="148"/>
      <c r="W348" s="148"/>
      <c r="X348" s="148"/>
      <c r="Y348" s="148"/>
      <c r="Z348" s="148"/>
      <c r="AA348" s="148"/>
    </row>
    <row r="349" spans="2:27" s="175" customFormat="1">
      <c r="B349" s="148"/>
      <c r="C349" s="148"/>
      <c r="D349" s="148"/>
      <c r="E349" s="148"/>
      <c r="F349" s="148"/>
      <c r="G349" s="148"/>
      <c r="H349" s="148"/>
      <c r="I349" s="148"/>
      <c r="J349" s="148"/>
      <c r="K349" s="148"/>
      <c r="L349" s="148"/>
      <c r="M349" s="148"/>
      <c r="N349" s="148"/>
      <c r="O349" s="148"/>
      <c r="P349" s="148"/>
      <c r="Q349" s="148"/>
      <c r="R349" s="148"/>
      <c r="S349" s="148"/>
      <c r="T349" s="148"/>
      <c r="U349" s="148"/>
      <c r="V349" s="148"/>
      <c r="W349" s="148"/>
      <c r="X349" s="148"/>
      <c r="Y349" s="148"/>
      <c r="Z349" s="148"/>
      <c r="AA349" s="148"/>
    </row>
    <row r="350" spans="2:27" s="175" customFormat="1">
      <c r="B350" s="148"/>
      <c r="C350" s="148"/>
      <c r="D350" s="148"/>
      <c r="E350" s="148"/>
      <c r="F350" s="148"/>
      <c r="G350" s="148"/>
      <c r="H350" s="148"/>
      <c r="I350" s="148"/>
      <c r="J350" s="148"/>
      <c r="K350" s="148"/>
      <c r="L350" s="148"/>
      <c r="M350" s="148"/>
      <c r="N350" s="148"/>
      <c r="O350" s="148"/>
      <c r="P350" s="148"/>
      <c r="Q350" s="148"/>
      <c r="R350" s="148"/>
      <c r="S350" s="148"/>
      <c r="T350" s="148"/>
      <c r="U350" s="148"/>
      <c r="V350" s="148"/>
      <c r="W350" s="148"/>
      <c r="X350" s="148"/>
      <c r="Y350" s="148"/>
      <c r="Z350" s="148"/>
      <c r="AA350" s="148"/>
    </row>
    <row r="351" spans="2:27" s="175" customFormat="1">
      <c r="B351" s="148"/>
      <c r="C351" s="148"/>
      <c r="D351" s="148"/>
      <c r="E351" s="148"/>
      <c r="F351" s="148"/>
      <c r="G351" s="148"/>
      <c r="H351" s="148"/>
      <c r="I351" s="148"/>
      <c r="J351" s="148"/>
      <c r="K351" s="148"/>
      <c r="L351" s="148"/>
      <c r="M351" s="148"/>
      <c r="N351" s="148"/>
      <c r="O351" s="148"/>
      <c r="P351" s="148"/>
      <c r="Q351" s="148"/>
      <c r="R351" s="148"/>
      <c r="S351" s="148"/>
      <c r="T351" s="148"/>
      <c r="U351" s="148"/>
      <c r="V351" s="148"/>
      <c r="W351" s="148"/>
      <c r="X351" s="148"/>
      <c r="Y351" s="148"/>
      <c r="Z351" s="148"/>
      <c r="AA351" s="148"/>
    </row>
    <row r="352" spans="2:27" s="175" customFormat="1">
      <c r="B352" s="148"/>
      <c r="C352" s="148"/>
      <c r="D352" s="148"/>
      <c r="E352" s="148"/>
      <c r="F352" s="148"/>
      <c r="G352" s="148"/>
      <c r="H352" s="148"/>
      <c r="I352" s="148"/>
      <c r="J352" s="148"/>
      <c r="K352" s="148"/>
      <c r="L352" s="148"/>
      <c r="M352" s="148"/>
      <c r="N352" s="148"/>
      <c r="O352" s="148"/>
      <c r="P352" s="148"/>
      <c r="Q352" s="148"/>
      <c r="R352" s="148"/>
      <c r="S352" s="148"/>
      <c r="T352" s="148"/>
      <c r="U352" s="148"/>
      <c r="V352" s="148"/>
      <c r="W352" s="148"/>
      <c r="X352" s="148"/>
      <c r="Y352" s="148"/>
      <c r="Z352" s="148"/>
      <c r="AA352" s="148"/>
    </row>
    <row r="353" spans="2:27" s="175" customFormat="1">
      <c r="B353" s="148"/>
      <c r="C353" s="148"/>
      <c r="D353" s="148"/>
      <c r="E353" s="148"/>
      <c r="F353" s="148"/>
      <c r="G353" s="148"/>
      <c r="H353" s="148"/>
      <c r="I353" s="148"/>
      <c r="J353" s="148"/>
      <c r="K353" s="148"/>
      <c r="L353" s="148"/>
      <c r="M353" s="148"/>
      <c r="N353" s="148"/>
      <c r="O353" s="148"/>
      <c r="P353" s="148"/>
      <c r="Q353" s="148"/>
      <c r="R353" s="148"/>
      <c r="S353" s="148"/>
      <c r="T353" s="148"/>
      <c r="U353" s="148"/>
      <c r="V353" s="148"/>
      <c r="W353" s="148"/>
      <c r="X353" s="148"/>
      <c r="Y353" s="148"/>
      <c r="Z353" s="148"/>
      <c r="AA353" s="148"/>
    </row>
    <row r="354" spans="2:27" s="175" customFormat="1">
      <c r="B354" s="148"/>
      <c r="C354" s="148"/>
      <c r="D354" s="148"/>
      <c r="E354" s="148"/>
      <c r="F354" s="148"/>
      <c r="G354" s="148"/>
      <c r="H354" s="148"/>
      <c r="I354" s="148"/>
      <c r="J354" s="148"/>
      <c r="K354" s="148"/>
      <c r="L354" s="148"/>
      <c r="M354" s="148"/>
      <c r="N354" s="148"/>
      <c r="O354" s="148"/>
      <c r="P354" s="148"/>
      <c r="Q354" s="148"/>
      <c r="R354" s="148"/>
      <c r="S354" s="148"/>
      <c r="T354" s="148"/>
      <c r="U354" s="148"/>
      <c r="V354" s="148"/>
      <c r="W354" s="148"/>
      <c r="X354" s="148"/>
      <c r="Y354" s="148"/>
      <c r="Z354" s="148"/>
      <c r="AA354" s="148"/>
    </row>
    <row r="355" spans="2:27" s="175" customFormat="1">
      <c r="B355" s="148"/>
      <c r="C355" s="148"/>
      <c r="D355" s="148"/>
      <c r="E355" s="148"/>
      <c r="F355" s="148"/>
      <c r="G355" s="148"/>
      <c r="H355" s="148"/>
      <c r="I355" s="148"/>
      <c r="J355" s="148"/>
      <c r="K355" s="148"/>
      <c r="L355" s="148"/>
      <c r="M355" s="148"/>
      <c r="N355" s="148"/>
      <c r="O355" s="148"/>
      <c r="P355" s="148"/>
      <c r="Q355" s="148"/>
      <c r="R355" s="148"/>
      <c r="S355" s="148"/>
      <c r="T355" s="148"/>
      <c r="U355" s="148"/>
      <c r="V355" s="148"/>
      <c r="W355" s="148"/>
      <c r="X355" s="148"/>
      <c r="Y355" s="148"/>
      <c r="Z355" s="148"/>
      <c r="AA355" s="148"/>
    </row>
    <row r="356" spans="2:27" s="175" customFormat="1">
      <c r="B356" s="148"/>
      <c r="C356" s="148"/>
      <c r="D356" s="148"/>
      <c r="E356" s="148"/>
      <c r="F356" s="148"/>
      <c r="G356" s="148"/>
      <c r="H356" s="148"/>
      <c r="I356" s="148"/>
      <c r="J356" s="148"/>
      <c r="K356" s="148"/>
      <c r="L356" s="148"/>
      <c r="M356" s="148"/>
      <c r="N356" s="148"/>
      <c r="O356" s="148"/>
      <c r="P356" s="148"/>
      <c r="Q356" s="148"/>
      <c r="R356" s="148"/>
      <c r="S356" s="148"/>
      <c r="T356" s="148"/>
      <c r="U356" s="148"/>
      <c r="V356" s="148"/>
      <c r="W356" s="148"/>
      <c r="X356" s="148"/>
      <c r="Y356" s="148"/>
      <c r="Z356" s="148"/>
      <c r="AA356" s="148"/>
    </row>
    <row r="357" spans="2:27" s="175" customFormat="1">
      <c r="B357" s="148"/>
      <c r="C357" s="148"/>
      <c r="D357" s="148"/>
      <c r="E357" s="148"/>
      <c r="F357" s="148"/>
      <c r="G357" s="148"/>
      <c r="H357" s="148"/>
      <c r="I357" s="148"/>
      <c r="J357" s="148"/>
      <c r="K357" s="148"/>
      <c r="L357" s="148"/>
      <c r="M357" s="148"/>
      <c r="N357" s="148"/>
      <c r="O357" s="148"/>
      <c r="P357" s="148"/>
      <c r="Q357" s="148"/>
      <c r="R357" s="148"/>
      <c r="S357" s="148"/>
      <c r="T357" s="148"/>
      <c r="U357" s="148"/>
      <c r="V357" s="148"/>
      <c r="W357" s="148"/>
      <c r="X357" s="148"/>
      <c r="Y357" s="148"/>
      <c r="Z357" s="148"/>
      <c r="AA357" s="148"/>
    </row>
    <row r="358" spans="2:27" s="175" customFormat="1">
      <c r="B358" s="148"/>
      <c r="C358" s="148"/>
      <c r="D358" s="148"/>
      <c r="E358" s="148"/>
      <c r="F358" s="148"/>
      <c r="G358" s="148"/>
      <c r="H358" s="148"/>
      <c r="I358" s="148"/>
      <c r="J358" s="148"/>
      <c r="K358" s="148"/>
      <c r="L358" s="148"/>
      <c r="M358" s="148"/>
      <c r="N358" s="148"/>
      <c r="O358" s="148"/>
      <c r="P358" s="148"/>
      <c r="Q358" s="148"/>
      <c r="R358" s="148"/>
      <c r="S358" s="148"/>
      <c r="T358" s="148"/>
      <c r="U358" s="148"/>
      <c r="V358" s="148"/>
      <c r="W358" s="148"/>
      <c r="X358" s="148"/>
      <c r="Y358" s="148"/>
      <c r="Z358" s="148"/>
      <c r="AA358" s="148"/>
    </row>
    <row r="359" spans="2:27" s="175" customFormat="1">
      <c r="B359" s="148"/>
      <c r="C359" s="148"/>
      <c r="D359" s="148"/>
      <c r="E359" s="148"/>
      <c r="F359" s="148"/>
      <c r="G359" s="148"/>
      <c r="H359" s="148"/>
      <c r="I359" s="148"/>
      <c r="J359" s="148"/>
      <c r="K359" s="148"/>
      <c r="L359" s="148"/>
      <c r="M359" s="148"/>
      <c r="N359" s="148"/>
      <c r="O359" s="148"/>
      <c r="P359" s="148"/>
      <c r="Q359" s="148"/>
      <c r="R359" s="148"/>
      <c r="S359" s="148"/>
      <c r="T359" s="148"/>
      <c r="U359" s="148"/>
      <c r="V359" s="148"/>
      <c r="W359" s="148"/>
      <c r="X359" s="148"/>
      <c r="Y359" s="148"/>
      <c r="Z359" s="148"/>
      <c r="AA359" s="148"/>
    </row>
    <row r="360" spans="2:27" s="175" customFormat="1">
      <c r="B360" s="148"/>
      <c r="C360" s="148"/>
      <c r="D360" s="148"/>
      <c r="E360" s="148"/>
      <c r="F360" s="148"/>
      <c r="G360" s="148"/>
      <c r="H360" s="148"/>
      <c r="I360" s="148"/>
      <c r="J360" s="148"/>
      <c r="K360" s="148"/>
      <c r="L360" s="148"/>
      <c r="M360" s="148"/>
      <c r="N360" s="148"/>
      <c r="O360" s="148"/>
      <c r="P360" s="148"/>
      <c r="Q360" s="148"/>
      <c r="R360" s="148"/>
      <c r="S360" s="148"/>
      <c r="T360" s="148"/>
      <c r="U360" s="148"/>
      <c r="V360" s="148"/>
      <c r="W360" s="148"/>
      <c r="X360" s="148"/>
      <c r="Y360" s="148"/>
      <c r="Z360" s="148"/>
      <c r="AA360" s="148"/>
    </row>
    <row r="361" spans="2:27" s="175" customFormat="1">
      <c r="B361" s="148"/>
      <c r="C361" s="148"/>
      <c r="D361" s="148"/>
      <c r="E361" s="148"/>
      <c r="F361" s="148"/>
      <c r="G361" s="148"/>
      <c r="H361" s="148"/>
      <c r="I361" s="148"/>
      <c r="J361" s="148"/>
      <c r="K361" s="148"/>
      <c r="L361" s="148"/>
      <c r="M361" s="148"/>
      <c r="N361" s="148"/>
      <c r="O361" s="148"/>
      <c r="P361" s="148"/>
      <c r="Q361" s="148"/>
      <c r="R361" s="148"/>
      <c r="S361" s="148"/>
      <c r="T361" s="148"/>
      <c r="U361" s="148"/>
      <c r="V361" s="148"/>
      <c r="W361" s="148"/>
      <c r="X361" s="148"/>
      <c r="Y361" s="148"/>
      <c r="Z361" s="148"/>
      <c r="AA361" s="148"/>
    </row>
    <row r="362" spans="2:27" s="175" customFormat="1">
      <c r="B362" s="148"/>
      <c r="C362" s="148"/>
      <c r="D362" s="148"/>
      <c r="E362" s="148"/>
      <c r="F362" s="148"/>
      <c r="G362" s="148"/>
      <c r="H362" s="148"/>
      <c r="I362" s="148"/>
      <c r="J362" s="148"/>
      <c r="K362" s="148"/>
      <c r="L362" s="148"/>
      <c r="M362" s="148"/>
      <c r="N362" s="148"/>
      <c r="O362" s="148"/>
      <c r="P362" s="148"/>
      <c r="Q362" s="148"/>
      <c r="R362" s="148"/>
      <c r="S362" s="148"/>
      <c r="T362" s="148"/>
      <c r="U362" s="148"/>
      <c r="V362" s="148"/>
      <c r="W362" s="148"/>
      <c r="X362" s="148"/>
      <c r="Y362" s="148"/>
      <c r="Z362" s="148"/>
      <c r="AA362" s="148"/>
    </row>
    <row r="363" spans="2:27" s="175" customFormat="1">
      <c r="B363" s="148"/>
      <c r="C363" s="148"/>
      <c r="D363" s="148"/>
      <c r="E363" s="148"/>
      <c r="F363" s="148"/>
      <c r="G363" s="148"/>
      <c r="H363" s="148"/>
      <c r="I363" s="148"/>
      <c r="J363" s="148"/>
      <c r="K363" s="148"/>
      <c r="L363" s="148"/>
      <c r="M363" s="148"/>
      <c r="N363" s="148"/>
      <c r="O363" s="148"/>
      <c r="P363" s="148"/>
      <c r="Q363" s="148"/>
      <c r="R363" s="148"/>
      <c r="S363" s="148"/>
      <c r="T363" s="148"/>
      <c r="U363" s="148"/>
      <c r="V363" s="148"/>
      <c r="W363" s="148"/>
      <c r="X363" s="148"/>
      <c r="Y363" s="148"/>
      <c r="Z363" s="148"/>
      <c r="AA363" s="148"/>
    </row>
    <row r="364" spans="2:27" s="175" customFormat="1">
      <c r="B364" s="148"/>
      <c r="C364" s="148"/>
      <c r="D364" s="148"/>
      <c r="E364" s="148"/>
      <c r="F364" s="148"/>
      <c r="G364" s="148"/>
      <c r="H364" s="148"/>
      <c r="I364" s="148"/>
      <c r="J364" s="148"/>
      <c r="K364" s="148"/>
      <c r="L364" s="148"/>
      <c r="M364" s="148"/>
      <c r="N364" s="148"/>
      <c r="O364" s="148"/>
      <c r="P364" s="148"/>
      <c r="Q364" s="148"/>
      <c r="R364" s="148"/>
      <c r="S364" s="148"/>
      <c r="T364" s="148"/>
      <c r="U364" s="148"/>
      <c r="V364" s="148"/>
      <c r="W364" s="148"/>
      <c r="X364" s="148"/>
      <c r="Y364" s="148"/>
      <c r="Z364" s="148"/>
      <c r="AA364" s="148"/>
    </row>
    <row r="365" spans="2:27" s="175" customFormat="1">
      <c r="B365" s="148"/>
      <c r="C365" s="148"/>
      <c r="D365" s="148"/>
      <c r="E365" s="148"/>
      <c r="F365" s="148"/>
      <c r="G365" s="148"/>
      <c r="H365" s="148"/>
      <c r="I365" s="148"/>
      <c r="J365" s="148"/>
      <c r="K365" s="148"/>
      <c r="L365" s="148"/>
      <c r="M365" s="148"/>
      <c r="N365" s="148"/>
      <c r="O365" s="148"/>
      <c r="P365" s="148"/>
      <c r="Q365" s="148"/>
      <c r="R365" s="148"/>
      <c r="S365" s="148"/>
      <c r="T365" s="148"/>
      <c r="U365" s="148"/>
      <c r="V365" s="148"/>
      <c r="W365" s="148"/>
      <c r="X365" s="148"/>
      <c r="Y365" s="148"/>
      <c r="Z365" s="148"/>
      <c r="AA365" s="148"/>
    </row>
    <row r="366" spans="2:27" s="175" customFormat="1">
      <c r="B366" s="148"/>
      <c r="C366" s="148"/>
      <c r="D366" s="148"/>
      <c r="E366" s="148"/>
      <c r="F366" s="148"/>
      <c r="G366" s="148"/>
      <c r="H366" s="148"/>
      <c r="I366" s="148"/>
      <c r="J366" s="148"/>
      <c r="K366" s="148"/>
      <c r="L366" s="148"/>
      <c r="M366" s="148"/>
      <c r="N366" s="148"/>
      <c r="O366" s="148"/>
      <c r="P366" s="148"/>
      <c r="Q366" s="148"/>
      <c r="R366" s="148"/>
      <c r="S366" s="148"/>
      <c r="T366" s="148"/>
      <c r="U366" s="148"/>
      <c r="V366" s="148"/>
      <c r="W366" s="148"/>
      <c r="X366" s="148"/>
      <c r="Y366" s="148"/>
      <c r="Z366" s="148"/>
      <c r="AA366" s="148"/>
    </row>
    <row r="367" spans="2:27" s="175" customFormat="1">
      <c r="B367" s="148"/>
      <c r="C367" s="148"/>
      <c r="D367" s="148"/>
      <c r="E367" s="148"/>
      <c r="F367" s="148"/>
      <c r="G367" s="148"/>
      <c r="H367" s="148"/>
      <c r="I367" s="148"/>
      <c r="J367" s="148"/>
      <c r="K367" s="148"/>
      <c r="L367" s="148"/>
      <c r="M367" s="148"/>
      <c r="N367" s="148"/>
      <c r="O367" s="148"/>
      <c r="P367" s="148"/>
      <c r="Q367" s="148"/>
      <c r="R367" s="148"/>
      <c r="S367" s="148"/>
      <c r="T367" s="148"/>
      <c r="U367" s="148"/>
      <c r="V367" s="148"/>
      <c r="W367" s="148"/>
      <c r="X367" s="148"/>
      <c r="Y367" s="148"/>
      <c r="Z367" s="148"/>
      <c r="AA367" s="148"/>
    </row>
    <row r="368" spans="2:27" s="175" customFormat="1">
      <c r="B368" s="148"/>
      <c r="C368" s="148"/>
      <c r="D368" s="148"/>
      <c r="E368" s="148"/>
      <c r="F368" s="148"/>
      <c r="G368" s="148"/>
      <c r="H368" s="148"/>
      <c r="I368" s="148"/>
      <c r="J368" s="148"/>
      <c r="K368" s="148"/>
      <c r="L368" s="148"/>
      <c r="M368" s="148"/>
      <c r="N368" s="148"/>
      <c r="O368" s="148"/>
      <c r="P368" s="148"/>
      <c r="Q368" s="148"/>
      <c r="R368" s="148"/>
      <c r="S368" s="148"/>
      <c r="T368" s="148"/>
      <c r="U368" s="148"/>
      <c r="V368" s="148"/>
      <c r="W368" s="148"/>
      <c r="X368" s="148"/>
      <c r="Y368" s="148"/>
      <c r="Z368" s="148"/>
      <c r="AA368" s="148"/>
    </row>
    <row r="369" spans="2:27" s="175" customFormat="1">
      <c r="B369" s="148"/>
      <c r="C369" s="148"/>
      <c r="D369" s="148"/>
      <c r="E369" s="148"/>
      <c r="F369" s="148"/>
      <c r="G369" s="148"/>
      <c r="H369" s="148"/>
      <c r="I369" s="148"/>
      <c r="J369" s="148"/>
      <c r="K369" s="148"/>
      <c r="L369" s="148"/>
      <c r="M369" s="148"/>
      <c r="N369" s="148"/>
      <c r="O369" s="148"/>
      <c r="P369" s="148"/>
      <c r="Q369" s="148"/>
      <c r="R369" s="148"/>
      <c r="S369" s="148"/>
      <c r="T369" s="148"/>
      <c r="U369" s="148"/>
      <c r="V369" s="148"/>
      <c r="W369" s="148"/>
      <c r="X369" s="148"/>
      <c r="Y369" s="148"/>
      <c r="Z369" s="148"/>
      <c r="AA369" s="148"/>
    </row>
    <row r="370" spans="2:27" s="175" customFormat="1">
      <c r="B370" s="148"/>
      <c r="C370" s="148"/>
      <c r="D370" s="148"/>
      <c r="E370" s="148"/>
      <c r="F370" s="148"/>
      <c r="G370" s="148"/>
      <c r="H370" s="148"/>
      <c r="I370" s="148"/>
      <c r="J370" s="148"/>
      <c r="K370" s="148"/>
      <c r="L370" s="148"/>
      <c r="M370" s="148"/>
      <c r="N370" s="148"/>
      <c r="O370" s="148"/>
      <c r="P370" s="148"/>
      <c r="Q370" s="148"/>
      <c r="R370" s="148"/>
      <c r="S370" s="148"/>
      <c r="T370" s="148"/>
      <c r="U370" s="148"/>
      <c r="V370" s="148"/>
      <c r="W370" s="148"/>
      <c r="X370" s="148"/>
      <c r="Y370" s="148"/>
      <c r="Z370" s="148"/>
      <c r="AA370" s="148"/>
    </row>
    <row r="371" spans="2:27" s="175" customFormat="1">
      <c r="B371" s="148"/>
      <c r="C371" s="148"/>
      <c r="D371" s="148"/>
      <c r="E371" s="148"/>
      <c r="F371" s="148"/>
      <c r="G371" s="148"/>
      <c r="H371" s="148"/>
      <c r="I371" s="148"/>
      <c r="J371" s="148"/>
      <c r="K371" s="148"/>
      <c r="L371" s="148"/>
      <c r="M371" s="148"/>
      <c r="N371" s="148"/>
      <c r="O371" s="148"/>
      <c r="P371" s="148"/>
      <c r="Q371" s="148"/>
      <c r="R371" s="148"/>
      <c r="S371" s="148"/>
      <c r="T371" s="148"/>
      <c r="U371" s="148"/>
      <c r="V371" s="148"/>
      <c r="W371" s="148"/>
      <c r="X371" s="148"/>
      <c r="Y371" s="148"/>
      <c r="Z371" s="148"/>
      <c r="AA371" s="148"/>
    </row>
    <row r="372" spans="2:27" s="175" customFormat="1">
      <c r="B372" s="148"/>
      <c r="C372" s="148"/>
      <c r="D372" s="148"/>
      <c r="E372" s="148"/>
      <c r="F372" s="148"/>
      <c r="G372" s="148"/>
      <c r="H372" s="148"/>
      <c r="I372" s="148"/>
      <c r="J372" s="148"/>
      <c r="K372" s="148"/>
      <c r="L372" s="148"/>
      <c r="M372" s="148"/>
      <c r="N372" s="148"/>
      <c r="O372" s="148"/>
      <c r="P372" s="148"/>
      <c r="Q372" s="148"/>
      <c r="R372" s="148"/>
      <c r="S372" s="148"/>
      <c r="T372" s="148"/>
      <c r="U372" s="148"/>
      <c r="V372" s="148"/>
      <c r="W372" s="148"/>
      <c r="X372" s="148"/>
      <c r="Y372" s="148"/>
      <c r="Z372" s="148"/>
      <c r="AA372" s="148"/>
    </row>
    <row r="373" spans="2:27" s="175" customFormat="1">
      <c r="B373" s="148"/>
      <c r="C373" s="148"/>
      <c r="D373" s="148"/>
      <c r="E373" s="148"/>
      <c r="F373" s="148"/>
      <c r="G373" s="148"/>
      <c r="H373" s="148"/>
      <c r="I373" s="148"/>
      <c r="J373" s="148"/>
      <c r="K373" s="148"/>
      <c r="L373" s="148"/>
      <c r="M373" s="148"/>
      <c r="N373" s="148"/>
      <c r="O373" s="148"/>
      <c r="P373" s="148"/>
      <c r="Q373" s="148"/>
      <c r="R373" s="148"/>
      <c r="S373" s="148"/>
      <c r="T373" s="148"/>
      <c r="U373" s="148"/>
      <c r="V373" s="148"/>
      <c r="W373" s="148"/>
      <c r="X373" s="148"/>
      <c r="Y373" s="148"/>
      <c r="Z373" s="148"/>
      <c r="AA373" s="148"/>
    </row>
    <row r="374" spans="2:27" s="175" customFormat="1">
      <c r="B374" s="148"/>
      <c r="C374" s="148"/>
      <c r="D374" s="148"/>
      <c r="E374" s="148"/>
      <c r="F374" s="148"/>
      <c r="G374" s="148"/>
      <c r="H374" s="148"/>
      <c r="I374" s="148"/>
      <c r="J374" s="148"/>
      <c r="K374" s="148"/>
      <c r="L374" s="148"/>
      <c r="M374" s="148"/>
      <c r="N374" s="148"/>
      <c r="O374" s="148"/>
      <c r="P374" s="148"/>
      <c r="Q374" s="148"/>
      <c r="R374" s="148"/>
      <c r="S374" s="148"/>
      <c r="T374" s="148"/>
      <c r="U374" s="148"/>
      <c r="V374" s="148"/>
      <c r="W374" s="148"/>
      <c r="X374" s="148"/>
      <c r="Y374" s="148"/>
      <c r="Z374" s="148"/>
      <c r="AA374" s="148"/>
    </row>
    <row r="375" spans="2:27" s="175" customFormat="1">
      <c r="B375" s="148"/>
      <c r="C375" s="148"/>
      <c r="D375" s="148"/>
      <c r="E375" s="148"/>
      <c r="F375" s="148"/>
      <c r="G375" s="148"/>
      <c r="H375" s="148"/>
      <c r="I375" s="148"/>
      <c r="J375" s="148"/>
      <c r="K375" s="148"/>
      <c r="L375" s="148"/>
      <c r="M375" s="148"/>
      <c r="N375" s="148"/>
      <c r="O375" s="148"/>
      <c r="P375" s="148"/>
      <c r="Q375" s="148"/>
      <c r="R375" s="148"/>
      <c r="S375" s="148"/>
      <c r="T375" s="148"/>
      <c r="U375" s="148"/>
      <c r="V375" s="148"/>
      <c r="W375" s="148"/>
      <c r="X375" s="148"/>
      <c r="Y375" s="148"/>
      <c r="Z375" s="148"/>
      <c r="AA375" s="148"/>
    </row>
    <row r="376" spans="2:27" s="175" customFormat="1">
      <c r="B376" s="148"/>
      <c r="C376" s="148"/>
      <c r="D376" s="148"/>
      <c r="E376" s="148"/>
      <c r="F376" s="148"/>
      <c r="G376" s="148"/>
      <c r="H376" s="148"/>
      <c r="I376" s="148"/>
      <c r="J376" s="148"/>
      <c r="K376" s="148"/>
      <c r="L376" s="148"/>
      <c r="M376" s="148"/>
      <c r="N376" s="148"/>
      <c r="O376" s="148"/>
      <c r="P376" s="148"/>
      <c r="Q376" s="148"/>
      <c r="R376" s="148"/>
      <c r="S376" s="148"/>
      <c r="T376" s="148"/>
      <c r="U376" s="148"/>
      <c r="V376" s="148"/>
      <c r="W376" s="148"/>
      <c r="X376" s="148"/>
      <c r="Y376" s="148"/>
      <c r="Z376" s="148"/>
      <c r="AA376" s="148"/>
    </row>
    <row r="377" spans="2:27" s="175" customFormat="1">
      <c r="B377" s="148"/>
      <c r="C377" s="148"/>
      <c r="D377" s="148"/>
      <c r="E377" s="148"/>
      <c r="F377" s="148"/>
      <c r="G377" s="148"/>
      <c r="H377" s="148"/>
      <c r="I377" s="148"/>
      <c r="J377" s="148"/>
      <c r="K377" s="148"/>
      <c r="L377" s="148"/>
      <c r="M377" s="148"/>
      <c r="N377" s="148"/>
      <c r="O377" s="148"/>
      <c r="P377" s="148"/>
      <c r="Q377" s="148"/>
      <c r="R377" s="148"/>
      <c r="S377" s="148"/>
      <c r="T377" s="148"/>
      <c r="U377" s="148"/>
      <c r="V377" s="148"/>
      <c r="W377" s="148"/>
      <c r="X377" s="148"/>
      <c r="Y377" s="148"/>
      <c r="Z377" s="148"/>
      <c r="AA377" s="148"/>
    </row>
    <row r="378" spans="2:27" s="175" customFormat="1">
      <c r="B378" s="148"/>
      <c r="C378" s="148"/>
      <c r="D378" s="148"/>
      <c r="E378" s="148"/>
      <c r="F378" s="148"/>
      <c r="G378" s="148"/>
      <c r="H378" s="148"/>
      <c r="I378" s="148"/>
      <c r="J378" s="148"/>
      <c r="K378" s="148"/>
      <c r="L378" s="148"/>
      <c r="M378" s="148"/>
      <c r="N378" s="148"/>
      <c r="O378" s="148"/>
      <c r="P378" s="148"/>
      <c r="Q378" s="148"/>
      <c r="R378" s="148"/>
      <c r="S378" s="148"/>
      <c r="T378" s="148"/>
      <c r="U378" s="148"/>
      <c r="V378" s="148"/>
      <c r="W378" s="148"/>
      <c r="X378" s="148"/>
      <c r="Y378" s="148"/>
      <c r="Z378" s="148"/>
      <c r="AA378" s="148"/>
    </row>
    <row r="379" spans="2:27" s="175" customFormat="1">
      <c r="B379" s="148"/>
      <c r="C379" s="148"/>
      <c r="D379" s="148"/>
      <c r="E379" s="148"/>
      <c r="F379" s="148"/>
      <c r="G379" s="148"/>
      <c r="H379" s="148"/>
      <c r="I379" s="148"/>
      <c r="J379" s="148"/>
      <c r="K379" s="148"/>
      <c r="L379" s="148"/>
      <c r="M379" s="148"/>
      <c r="N379" s="148"/>
      <c r="O379" s="148"/>
      <c r="P379" s="148"/>
      <c r="Q379" s="148"/>
      <c r="R379" s="148"/>
      <c r="S379" s="148"/>
      <c r="T379" s="148"/>
      <c r="U379" s="148"/>
      <c r="V379" s="148"/>
      <c r="W379" s="148"/>
      <c r="X379" s="148"/>
      <c r="Y379" s="148"/>
      <c r="Z379" s="148"/>
      <c r="AA379" s="148"/>
    </row>
    <row r="380" spans="2:27" s="175" customFormat="1">
      <c r="B380" s="148"/>
      <c r="C380" s="148"/>
      <c r="D380" s="148"/>
      <c r="E380" s="148"/>
      <c r="F380" s="148"/>
      <c r="G380" s="148"/>
      <c r="H380" s="148"/>
      <c r="I380" s="148"/>
      <c r="J380" s="148"/>
      <c r="K380" s="148"/>
      <c r="L380" s="148"/>
      <c r="M380" s="148"/>
      <c r="N380" s="148"/>
      <c r="O380" s="148"/>
      <c r="P380" s="148"/>
      <c r="Q380" s="148"/>
      <c r="R380" s="148"/>
      <c r="S380" s="148"/>
      <c r="T380" s="148"/>
      <c r="U380" s="148"/>
      <c r="V380" s="148"/>
      <c r="W380" s="148"/>
      <c r="X380" s="148"/>
      <c r="Y380" s="148"/>
      <c r="Z380" s="148"/>
      <c r="AA380" s="148"/>
    </row>
    <row r="381" spans="2:27" s="175" customFormat="1">
      <c r="B381" s="148"/>
      <c r="C381" s="148"/>
      <c r="D381" s="148"/>
      <c r="E381" s="148"/>
      <c r="F381" s="148"/>
      <c r="G381" s="148"/>
      <c r="H381" s="148"/>
      <c r="I381" s="148"/>
      <c r="J381" s="148"/>
      <c r="K381" s="148"/>
      <c r="L381" s="148"/>
      <c r="M381" s="148"/>
      <c r="N381" s="148"/>
      <c r="O381" s="148"/>
      <c r="P381" s="148"/>
      <c r="Q381" s="148"/>
      <c r="R381" s="148"/>
      <c r="S381" s="148"/>
      <c r="T381" s="148"/>
      <c r="U381" s="148"/>
      <c r="V381" s="148"/>
      <c r="W381" s="148"/>
      <c r="X381" s="148"/>
      <c r="Y381" s="148"/>
      <c r="Z381" s="148"/>
      <c r="AA381" s="148"/>
    </row>
    <row r="382" spans="2:27" s="175" customFormat="1">
      <c r="B382" s="148"/>
      <c r="C382" s="148"/>
      <c r="D382" s="148"/>
      <c r="E382" s="148"/>
      <c r="F382" s="148"/>
      <c r="G382" s="148"/>
      <c r="H382" s="148"/>
      <c r="I382" s="148"/>
      <c r="J382" s="148"/>
      <c r="K382" s="148"/>
      <c r="L382" s="148"/>
      <c r="M382" s="148"/>
      <c r="N382" s="148"/>
      <c r="O382" s="148"/>
      <c r="P382" s="148"/>
      <c r="Q382" s="148"/>
      <c r="R382" s="148"/>
      <c r="S382" s="148"/>
      <c r="T382" s="148"/>
      <c r="U382" s="148"/>
      <c r="V382" s="148"/>
      <c r="W382" s="148"/>
      <c r="X382" s="148"/>
      <c r="Y382" s="148"/>
      <c r="Z382" s="148"/>
      <c r="AA382" s="148"/>
    </row>
    <row r="383" spans="2:27" s="175" customFormat="1">
      <c r="B383" s="148"/>
      <c r="C383" s="148"/>
      <c r="D383" s="148"/>
      <c r="E383" s="148"/>
      <c r="F383" s="148"/>
      <c r="G383" s="148"/>
      <c r="H383" s="148"/>
      <c r="I383" s="148"/>
      <c r="J383" s="148"/>
      <c r="K383" s="148"/>
      <c r="L383" s="148"/>
      <c r="M383" s="148"/>
      <c r="N383" s="148"/>
      <c r="O383" s="148"/>
      <c r="P383" s="148"/>
      <c r="Q383" s="148"/>
      <c r="R383" s="148"/>
      <c r="S383" s="148"/>
      <c r="T383" s="148"/>
      <c r="U383" s="148"/>
      <c r="V383" s="148"/>
      <c r="W383" s="148"/>
      <c r="X383" s="148"/>
      <c r="Y383" s="148"/>
      <c r="Z383" s="148"/>
      <c r="AA383" s="148"/>
    </row>
    <row r="384" spans="2:27" s="175" customFormat="1">
      <c r="B384" s="148"/>
      <c r="C384" s="148"/>
      <c r="D384" s="148"/>
      <c r="E384" s="148"/>
      <c r="F384" s="148"/>
      <c r="G384" s="148"/>
      <c r="H384" s="148"/>
      <c r="I384" s="148"/>
      <c r="J384" s="148"/>
      <c r="K384" s="148"/>
      <c r="L384" s="148"/>
      <c r="M384" s="148"/>
      <c r="N384" s="148"/>
      <c r="O384" s="148"/>
      <c r="P384" s="148"/>
      <c r="Q384" s="148"/>
      <c r="R384" s="148"/>
      <c r="S384" s="148"/>
      <c r="T384" s="148"/>
      <c r="U384" s="148"/>
      <c r="V384" s="148"/>
      <c r="W384" s="148"/>
      <c r="X384" s="148"/>
      <c r="Y384" s="148"/>
      <c r="Z384" s="148"/>
      <c r="AA384" s="148"/>
    </row>
    <row r="385" spans="2:27" s="175" customFormat="1">
      <c r="B385" s="148"/>
      <c r="C385" s="148"/>
      <c r="D385" s="148"/>
      <c r="E385" s="148"/>
      <c r="F385" s="148"/>
      <c r="G385" s="148"/>
      <c r="H385" s="148"/>
      <c r="I385" s="148"/>
      <c r="J385" s="148"/>
      <c r="K385" s="148"/>
      <c r="L385" s="148"/>
      <c r="M385" s="148"/>
      <c r="N385" s="148"/>
      <c r="O385" s="148"/>
      <c r="P385" s="148"/>
      <c r="Q385" s="148"/>
      <c r="R385" s="148"/>
      <c r="S385" s="148"/>
      <c r="T385" s="148"/>
      <c r="U385" s="148"/>
      <c r="V385" s="148"/>
      <c r="W385" s="148"/>
      <c r="X385" s="148"/>
      <c r="Y385" s="148"/>
      <c r="Z385" s="148"/>
      <c r="AA385" s="148"/>
    </row>
    <row r="386" spans="2:27" s="175" customFormat="1">
      <c r="B386" s="148"/>
      <c r="C386" s="148"/>
      <c r="D386" s="148"/>
      <c r="E386" s="148"/>
      <c r="F386" s="148"/>
      <c r="G386" s="148"/>
      <c r="H386" s="148"/>
      <c r="I386" s="148"/>
      <c r="J386" s="148"/>
      <c r="K386" s="148"/>
      <c r="L386" s="148"/>
      <c r="M386" s="148"/>
      <c r="N386" s="148"/>
      <c r="O386" s="148"/>
      <c r="P386" s="148"/>
      <c r="Q386" s="148"/>
      <c r="R386" s="148"/>
      <c r="S386" s="148"/>
      <c r="T386" s="148"/>
      <c r="U386" s="148"/>
      <c r="V386" s="148"/>
      <c r="W386" s="148"/>
      <c r="X386" s="148"/>
      <c r="Y386" s="148"/>
      <c r="Z386" s="148"/>
      <c r="AA386" s="148"/>
    </row>
    <row r="387" spans="2:27" s="175" customFormat="1">
      <c r="B387" s="148"/>
      <c r="C387" s="148"/>
      <c r="D387" s="148"/>
      <c r="E387" s="148"/>
      <c r="F387" s="148"/>
      <c r="G387" s="148"/>
      <c r="H387" s="148"/>
      <c r="I387" s="148"/>
      <c r="J387" s="148"/>
      <c r="K387" s="148"/>
      <c r="L387" s="148"/>
      <c r="M387" s="148"/>
      <c r="N387" s="148"/>
      <c r="O387" s="148"/>
      <c r="P387" s="148"/>
      <c r="Q387" s="148"/>
      <c r="R387" s="148"/>
      <c r="S387" s="148"/>
      <c r="T387" s="148"/>
      <c r="U387" s="148"/>
      <c r="V387" s="148"/>
      <c r="W387" s="148"/>
      <c r="X387" s="148"/>
      <c r="Y387" s="148"/>
      <c r="Z387" s="148"/>
      <c r="AA387" s="148"/>
    </row>
    <row r="388" spans="2:27" s="175" customFormat="1">
      <c r="B388" s="148"/>
      <c r="C388" s="148"/>
      <c r="D388" s="148"/>
      <c r="E388" s="148"/>
      <c r="F388" s="148"/>
      <c r="G388" s="148"/>
      <c r="H388" s="148"/>
      <c r="I388" s="148"/>
      <c r="J388" s="148"/>
      <c r="K388" s="148"/>
      <c r="L388" s="148"/>
      <c r="M388" s="148"/>
      <c r="N388" s="148"/>
      <c r="O388" s="148"/>
      <c r="P388" s="148"/>
      <c r="Q388" s="148"/>
      <c r="R388" s="148"/>
      <c r="S388" s="148"/>
      <c r="T388" s="148"/>
      <c r="U388" s="148"/>
      <c r="V388" s="148"/>
      <c r="W388" s="148"/>
      <c r="X388" s="148"/>
      <c r="Y388" s="148"/>
      <c r="Z388" s="148"/>
      <c r="AA388" s="148"/>
    </row>
    <row r="389" spans="2:27" s="175" customFormat="1">
      <c r="B389" s="148"/>
      <c r="C389" s="148"/>
      <c r="D389" s="148"/>
      <c r="E389" s="148"/>
      <c r="F389" s="148"/>
      <c r="G389" s="148"/>
      <c r="H389" s="148"/>
      <c r="I389" s="148"/>
      <c r="J389" s="148"/>
      <c r="K389" s="148"/>
      <c r="L389" s="148"/>
      <c r="M389" s="148"/>
      <c r="N389" s="148"/>
      <c r="O389" s="148"/>
      <c r="P389" s="148"/>
      <c r="Q389" s="148"/>
      <c r="R389" s="148"/>
      <c r="S389" s="148"/>
      <c r="T389" s="148"/>
      <c r="U389" s="148"/>
      <c r="V389" s="148"/>
      <c r="W389" s="148"/>
      <c r="X389" s="148"/>
      <c r="Y389" s="148"/>
      <c r="Z389" s="148"/>
      <c r="AA389" s="148"/>
    </row>
    <row r="390" spans="2:27" s="175" customFormat="1">
      <c r="B390" s="148"/>
      <c r="C390" s="148"/>
      <c r="D390" s="148"/>
      <c r="E390" s="148"/>
      <c r="F390" s="148"/>
      <c r="G390" s="148"/>
      <c r="H390" s="148"/>
      <c r="I390" s="148"/>
      <c r="J390" s="148"/>
      <c r="K390" s="148"/>
      <c r="L390" s="148"/>
      <c r="M390" s="148"/>
      <c r="N390" s="148"/>
      <c r="O390" s="148"/>
      <c r="P390" s="148"/>
      <c r="Q390" s="148"/>
      <c r="R390" s="148"/>
      <c r="S390" s="148"/>
      <c r="T390" s="148"/>
      <c r="U390" s="148"/>
      <c r="V390" s="148"/>
      <c r="W390" s="148"/>
      <c r="X390" s="148"/>
      <c r="Y390" s="148"/>
      <c r="Z390" s="148"/>
      <c r="AA390" s="148"/>
    </row>
    <row r="391" spans="2:27" s="175" customFormat="1">
      <c r="B391" s="148"/>
      <c r="C391" s="148"/>
      <c r="D391" s="148"/>
      <c r="E391" s="148"/>
      <c r="F391" s="148"/>
      <c r="G391" s="148"/>
      <c r="H391" s="148"/>
      <c r="I391" s="148"/>
      <c r="J391" s="148"/>
      <c r="K391" s="148"/>
      <c r="L391" s="148"/>
      <c r="M391" s="148"/>
      <c r="N391" s="148"/>
      <c r="O391" s="148"/>
      <c r="P391" s="148"/>
      <c r="Q391" s="148"/>
      <c r="R391" s="148"/>
      <c r="S391" s="148"/>
      <c r="T391" s="148"/>
      <c r="U391" s="148"/>
      <c r="V391" s="148"/>
      <c r="W391" s="148"/>
      <c r="X391" s="148"/>
      <c r="Y391" s="148"/>
      <c r="Z391" s="148"/>
      <c r="AA391" s="148"/>
    </row>
    <row r="392" spans="2:27" s="175" customFormat="1">
      <c r="B392" s="148"/>
      <c r="C392" s="148"/>
      <c r="D392" s="148"/>
      <c r="E392" s="148"/>
      <c r="F392" s="148"/>
      <c r="G392" s="148"/>
      <c r="H392" s="148"/>
      <c r="I392" s="148"/>
      <c r="J392" s="148"/>
      <c r="K392" s="148"/>
      <c r="L392" s="148"/>
      <c r="M392" s="148"/>
      <c r="N392" s="148"/>
      <c r="O392" s="148"/>
      <c r="P392" s="148"/>
      <c r="Q392" s="148"/>
      <c r="R392" s="148"/>
      <c r="S392" s="148"/>
      <c r="T392" s="148"/>
      <c r="U392" s="148"/>
      <c r="V392" s="148"/>
      <c r="W392" s="148"/>
      <c r="X392" s="148"/>
      <c r="Y392" s="148"/>
      <c r="Z392" s="148"/>
      <c r="AA392" s="148"/>
    </row>
    <row r="393" spans="2:27" s="175" customFormat="1">
      <c r="B393" s="148"/>
      <c r="C393" s="148"/>
      <c r="D393" s="148"/>
      <c r="E393" s="148"/>
      <c r="F393" s="148"/>
      <c r="G393" s="148"/>
      <c r="H393" s="148"/>
      <c r="I393" s="148"/>
      <c r="J393" s="148"/>
      <c r="K393" s="148"/>
      <c r="L393" s="148"/>
      <c r="M393" s="148"/>
      <c r="N393" s="148"/>
      <c r="O393" s="148"/>
      <c r="P393" s="148"/>
      <c r="Q393" s="148"/>
      <c r="R393" s="148"/>
      <c r="S393" s="148"/>
      <c r="T393" s="148"/>
      <c r="U393" s="148"/>
      <c r="V393" s="148"/>
      <c r="W393" s="148"/>
      <c r="X393" s="148"/>
      <c r="Y393" s="148"/>
      <c r="Z393" s="148"/>
      <c r="AA393" s="148"/>
    </row>
    <row r="394" spans="2:27" s="175" customFormat="1">
      <c r="B394" s="148"/>
      <c r="C394" s="148"/>
      <c r="D394" s="148"/>
      <c r="E394" s="148"/>
      <c r="F394" s="148"/>
      <c r="G394" s="148"/>
      <c r="H394" s="148"/>
      <c r="I394" s="148"/>
      <c r="J394" s="148"/>
      <c r="K394" s="148"/>
      <c r="L394" s="148"/>
      <c r="M394" s="148"/>
      <c r="N394" s="148"/>
      <c r="O394" s="148"/>
      <c r="P394" s="148"/>
      <c r="Q394" s="148"/>
      <c r="R394" s="148"/>
      <c r="S394" s="148"/>
      <c r="T394" s="148"/>
      <c r="U394" s="148"/>
      <c r="V394" s="148"/>
      <c r="W394" s="148"/>
      <c r="X394" s="148"/>
      <c r="Y394" s="148"/>
      <c r="Z394" s="148"/>
      <c r="AA394" s="148"/>
    </row>
    <row r="395" spans="2:27" s="175" customFormat="1">
      <c r="B395" s="148"/>
      <c r="C395" s="148"/>
      <c r="D395" s="148"/>
      <c r="E395" s="148"/>
      <c r="F395" s="148"/>
      <c r="G395" s="148"/>
      <c r="H395" s="148"/>
      <c r="I395" s="148"/>
      <c r="J395" s="148"/>
      <c r="K395" s="148"/>
      <c r="L395" s="148"/>
      <c r="M395" s="148"/>
      <c r="N395" s="148"/>
      <c r="O395" s="148"/>
      <c r="P395" s="148"/>
      <c r="Q395" s="148"/>
      <c r="R395" s="148"/>
      <c r="S395" s="148"/>
      <c r="T395" s="148"/>
      <c r="U395" s="148"/>
      <c r="V395" s="148"/>
      <c r="W395" s="148"/>
      <c r="X395" s="148"/>
      <c r="Y395" s="148"/>
      <c r="Z395" s="148"/>
      <c r="AA395" s="148"/>
    </row>
    <row r="396" spans="2:27" s="175" customFormat="1">
      <c r="B396" s="148"/>
      <c r="C396" s="148"/>
      <c r="D396" s="148"/>
      <c r="E396" s="148"/>
      <c r="F396" s="148"/>
      <c r="G396" s="148"/>
      <c r="H396" s="148"/>
      <c r="I396" s="148"/>
      <c r="J396" s="148"/>
      <c r="K396" s="148"/>
      <c r="L396" s="148"/>
      <c r="M396" s="148"/>
      <c r="N396" s="148"/>
      <c r="O396" s="148"/>
      <c r="P396" s="148"/>
      <c r="Q396" s="148"/>
      <c r="R396" s="148"/>
      <c r="S396" s="148"/>
      <c r="T396" s="148"/>
      <c r="U396" s="148"/>
      <c r="V396" s="148"/>
      <c r="W396" s="148"/>
      <c r="X396" s="148"/>
      <c r="Y396" s="148"/>
      <c r="Z396" s="148"/>
      <c r="AA396" s="148"/>
    </row>
    <row r="397" spans="2:27" s="175" customFormat="1">
      <c r="B397" s="148"/>
      <c r="C397" s="148"/>
      <c r="D397" s="148"/>
      <c r="E397" s="148"/>
      <c r="F397" s="148"/>
      <c r="G397" s="148"/>
      <c r="H397" s="148"/>
      <c r="I397" s="148"/>
      <c r="J397" s="148"/>
      <c r="K397" s="148"/>
      <c r="L397" s="148"/>
      <c r="M397" s="148"/>
      <c r="N397" s="148"/>
      <c r="O397" s="148"/>
      <c r="P397" s="148"/>
      <c r="Q397" s="148"/>
      <c r="R397" s="148"/>
      <c r="S397" s="148"/>
      <c r="T397" s="148"/>
      <c r="U397" s="148"/>
      <c r="V397" s="148"/>
      <c r="W397" s="148"/>
      <c r="X397" s="148"/>
      <c r="Y397" s="148"/>
      <c r="Z397" s="148"/>
      <c r="AA397" s="148"/>
    </row>
    <row r="398" spans="2:27" s="175" customFormat="1">
      <c r="B398" s="148"/>
      <c r="C398" s="148"/>
      <c r="D398" s="148"/>
      <c r="E398" s="148"/>
      <c r="F398" s="148"/>
      <c r="G398" s="148"/>
      <c r="H398" s="148"/>
      <c r="I398" s="148"/>
      <c r="J398" s="148"/>
      <c r="K398" s="148"/>
      <c r="L398" s="148"/>
      <c r="M398" s="148"/>
      <c r="N398" s="148"/>
      <c r="O398" s="148"/>
      <c r="P398" s="148"/>
      <c r="Q398" s="148"/>
      <c r="R398" s="148"/>
      <c r="S398" s="148"/>
      <c r="T398" s="148"/>
      <c r="U398" s="148"/>
      <c r="V398" s="148"/>
      <c r="W398" s="148"/>
      <c r="X398" s="148"/>
      <c r="Y398" s="148"/>
      <c r="Z398" s="148"/>
      <c r="AA398" s="148"/>
    </row>
    <row r="399" spans="2:27" s="175" customFormat="1">
      <c r="B399" s="148"/>
      <c r="C399" s="148"/>
      <c r="D399" s="148"/>
      <c r="E399" s="148"/>
      <c r="F399" s="148"/>
      <c r="G399" s="148"/>
      <c r="H399" s="148"/>
      <c r="I399" s="148"/>
      <c r="J399" s="148"/>
      <c r="K399" s="148"/>
      <c r="L399" s="148"/>
      <c r="M399" s="148"/>
      <c r="N399" s="148"/>
      <c r="O399" s="148"/>
      <c r="P399" s="148"/>
      <c r="Q399" s="148"/>
      <c r="R399" s="148"/>
      <c r="S399" s="148"/>
      <c r="T399" s="148"/>
      <c r="U399" s="148"/>
      <c r="V399" s="148"/>
      <c r="W399" s="148"/>
      <c r="X399" s="148"/>
      <c r="Y399" s="148"/>
      <c r="Z399" s="148"/>
      <c r="AA399" s="148"/>
    </row>
    <row r="400" spans="2:27" s="175" customFormat="1">
      <c r="B400" s="148"/>
      <c r="C400" s="148"/>
      <c r="D400" s="148"/>
      <c r="E400" s="148"/>
      <c r="F400" s="148"/>
      <c r="G400" s="148"/>
      <c r="H400" s="148"/>
      <c r="I400" s="148"/>
      <c r="J400" s="148"/>
      <c r="K400" s="148"/>
      <c r="L400" s="148"/>
      <c r="M400" s="148"/>
      <c r="N400" s="148"/>
      <c r="O400" s="148"/>
      <c r="P400" s="148"/>
      <c r="Q400" s="148"/>
      <c r="R400" s="148"/>
      <c r="S400" s="148"/>
      <c r="T400" s="148"/>
      <c r="U400" s="148"/>
      <c r="V400" s="148"/>
      <c r="W400" s="148"/>
      <c r="X400" s="148"/>
      <c r="Y400" s="148"/>
      <c r="Z400" s="148"/>
      <c r="AA400" s="148"/>
    </row>
    <row r="401" spans="2:27" s="175" customFormat="1">
      <c r="B401" s="148"/>
      <c r="C401" s="148"/>
      <c r="D401" s="148"/>
      <c r="E401" s="148"/>
      <c r="F401" s="148"/>
      <c r="G401" s="148"/>
      <c r="H401" s="148"/>
      <c r="I401" s="148"/>
      <c r="J401" s="148"/>
      <c r="K401" s="148"/>
      <c r="L401" s="148"/>
      <c r="M401" s="148"/>
      <c r="N401" s="148"/>
      <c r="O401" s="148"/>
      <c r="P401" s="148"/>
      <c r="Q401" s="148"/>
      <c r="R401" s="148"/>
      <c r="S401" s="148"/>
      <c r="T401" s="148"/>
      <c r="U401" s="148"/>
      <c r="V401" s="148"/>
      <c r="W401" s="148"/>
      <c r="X401" s="148"/>
      <c r="Y401" s="148"/>
      <c r="Z401" s="148"/>
      <c r="AA401" s="148"/>
    </row>
  </sheetData>
  <mergeCells count="57">
    <mergeCell ref="M25:N25"/>
    <mergeCell ref="O25:Q25"/>
    <mergeCell ref="R25:T25"/>
    <mergeCell ref="M23:N23"/>
    <mergeCell ref="O23:Q23"/>
    <mergeCell ref="R23:T23"/>
    <mergeCell ref="M24:N24"/>
    <mergeCell ref="O24:Q24"/>
    <mergeCell ref="R24:T24"/>
    <mergeCell ref="M21:N21"/>
    <mergeCell ref="O21:Q21"/>
    <mergeCell ref="R21:T21"/>
    <mergeCell ref="M22:N22"/>
    <mergeCell ref="O22:Q22"/>
    <mergeCell ref="R22:T22"/>
    <mergeCell ref="M19:N19"/>
    <mergeCell ref="O19:Q19"/>
    <mergeCell ref="R19:T19"/>
    <mergeCell ref="M20:N20"/>
    <mergeCell ref="O20:Q20"/>
    <mergeCell ref="R20:T20"/>
    <mergeCell ref="M13:N13"/>
    <mergeCell ref="O13:Q13"/>
    <mergeCell ref="R13:T13"/>
    <mergeCell ref="M18:N18"/>
    <mergeCell ref="O18:Q18"/>
    <mergeCell ref="R18:T18"/>
    <mergeCell ref="M11:N11"/>
    <mergeCell ref="O11:Q11"/>
    <mergeCell ref="R11:T11"/>
    <mergeCell ref="M12:N12"/>
    <mergeCell ref="O12:Q12"/>
    <mergeCell ref="R12:T12"/>
    <mergeCell ref="M9:N9"/>
    <mergeCell ref="O9:Q9"/>
    <mergeCell ref="R9:T9"/>
    <mergeCell ref="M10:N10"/>
    <mergeCell ref="O10:Q10"/>
    <mergeCell ref="R10:T10"/>
    <mergeCell ref="M7:N7"/>
    <mergeCell ref="O7:Q7"/>
    <mergeCell ref="R7:T7"/>
    <mergeCell ref="M8:N8"/>
    <mergeCell ref="O8:Q8"/>
    <mergeCell ref="R8:T8"/>
    <mergeCell ref="M5:N5"/>
    <mergeCell ref="O5:Q5"/>
    <mergeCell ref="R5:T5"/>
    <mergeCell ref="M6:N6"/>
    <mergeCell ref="O6:Q6"/>
    <mergeCell ref="R6:T6"/>
    <mergeCell ref="M3:N3"/>
    <mergeCell ref="O3:Q3"/>
    <mergeCell ref="R3:T3"/>
    <mergeCell ref="M4:N4"/>
    <mergeCell ref="O4:Q4"/>
    <mergeCell ref="R4:T4"/>
  </mergeCells>
  <dataValidations disablePrompts="1" count="2">
    <dataValidation type="list" allowBlank="1" showInputMessage="1" showErrorMessage="1" sqref="V3:V13 V18:V26" xr:uid="{00000000-0002-0000-0C00-000000000000}">
      <formula1>#REF!</formula1>
    </dataValidation>
    <dataValidation type="list" allowBlank="1" showInputMessage="1" showErrorMessage="1" sqref="X3:X13 X18:X26 AB3:AD13 AB18:AD26" xr:uid="{00000000-0002-0000-0C00-000001000000}">
      <formula1>#REF!</formula1>
    </dataValidation>
  </dataValidations>
  <pageMargins left="0.75" right="0.75" top="1" bottom="1" header="0.5" footer="0.5"/>
  <pageSetup paperSize="9"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660066"/>
  </sheetPr>
  <dimension ref="A1:N46"/>
  <sheetViews>
    <sheetView workbookViewId="0">
      <selection activeCell="A13" sqref="A13"/>
    </sheetView>
  </sheetViews>
  <sheetFormatPr baseColWidth="10" defaultColWidth="10.83203125" defaultRowHeight="16"/>
  <cols>
    <col min="1" max="1" width="25" style="67" customWidth="1"/>
    <col min="2" max="16384" width="10.83203125" style="67"/>
  </cols>
  <sheetData>
    <row r="1" spans="1:14" ht="24">
      <c r="A1" s="1692" t="s">
        <v>139</v>
      </c>
      <c r="B1" s="1692"/>
      <c r="C1" s="1692"/>
      <c r="D1" s="1692"/>
      <c r="E1" s="1692"/>
      <c r="F1" s="1692"/>
      <c r="G1" s="1692"/>
      <c r="H1" s="1692"/>
      <c r="I1" s="1692"/>
      <c r="J1" s="1692"/>
      <c r="K1" s="1692"/>
    </row>
    <row r="3" spans="1:14">
      <c r="A3" s="1693" t="s">
        <v>140</v>
      </c>
      <c r="B3" s="1693"/>
      <c r="C3" s="1693"/>
      <c r="D3" s="1693"/>
      <c r="E3" s="1693"/>
      <c r="F3" s="1693"/>
      <c r="G3" s="1693"/>
      <c r="H3" s="1693"/>
      <c r="I3" s="1693"/>
      <c r="J3" s="1693"/>
      <c r="K3" s="1693"/>
    </row>
    <row r="4" spans="1:14">
      <c r="A4" s="68" t="s">
        <v>141</v>
      </c>
      <c r="B4" s="1691" t="s">
        <v>142</v>
      </c>
      <c r="C4" s="1691"/>
      <c r="D4" s="1691"/>
      <c r="E4" s="1691"/>
      <c r="F4" s="1691"/>
      <c r="G4" s="1691"/>
      <c r="H4" s="1691"/>
      <c r="I4" s="1691"/>
      <c r="J4" s="1691"/>
      <c r="K4" s="1691"/>
    </row>
    <row r="5" spans="1:14">
      <c r="A5" s="68" t="s">
        <v>143</v>
      </c>
      <c r="B5" s="1691" t="s">
        <v>144</v>
      </c>
      <c r="C5" s="1691"/>
      <c r="D5" s="1691"/>
      <c r="E5" s="1691"/>
      <c r="F5" s="1691"/>
      <c r="G5" s="1691"/>
      <c r="H5" s="1691"/>
      <c r="I5" s="1691"/>
      <c r="J5" s="1691"/>
      <c r="K5" s="1691"/>
    </row>
    <row r="6" spans="1:14">
      <c r="A6" s="68" t="s">
        <v>145</v>
      </c>
      <c r="B6" s="1691" t="s">
        <v>146</v>
      </c>
      <c r="C6" s="1691"/>
      <c r="D6" s="1691"/>
      <c r="E6" s="1691"/>
      <c r="F6" s="1691"/>
      <c r="G6" s="1691"/>
      <c r="H6" s="1691"/>
      <c r="I6" s="1691"/>
      <c r="J6" s="1691"/>
      <c r="K6" s="1691"/>
    </row>
    <row r="7" spans="1:14">
      <c r="A7" s="68" t="s">
        <v>147</v>
      </c>
      <c r="B7" s="1691" t="s">
        <v>148</v>
      </c>
      <c r="C7" s="1691"/>
      <c r="D7" s="1691"/>
      <c r="E7" s="1691"/>
      <c r="F7" s="1691"/>
      <c r="G7" s="1691"/>
      <c r="H7" s="1691"/>
      <c r="I7" s="1691"/>
      <c r="J7" s="1691"/>
      <c r="K7" s="1691"/>
    </row>
    <row r="8" spans="1:14">
      <c r="A8" s="68" t="s">
        <v>149</v>
      </c>
      <c r="B8" s="1691" t="s">
        <v>150</v>
      </c>
      <c r="C8" s="1691"/>
      <c r="D8" s="1691"/>
      <c r="E8" s="1691"/>
      <c r="F8" s="1691"/>
      <c r="G8" s="1691"/>
      <c r="H8" s="1691"/>
      <c r="I8" s="1691"/>
      <c r="J8" s="1691"/>
      <c r="K8" s="1691"/>
    </row>
    <row r="9" spans="1:14">
      <c r="A9" s="68" t="s">
        <v>151</v>
      </c>
      <c r="B9" s="1694" t="s">
        <v>152</v>
      </c>
      <c r="C9" s="1694"/>
      <c r="D9" s="1694"/>
      <c r="E9" s="1694"/>
      <c r="F9" s="1694"/>
      <c r="G9" s="1694"/>
      <c r="H9" s="1694"/>
      <c r="I9" s="1694"/>
      <c r="J9" s="1694"/>
      <c r="K9" s="1694"/>
    </row>
    <row r="10" spans="1:14">
      <c r="A10" s="1695" t="s">
        <v>153</v>
      </c>
      <c r="B10" s="1695"/>
      <c r="C10" s="1695"/>
      <c r="D10" s="1695"/>
      <c r="E10" s="1695"/>
      <c r="F10" s="1695"/>
      <c r="G10" s="1695"/>
      <c r="H10" s="1695"/>
      <c r="I10" s="1695"/>
      <c r="J10" s="1695"/>
      <c r="K10" s="1695"/>
      <c r="L10" s="69"/>
      <c r="M10" s="70"/>
      <c r="N10" s="70"/>
    </row>
    <row r="12" spans="1:14">
      <c r="A12" s="1693" t="s">
        <v>154</v>
      </c>
      <c r="B12" s="1693"/>
      <c r="C12" s="1693"/>
      <c r="D12" s="1693"/>
      <c r="E12" s="1693"/>
      <c r="F12" s="1693"/>
      <c r="G12" s="1693"/>
      <c r="H12" s="1693"/>
      <c r="I12" s="1693"/>
      <c r="J12" s="1693"/>
      <c r="K12" s="1693"/>
    </row>
    <row r="13" spans="1:14">
      <c r="A13" s="68" t="s">
        <v>155</v>
      </c>
      <c r="B13" s="1691" t="s">
        <v>156</v>
      </c>
      <c r="C13" s="1691"/>
      <c r="D13" s="1691"/>
      <c r="E13" s="1691"/>
      <c r="F13" s="1691"/>
      <c r="G13" s="1691"/>
      <c r="H13" s="1691"/>
      <c r="I13" s="1691"/>
      <c r="J13" s="1691"/>
      <c r="K13" s="1691"/>
    </row>
    <row r="14" spans="1:14">
      <c r="A14" s="68" t="s">
        <v>157</v>
      </c>
      <c r="B14" s="1691" t="s">
        <v>158</v>
      </c>
      <c r="C14" s="1691"/>
      <c r="D14" s="1691"/>
      <c r="E14" s="1691"/>
      <c r="F14" s="1691"/>
      <c r="G14" s="1691"/>
      <c r="H14" s="1691"/>
      <c r="I14" s="1691"/>
      <c r="J14" s="1691"/>
      <c r="K14" s="1691"/>
    </row>
    <row r="15" spans="1:14">
      <c r="A15" s="68" t="s">
        <v>159</v>
      </c>
      <c r="B15" s="1696" t="s">
        <v>160</v>
      </c>
      <c r="C15" s="1696"/>
      <c r="D15" s="1696"/>
      <c r="E15" s="1696"/>
      <c r="F15" s="1696"/>
      <c r="G15" s="1696"/>
      <c r="H15" s="1696"/>
      <c r="I15" s="1696"/>
      <c r="J15" s="1696"/>
      <c r="K15" s="1696"/>
    </row>
    <row r="16" spans="1:14">
      <c r="A16" s="68" t="s">
        <v>161</v>
      </c>
      <c r="B16" s="1691" t="s">
        <v>162</v>
      </c>
      <c r="C16" s="1691"/>
      <c r="D16" s="1691"/>
      <c r="E16" s="1691"/>
      <c r="F16" s="1691"/>
      <c r="G16" s="1691"/>
      <c r="H16" s="1691"/>
      <c r="I16" s="1691"/>
      <c r="J16" s="1691"/>
      <c r="K16" s="1691"/>
    </row>
    <row r="17" spans="1:12">
      <c r="A17" s="68" t="s">
        <v>163</v>
      </c>
      <c r="B17" s="1694" t="s">
        <v>164</v>
      </c>
      <c r="C17" s="1694"/>
      <c r="D17" s="1694"/>
      <c r="E17" s="1694"/>
      <c r="F17" s="1694"/>
      <c r="G17" s="1694"/>
      <c r="H17" s="1694"/>
      <c r="I17" s="1694"/>
      <c r="J17" s="1694"/>
      <c r="K17" s="1694"/>
    </row>
    <row r="18" spans="1:12" s="70" customFormat="1">
      <c r="A18" s="1695" t="s">
        <v>165</v>
      </c>
      <c r="B18" s="1695"/>
      <c r="C18" s="1695"/>
      <c r="D18" s="1695"/>
      <c r="E18" s="1695"/>
      <c r="F18" s="1695"/>
      <c r="G18" s="1695"/>
      <c r="H18" s="1695"/>
      <c r="I18" s="1695"/>
      <c r="J18" s="1695"/>
      <c r="K18" s="1695"/>
      <c r="L18" s="1695"/>
    </row>
    <row r="19" spans="1:12" s="70" customFormat="1">
      <c r="A19" s="1695" t="s">
        <v>166</v>
      </c>
      <c r="B19" s="1695"/>
      <c r="C19" s="1695"/>
      <c r="D19" s="1695"/>
      <c r="E19" s="1695"/>
      <c r="F19" s="1695"/>
      <c r="G19" s="1695"/>
      <c r="H19" s="1695"/>
      <c r="I19" s="1695"/>
      <c r="J19" s="1695"/>
      <c r="K19" s="1695"/>
    </row>
    <row r="20" spans="1:12">
      <c r="B20" s="71"/>
    </row>
    <row r="21" spans="1:12">
      <c r="A21" s="1693" t="s">
        <v>167</v>
      </c>
      <c r="B21" s="1693"/>
      <c r="C21" s="1693"/>
      <c r="D21" s="1693"/>
      <c r="E21" s="1693"/>
      <c r="F21" s="1693"/>
      <c r="G21" s="1693"/>
      <c r="H21" s="1693"/>
      <c r="I21" s="1693"/>
      <c r="J21" s="1693"/>
      <c r="K21" s="1693"/>
    </row>
    <row r="22" spans="1:12">
      <c r="A22" s="68" t="s">
        <v>168</v>
      </c>
      <c r="B22" s="1694" t="s">
        <v>169</v>
      </c>
      <c r="C22" s="1694"/>
      <c r="D22" s="1694"/>
      <c r="E22" s="1694"/>
      <c r="F22" s="1694"/>
      <c r="G22" s="1694"/>
      <c r="H22" s="1694"/>
      <c r="I22" s="1694"/>
      <c r="J22" s="1694"/>
      <c r="K22" s="1694"/>
    </row>
    <row r="24" spans="1:12">
      <c r="A24" s="1693" t="s">
        <v>170</v>
      </c>
      <c r="B24" s="1693"/>
      <c r="C24" s="1693"/>
      <c r="D24" s="1693"/>
      <c r="E24" s="1693"/>
      <c r="F24" s="1693"/>
      <c r="G24" s="1693"/>
      <c r="H24" s="1693"/>
      <c r="I24" s="1693"/>
      <c r="J24" s="1693"/>
      <c r="K24" s="1693"/>
    </row>
    <row r="25" spans="1:12">
      <c r="A25" s="68" t="s">
        <v>171</v>
      </c>
      <c r="B25" s="1694" t="s">
        <v>172</v>
      </c>
      <c r="C25" s="1694"/>
      <c r="D25" s="1694"/>
      <c r="E25" s="1694"/>
      <c r="F25" s="1694"/>
      <c r="G25" s="1694"/>
      <c r="H25" s="1694"/>
      <c r="I25" s="1694"/>
      <c r="J25" s="1694"/>
      <c r="K25" s="1694"/>
    </row>
    <row r="27" spans="1:12">
      <c r="A27" s="1693" t="s">
        <v>173</v>
      </c>
      <c r="B27" s="1693"/>
      <c r="C27" s="1693"/>
      <c r="D27" s="1693"/>
      <c r="E27" s="1693"/>
      <c r="F27" s="1693"/>
      <c r="G27" s="1693"/>
      <c r="H27" s="1693"/>
      <c r="I27" s="1693"/>
      <c r="J27" s="1693"/>
      <c r="K27" s="1693"/>
    </row>
    <row r="28" spans="1:12">
      <c r="A28" s="68" t="s">
        <v>174</v>
      </c>
      <c r="B28" s="1694" t="s">
        <v>175</v>
      </c>
      <c r="C28" s="1694"/>
      <c r="D28" s="1694"/>
      <c r="E28" s="1694"/>
      <c r="F28" s="1694"/>
      <c r="G28" s="1694"/>
      <c r="H28" s="1694"/>
      <c r="I28" s="1694"/>
      <c r="J28" s="1694"/>
      <c r="K28" s="1694"/>
    </row>
    <row r="29" spans="1:12">
      <c r="A29" s="68" t="s">
        <v>176</v>
      </c>
      <c r="B29" s="1694" t="s">
        <v>177</v>
      </c>
      <c r="C29" s="1694"/>
      <c r="D29" s="1694"/>
      <c r="E29" s="1694"/>
      <c r="F29" s="1694"/>
      <c r="G29" s="1694"/>
      <c r="H29" s="1694"/>
      <c r="I29" s="1694"/>
      <c r="J29" s="1694"/>
      <c r="K29" s="1694"/>
    </row>
    <row r="30" spans="1:12" ht="31" customHeight="1">
      <c r="A30" s="1697" t="s">
        <v>178</v>
      </c>
      <c r="B30" s="1697"/>
      <c r="C30" s="1697"/>
      <c r="D30" s="1697"/>
      <c r="E30" s="1697"/>
      <c r="F30" s="1697"/>
      <c r="G30" s="1697"/>
      <c r="H30" s="1697"/>
      <c r="I30" s="1697"/>
      <c r="J30" s="1697"/>
      <c r="K30" s="1697"/>
    </row>
    <row r="32" spans="1:12">
      <c r="A32" s="1693" t="s">
        <v>179</v>
      </c>
      <c r="B32" s="1693"/>
      <c r="C32" s="1693"/>
      <c r="D32" s="1693"/>
      <c r="E32" s="1693"/>
      <c r="F32" s="1693"/>
      <c r="G32" s="1693"/>
      <c r="H32" s="1693"/>
      <c r="I32" s="1693"/>
      <c r="J32" s="1693"/>
      <c r="K32" s="1693"/>
    </row>
    <row r="33" spans="1:11">
      <c r="A33" s="68" t="s">
        <v>180</v>
      </c>
      <c r="B33" s="1694" t="s">
        <v>181</v>
      </c>
      <c r="C33" s="1694"/>
      <c r="D33" s="1694"/>
      <c r="E33" s="1694"/>
      <c r="F33" s="1694"/>
      <c r="G33" s="1694"/>
      <c r="H33" s="1694"/>
      <c r="I33" s="1694"/>
      <c r="J33" s="1694"/>
      <c r="K33" s="1694"/>
    </row>
    <row r="34" spans="1:11">
      <c r="A34" s="68" t="s">
        <v>182</v>
      </c>
      <c r="B34" s="1694" t="s">
        <v>183</v>
      </c>
      <c r="C34" s="1694"/>
      <c r="D34" s="1694"/>
      <c r="E34" s="1694"/>
      <c r="F34" s="1694"/>
      <c r="G34" s="1694"/>
      <c r="H34" s="1694"/>
      <c r="I34" s="1694"/>
      <c r="J34" s="1694"/>
      <c r="K34" s="1694"/>
    </row>
    <row r="35" spans="1:11">
      <c r="A35" s="68" t="s">
        <v>184</v>
      </c>
      <c r="B35" s="1694" t="s">
        <v>185</v>
      </c>
      <c r="C35" s="1694"/>
      <c r="D35" s="1694"/>
      <c r="E35" s="1694"/>
      <c r="F35" s="1694"/>
      <c r="G35" s="1694"/>
      <c r="H35" s="1694"/>
      <c r="I35" s="1694"/>
      <c r="J35" s="1694"/>
      <c r="K35" s="1694"/>
    </row>
    <row r="37" spans="1:11">
      <c r="A37" s="1693" t="s">
        <v>186</v>
      </c>
      <c r="B37" s="1693"/>
      <c r="C37" s="1693"/>
      <c r="D37" s="1693"/>
      <c r="E37" s="1693"/>
      <c r="F37" s="1693"/>
      <c r="G37" s="1693"/>
      <c r="H37" s="1693"/>
      <c r="I37" s="1693"/>
      <c r="J37" s="1693"/>
      <c r="K37" s="1693"/>
    </row>
    <row r="38" spans="1:11">
      <c r="A38" s="68" t="s">
        <v>187</v>
      </c>
      <c r="B38" s="1694" t="s">
        <v>188</v>
      </c>
      <c r="C38" s="1694"/>
      <c r="D38" s="1694"/>
      <c r="E38" s="1694"/>
      <c r="F38" s="1694"/>
      <c r="G38" s="1694"/>
      <c r="H38" s="1694"/>
      <c r="I38" s="1694"/>
      <c r="J38" s="1694"/>
      <c r="K38" s="1694"/>
    </row>
    <row r="39" spans="1:11">
      <c r="A39" s="68" t="s">
        <v>189</v>
      </c>
      <c r="B39" s="1694" t="s">
        <v>190</v>
      </c>
      <c r="C39" s="1694"/>
      <c r="D39" s="1694"/>
      <c r="E39" s="1694"/>
      <c r="F39" s="1694"/>
      <c r="G39" s="1694"/>
      <c r="H39" s="1694"/>
      <c r="I39" s="1694"/>
      <c r="J39" s="1694"/>
      <c r="K39" s="1694"/>
    </row>
    <row r="40" spans="1:11">
      <c r="A40" s="68" t="s">
        <v>191</v>
      </c>
      <c r="B40" s="1694" t="s">
        <v>192</v>
      </c>
      <c r="C40" s="1694"/>
      <c r="D40" s="1694"/>
      <c r="E40" s="1694"/>
      <c r="F40" s="1694"/>
      <c r="G40" s="1694"/>
      <c r="H40" s="1694"/>
      <c r="I40" s="1694"/>
      <c r="J40" s="1694"/>
      <c r="K40" s="1694"/>
    </row>
    <row r="41" spans="1:11">
      <c r="A41" s="68" t="s">
        <v>193</v>
      </c>
      <c r="B41" s="1694" t="s">
        <v>194</v>
      </c>
      <c r="C41" s="1694"/>
      <c r="D41" s="1694"/>
      <c r="E41" s="1694"/>
      <c r="F41" s="1694"/>
      <c r="G41" s="1694"/>
      <c r="H41" s="1694"/>
      <c r="I41" s="1694"/>
      <c r="J41" s="1694"/>
      <c r="K41" s="1694"/>
    </row>
    <row r="42" spans="1:11">
      <c r="A42" s="68" t="s">
        <v>195</v>
      </c>
      <c r="B42" s="1694" t="s">
        <v>196</v>
      </c>
      <c r="C42" s="1694"/>
      <c r="D42" s="1694"/>
      <c r="E42" s="1694"/>
      <c r="F42" s="1694"/>
      <c r="G42" s="1694"/>
      <c r="H42" s="1694"/>
      <c r="I42" s="1694"/>
      <c r="J42" s="1694"/>
      <c r="K42" s="1694"/>
    </row>
    <row r="43" spans="1:11">
      <c r="A43" s="68" t="s">
        <v>197</v>
      </c>
      <c r="B43" s="1694" t="s">
        <v>198</v>
      </c>
      <c r="C43" s="1694"/>
      <c r="D43" s="1694"/>
      <c r="E43" s="1694"/>
      <c r="F43" s="1694"/>
      <c r="G43" s="1694"/>
      <c r="H43" s="1694"/>
      <c r="I43" s="1694"/>
      <c r="J43" s="1694"/>
      <c r="K43" s="1694"/>
    </row>
    <row r="44" spans="1:11">
      <c r="A44" s="68" t="s">
        <v>199</v>
      </c>
      <c r="B44" s="1694" t="s">
        <v>200</v>
      </c>
      <c r="C44" s="1694"/>
      <c r="D44" s="1694"/>
      <c r="E44" s="1694"/>
      <c r="F44" s="1694"/>
      <c r="G44" s="1694"/>
      <c r="H44" s="1694"/>
      <c r="I44" s="1694"/>
      <c r="J44" s="1694"/>
      <c r="K44" s="1694"/>
    </row>
    <row r="45" spans="1:11">
      <c r="A45" s="68" t="s">
        <v>201</v>
      </c>
      <c r="B45" s="1694" t="s">
        <v>202</v>
      </c>
      <c r="C45" s="1694"/>
      <c r="D45" s="1694"/>
      <c r="E45" s="1694"/>
      <c r="F45" s="1694"/>
      <c r="G45" s="1694"/>
      <c r="H45" s="1694"/>
      <c r="I45" s="1694"/>
      <c r="J45" s="1694"/>
      <c r="K45" s="1694"/>
    </row>
    <row r="46" spans="1:11">
      <c r="A46" s="68" t="s">
        <v>203</v>
      </c>
      <c r="B46" s="1694" t="s">
        <v>204</v>
      </c>
      <c r="C46" s="1694"/>
      <c r="D46" s="1694"/>
      <c r="E46" s="1694"/>
      <c r="F46" s="1694"/>
      <c r="G46" s="1694"/>
      <c r="H46" s="1694"/>
      <c r="I46" s="1694"/>
      <c r="J46" s="1694"/>
      <c r="K46" s="1694"/>
    </row>
  </sheetData>
  <mergeCells count="39">
    <mergeCell ref="B44:K44"/>
    <mergeCell ref="B45:K45"/>
    <mergeCell ref="B46:K46"/>
    <mergeCell ref="B38:K38"/>
    <mergeCell ref="B39:K39"/>
    <mergeCell ref="B40:K40"/>
    <mergeCell ref="B41:K41"/>
    <mergeCell ref="B42:K42"/>
    <mergeCell ref="B43:K43"/>
    <mergeCell ref="A37:K37"/>
    <mergeCell ref="B22:K22"/>
    <mergeCell ref="A24:K24"/>
    <mergeCell ref="B25:K25"/>
    <mergeCell ref="A27:K27"/>
    <mergeCell ref="B28:K28"/>
    <mergeCell ref="B29:K29"/>
    <mergeCell ref="A30:K30"/>
    <mergeCell ref="A32:K32"/>
    <mergeCell ref="B33:K33"/>
    <mergeCell ref="B34:K34"/>
    <mergeCell ref="B35:K35"/>
    <mergeCell ref="A21:K21"/>
    <mergeCell ref="B8:K8"/>
    <mergeCell ref="B9:K9"/>
    <mergeCell ref="A10:K10"/>
    <mergeCell ref="A12:K12"/>
    <mergeCell ref="B13:K13"/>
    <mergeCell ref="B14:K14"/>
    <mergeCell ref="B15:K15"/>
    <mergeCell ref="B16:K16"/>
    <mergeCell ref="B17:K17"/>
    <mergeCell ref="A18:L18"/>
    <mergeCell ref="A19:K19"/>
    <mergeCell ref="B7:K7"/>
    <mergeCell ref="A1:K1"/>
    <mergeCell ref="A3:K3"/>
    <mergeCell ref="B4:K4"/>
    <mergeCell ref="B5:K5"/>
    <mergeCell ref="B6:K6"/>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M32"/>
  <sheetViews>
    <sheetView workbookViewId="0">
      <selection activeCell="E25" sqref="E25"/>
    </sheetView>
  </sheetViews>
  <sheetFormatPr baseColWidth="10" defaultColWidth="15.83203125" defaultRowHeight="16"/>
  <cols>
    <col min="1" max="1" width="15.83203125" style="1"/>
    <col min="2" max="2" width="15.83203125" style="5"/>
    <col min="3" max="16384" width="15.83203125" style="1"/>
  </cols>
  <sheetData>
    <row r="1" spans="1:9">
      <c r="A1" s="1698" t="s">
        <v>48</v>
      </c>
      <c r="B1" s="1698"/>
      <c r="C1" s="15" t="s">
        <v>37</v>
      </c>
    </row>
    <row r="2" spans="1:9">
      <c r="A2" s="8" t="s">
        <v>10</v>
      </c>
      <c r="B2" s="9" t="s">
        <v>29</v>
      </c>
      <c r="C2" s="8" t="s">
        <v>4</v>
      </c>
      <c r="D2" s="9" t="s">
        <v>29</v>
      </c>
      <c r="E2" s="3"/>
      <c r="F2" s="2"/>
      <c r="G2" s="2"/>
      <c r="H2" s="2"/>
      <c r="I2" s="2"/>
    </row>
    <row r="3" spans="1:9">
      <c r="A3" s="10" t="s">
        <v>11</v>
      </c>
      <c r="B3" s="5" t="s">
        <v>30</v>
      </c>
      <c r="C3" s="10" t="s">
        <v>25</v>
      </c>
      <c r="D3" s="5" t="s">
        <v>30</v>
      </c>
      <c r="E3" s="3"/>
      <c r="F3" s="2"/>
      <c r="G3" s="2"/>
      <c r="H3" s="2"/>
      <c r="I3" s="2"/>
    </row>
    <row r="4" spans="1:9">
      <c r="A4" s="11" t="s">
        <v>5</v>
      </c>
      <c r="B4" s="5" t="s">
        <v>31</v>
      </c>
      <c r="C4" s="12" t="s">
        <v>8</v>
      </c>
      <c r="D4" s="2"/>
      <c r="E4" s="2"/>
      <c r="F4" s="2"/>
      <c r="G4" s="2"/>
      <c r="H4" s="2"/>
      <c r="I4" s="2"/>
    </row>
    <row r="5" spans="1:9">
      <c r="A5" s="12" t="s">
        <v>12</v>
      </c>
      <c r="C5" s="13" t="s">
        <v>6</v>
      </c>
      <c r="D5" s="5" t="s">
        <v>32</v>
      </c>
      <c r="E5" s="3"/>
      <c r="F5" s="2"/>
      <c r="G5" s="2"/>
      <c r="H5" s="2"/>
      <c r="I5" s="2"/>
    </row>
    <row r="6" spans="1:9">
      <c r="A6" s="13" t="s">
        <v>6</v>
      </c>
      <c r="B6" s="5" t="s">
        <v>32</v>
      </c>
      <c r="C6" s="3"/>
      <c r="D6" s="2"/>
      <c r="E6" s="3"/>
      <c r="F6" s="2"/>
      <c r="G6" s="2"/>
      <c r="H6" s="2"/>
      <c r="I6" s="2"/>
    </row>
    <row r="7" spans="1:9">
      <c r="A7" s="14" t="s">
        <v>7</v>
      </c>
      <c r="B7" s="5" t="s">
        <v>33</v>
      </c>
      <c r="C7" s="2"/>
      <c r="D7" s="2"/>
      <c r="E7" s="2"/>
      <c r="F7" s="2"/>
      <c r="G7" s="2"/>
      <c r="H7" s="2"/>
      <c r="I7" s="2"/>
    </row>
    <row r="8" spans="1:9">
      <c r="C8" s="2"/>
      <c r="D8" s="3"/>
      <c r="E8" s="2"/>
      <c r="F8" s="2"/>
      <c r="G8" s="3"/>
      <c r="H8" s="2"/>
      <c r="I8" s="3"/>
    </row>
    <row r="9" spans="1:9">
      <c r="A9" s="1698" t="s">
        <v>9</v>
      </c>
      <c r="B9" s="1698"/>
      <c r="C9" s="1698"/>
      <c r="D9" s="3"/>
      <c r="E9" s="2"/>
      <c r="F9" s="2"/>
      <c r="G9" s="3"/>
      <c r="H9" s="2"/>
      <c r="I9" s="3"/>
    </row>
    <row r="10" spans="1:9">
      <c r="A10" s="1" t="s">
        <v>2</v>
      </c>
      <c r="B10" s="6"/>
      <c r="C10" s="1" t="s">
        <v>23</v>
      </c>
      <c r="D10" s="3"/>
      <c r="E10" s="2"/>
      <c r="F10" s="2"/>
      <c r="G10" s="3"/>
      <c r="H10" s="2"/>
      <c r="I10" s="2"/>
    </row>
    <row r="11" spans="1:9">
      <c r="A11" s="1" t="s">
        <v>3</v>
      </c>
      <c r="C11" s="1" t="s">
        <v>24</v>
      </c>
      <c r="D11" s="2"/>
      <c r="E11" s="2"/>
      <c r="F11" s="2"/>
      <c r="G11" s="2"/>
      <c r="H11" s="2"/>
      <c r="I11" s="2"/>
    </row>
    <row r="12" spans="1:9">
      <c r="A12" s="1699" t="s">
        <v>16</v>
      </c>
      <c r="B12" s="1699"/>
      <c r="C12" s="1699"/>
      <c r="D12" s="3"/>
      <c r="E12" s="2"/>
      <c r="F12" s="2"/>
      <c r="G12" s="2"/>
      <c r="H12" s="2"/>
      <c r="I12" s="2"/>
    </row>
    <row r="13" spans="1:9" ht="17">
      <c r="A13" s="1" t="s">
        <v>4</v>
      </c>
      <c r="B13" s="16" t="s">
        <v>14</v>
      </c>
      <c r="C13" s="2" t="s">
        <v>38</v>
      </c>
      <c r="D13" s="3"/>
      <c r="E13" s="2"/>
      <c r="F13" s="4"/>
      <c r="G13" s="3"/>
      <c r="H13" s="2"/>
      <c r="I13" s="2"/>
    </row>
    <row r="14" spans="1:9" ht="17">
      <c r="A14" s="1" t="s">
        <v>8</v>
      </c>
      <c r="B14" s="17" t="s">
        <v>15</v>
      </c>
      <c r="C14" s="2" t="s">
        <v>39</v>
      </c>
      <c r="D14" s="2"/>
      <c r="E14" s="2"/>
      <c r="F14" s="2"/>
      <c r="G14" s="2"/>
      <c r="H14" s="2"/>
      <c r="I14" s="2"/>
    </row>
    <row r="15" spans="1:9">
      <c r="A15" s="1" t="s">
        <v>25</v>
      </c>
    </row>
    <row r="16" spans="1:9">
      <c r="A16" s="1" t="s">
        <v>6</v>
      </c>
    </row>
    <row r="19" spans="1:13">
      <c r="A19" s="18" t="s">
        <v>47</v>
      </c>
    </row>
    <row r="20" spans="1:13">
      <c r="A20" s="1" t="s">
        <v>26</v>
      </c>
    </row>
    <row r="21" spans="1:13">
      <c r="A21" s="1" t="s">
        <v>27</v>
      </c>
    </row>
    <row r="22" spans="1:13">
      <c r="A22" s="1" t="s">
        <v>28</v>
      </c>
    </row>
    <row r="24" spans="1:13">
      <c r="A24" s="1698" t="s">
        <v>54</v>
      </c>
      <c r="B24" s="1698"/>
      <c r="C24" s="1698" t="s">
        <v>60</v>
      </c>
      <c r="D24" s="1698"/>
    </row>
    <row r="25" spans="1:13">
      <c r="A25" s="19" t="s">
        <v>41</v>
      </c>
      <c r="B25" s="2" t="s">
        <v>49</v>
      </c>
      <c r="C25" s="23" t="s">
        <v>41</v>
      </c>
      <c r="D25" s="7" t="s">
        <v>55</v>
      </c>
    </row>
    <row r="26" spans="1:13">
      <c r="A26" s="20" t="s">
        <v>42</v>
      </c>
      <c r="B26" s="2" t="s">
        <v>50</v>
      </c>
      <c r="C26" s="24" t="s">
        <v>42</v>
      </c>
      <c r="D26" s="7" t="s">
        <v>56</v>
      </c>
    </row>
    <row r="27" spans="1:13">
      <c r="A27" s="21" t="s">
        <v>43</v>
      </c>
      <c r="B27" s="2" t="s">
        <v>51</v>
      </c>
      <c r="C27" s="25" t="s">
        <v>43</v>
      </c>
      <c r="D27" s="7" t="s">
        <v>57</v>
      </c>
    </row>
    <row r="28" spans="1:13">
      <c r="A28" s="22" t="s">
        <v>44</v>
      </c>
      <c r="B28" s="2" t="s">
        <v>52</v>
      </c>
      <c r="C28" s="26" t="s">
        <v>44</v>
      </c>
      <c r="D28" s="7" t="s">
        <v>58</v>
      </c>
    </row>
    <row r="29" spans="1:13">
      <c r="A29" s="28" t="s">
        <v>65</v>
      </c>
      <c r="B29" s="2" t="s">
        <v>53</v>
      </c>
      <c r="C29" s="27" t="s">
        <v>65</v>
      </c>
      <c r="D29" s="7" t="s">
        <v>59</v>
      </c>
    </row>
    <row r="30" spans="1:13">
      <c r="A30" s="1" t="s">
        <v>5</v>
      </c>
      <c r="E30" s="7"/>
      <c r="F30" s="7"/>
      <c r="G30" s="7"/>
      <c r="H30" s="7"/>
      <c r="I30" s="7"/>
      <c r="J30" s="7"/>
      <c r="K30" s="7"/>
      <c r="L30" s="7"/>
      <c r="M30" s="7"/>
    </row>
    <row r="31" spans="1:13">
      <c r="A31" s="1" t="s">
        <v>12</v>
      </c>
      <c r="E31" s="7"/>
      <c r="F31" s="7"/>
      <c r="G31" s="7"/>
      <c r="H31" s="7"/>
      <c r="I31" s="7"/>
      <c r="J31" s="7"/>
      <c r="K31" s="7"/>
      <c r="L31" s="7"/>
      <c r="M31" s="7"/>
    </row>
    <row r="32" spans="1:13">
      <c r="E32" s="7"/>
      <c r="F32" s="7"/>
      <c r="G32" s="7"/>
      <c r="H32" s="7"/>
      <c r="I32" s="7"/>
      <c r="J32" s="7"/>
      <c r="K32" s="7"/>
      <c r="L32" s="7"/>
      <c r="M32" s="7"/>
    </row>
  </sheetData>
  <mergeCells count="5">
    <mergeCell ref="A9:C9"/>
    <mergeCell ref="A1:B1"/>
    <mergeCell ref="A12:C12"/>
    <mergeCell ref="A24:B24"/>
    <mergeCell ref="C24:D24"/>
  </mergeCells>
  <phoneticPr fontId="12" type="noConversion"/>
  <conditionalFormatting sqref="A7">
    <cfRule type="containsText" dxfId="13" priority="26" operator="containsText" text="Not available">
      <formula>NOT(ISERROR(SEARCH("Not available",A7)))</formula>
    </cfRule>
    <cfRule type="containsText" dxfId="12" priority="27" operator="containsText" text="Not applicable">
      <formula>NOT(ISERROR(SEARCH("Not applicable",A7)))</formula>
    </cfRule>
    <cfRule type="containsText" dxfId="11" priority="28" operator="containsText" text="alternative">
      <formula>NOT(ISERROR(SEARCH("alternative",A7)))</formula>
    </cfRule>
    <cfRule type="containsText" dxfId="10" priority="29" operator="containsText" text="pending">
      <formula>NOT(ISERROR(SEARCH("pending",A7)))</formula>
    </cfRule>
    <cfRule type="containsText" dxfId="9" priority="30" operator="containsText" text="Not available">
      <formula>NOT(ISERROR(SEARCH("Not available",A7)))</formula>
    </cfRule>
    <cfRule type="containsText" dxfId="8" priority="31" operator="containsText" text="incomplete">
      <formula>NOT(ISERROR(SEARCH("incomplete",A7)))</formula>
    </cfRule>
    <cfRule type="containsText" dxfId="7" priority="32" operator="containsText" text="Complete">
      <formula>NOT(ISERROR(SEARCH("Complete",A7)))</formula>
    </cfRule>
  </conditionalFormatting>
  <conditionalFormatting sqref="A4">
    <cfRule type="containsText" dxfId="6" priority="19" operator="containsText" text="Not available">
      <formula>NOT(ISERROR(SEARCH("Not available",A4)))</formula>
    </cfRule>
    <cfRule type="containsText" dxfId="5" priority="20" operator="containsText" text="Not applicable">
      <formula>NOT(ISERROR(SEARCH("Not applicable",A4)))</formula>
    </cfRule>
    <cfRule type="containsText" dxfId="4" priority="21" operator="containsText" text="alternative">
      <formula>NOT(ISERROR(SEARCH("alternative",A4)))</formula>
    </cfRule>
    <cfRule type="containsText" dxfId="3" priority="22" operator="containsText" text="pending">
      <formula>NOT(ISERROR(SEARCH("pending",A4)))</formula>
    </cfRule>
    <cfRule type="containsText" dxfId="2" priority="23" operator="containsText" text="Not available">
      <formula>NOT(ISERROR(SEARCH("Not available",A4)))</formula>
    </cfRule>
    <cfRule type="containsText" dxfId="1" priority="24" operator="containsText" text="incomplete">
      <formula>NOT(ISERROR(SEARCH("incomplete",A4)))</formula>
    </cfRule>
    <cfRule type="containsText" dxfId="0" priority="25" operator="containsText" text="Complete">
      <formula>NOT(ISERROR(SEARCH("Complete",A4)))</formula>
    </cfRule>
  </conditionalFormatting>
  <dataValidations count="1">
    <dataValidation type="list" allowBlank="1" showInputMessage="1" showErrorMessage="1" sqref="A2" xr:uid="{00000000-0002-0000-0F00-000000000000}">
      <formula1>$A$2:$A$7</formula1>
    </dataValidation>
  </dataValidations>
  <pageMargins left="0.7" right="0.7" top="0.75" bottom="0.75" header="0.3" footer="0.3"/>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14</vt:i4>
      </vt:variant>
    </vt:vector>
  </HeadingPairs>
  <TitlesOfParts>
    <vt:vector size="26" baseType="lpstr">
      <vt:lpstr>INTRODUCTION</vt:lpstr>
      <vt:lpstr>5.1 Public Works</vt:lpstr>
      <vt:lpstr>5.2 Permits, Monitoring and Ins</vt:lpstr>
      <vt:lpstr>5.3 Community Welfare</vt:lpstr>
      <vt:lpstr>5.4 Local Public Security and L</vt:lpstr>
      <vt:lpstr>5.5 Emergency &amp; Rescue Services</vt:lpstr>
      <vt:lpstr>Data Collection Status</vt:lpstr>
      <vt:lpstr>Benchmark Status</vt:lpstr>
      <vt:lpstr>Auxiliar Values</vt:lpstr>
      <vt:lpstr>Disaggregation</vt:lpstr>
      <vt:lpstr>INFO Vulnerable Groups</vt:lpstr>
      <vt:lpstr>Drop lists </vt:lpstr>
      <vt:lpstr>'INFO Vulnerable Groups'!_ftn1</vt:lpstr>
      <vt:lpstr>'INFO Vulnerable Groups'!_ftnref1</vt:lpstr>
      <vt:lpstr>'5.1 Public Works'!Print_Area</vt:lpstr>
      <vt:lpstr>'5.2 Permits, Monitoring and Ins'!Print_Area</vt:lpstr>
      <vt:lpstr>'5.3 Community Welfare'!Print_Area</vt:lpstr>
      <vt:lpstr>'5.4 Local Public Security and L'!Print_Area</vt:lpstr>
      <vt:lpstr>'5.5 Emergency &amp; Rescue Services'!Print_Area</vt:lpstr>
      <vt:lpstr>'Data Collection Status'!Print_Area</vt:lpstr>
      <vt:lpstr>INTRODUCTION!Print_Area</vt:lpstr>
      <vt:lpstr>'5.1 Public Works'!Print_Titles</vt:lpstr>
      <vt:lpstr>'5.2 Permits, Monitoring and Ins'!Print_Titles</vt:lpstr>
      <vt:lpstr>'5.3 Community Welfare'!Print_Titles</vt:lpstr>
      <vt:lpstr>'5.4 Local Public Security and L'!Print_Titles</vt:lpstr>
      <vt:lpstr>'5.5 Emergency &amp; Rescue Services'!Print_Titles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CRPP</dc:creator>
  <cp:lastModifiedBy>Gabriela Uchoa</cp:lastModifiedBy>
  <cp:lastPrinted>2020-07-28T12:04:38Z</cp:lastPrinted>
  <dcterms:created xsi:type="dcterms:W3CDTF">2018-07-06T13:25:29Z</dcterms:created>
  <dcterms:modified xsi:type="dcterms:W3CDTF">2020-09-16T12:45:56Z</dcterms:modified>
</cp:coreProperties>
</file>